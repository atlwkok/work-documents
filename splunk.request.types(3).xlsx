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ownloads/"/>
    </mc:Choice>
  </mc:AlternateContent>
  <xr:revisionPtr revIDLastSave="0" documentId="13_ncr:1_{F9DF42C2-5EE9-D346-AA50-34BAC4FED220}" xr6:coauthVersionLast="47" xr6:coauthVersionMax="47" xr10:uidLastSave="{00000000-0000-0000-0000-000000000000}"/>
  <bookViews>
    <workbookView xWindow="0" yWindow="760" windowWidth="34560" windowHeight="20480" xr2:uid="{48A1E424-6096-42F1-9A26-CB6E3964BB35}"/>
  </bookViews>
  <sheets>
    <sheet name="newreqtype" sheetId="18" r:id="rId1"/>
    <sheet name="createdetail" sheetId="19" r:id="rId2"/>
    <sheet name="updatedetail" sheetId="17" r:id="rId3"/>
    <sheet name="createdetaildbalert" sheetId="20" r:id="rId4"/>
    <sheet name="updatedetaildbalert" sheetId="21" r:id="rId5"/>
    <sheet name="Sheet1" sheetId="1" r:id="rId6"/>
    <sheet name="all-global-ins" sheetId="10" r:id="rId7"/>
    <sheet name="will-call-alert-insert" sheetId="2" r:id="rId8"/>
    <sheet name="will-call-alert-upd" sheetId="6" r:id="rId9"/>
    <sheet name="Sheet2" sheetId="15" r:id="rId10"/>
    <sheet name="fsaleart-ins" sheetId="9" r:id="rId11"/>
    <sheet name="fsalert-upd" sheetId="5" r:id="rId12"/>
    <sheet name="dbalert-ins" sheetId="11" r:id="rId13"/>
    <sheet name="dbalert-upd" sheetId="4" r:id="rId14"/>
    <sheet name="AU01" sheetId="13" r:id="rId15"/>
    <sheet name="rma_asn_7_days" sheetId="8" r:id="rId16"/>
    <sheet name="rma_asn_30_days" sheetId="14" r:id="rId17"/>
    <sheet name="sheet11" sheetId="7" r:id="rId18"/>
    <sheet name="Sheet12" sheetId="12" r:id="rId19"/>
  </sheets>
  <definedNames>
    <definedName name="_xlnm._FilterDatabase" localSheetId="3" hidden="1">createdetaildbalert!$A$1:$Q$44</definedName>
    <definedName name="_xlnm._FilterDatabase" localSheetId="5" hidden="1">Sheet1!$A$1:$C$173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8" l="1"/>
  <c r="L6" i="18"/>
  <c r="K17" i="18"/>
  <c r="H17" i="18"/>
  <c r="B17" i="18"/>
  <c r="I17" i="18" s="1"/>
  <c r="Q33"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2" i="20"/>
  <c r="Q5" i="20"/>
  <c r="Q6" i="20"/>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4" i="20"/>
  <c r="Q35" i="20"/>
  <c r="Q36" i="20"/>
  <c r="Q37" i="20"/>
  <c r="Q38" i="20"/>
  <c r="Q39" i="20"/>
  <c r="Q40" i="20"/>
  <c r="Q41" i="20"/>
  <c r="Q42" i="20"/>
  <c r="Q43" i="20"/>
  <c r="Q44" i="20"/>
  <c r="P23" i="20"/>
  <c r="P4" i="20"/>
  <c r="P5" i="20"/>
  <c r="P6" i="20"/>
  <c r="P8" i="20"/>
  <c r="P9" i="20"/>
  <c r="P10" i="20"/>
  <c r="P11" i="20"/>
  <c r="P12" i="20"/>
  <c r="P13" i="20"/>
  <c r="P14" i="20"/>
  <c r="P15" i="20"/>
  <c r="P16" i="20"/>
  <c r="P17" i="20"/>
  <c r="P18" i="20"/>
  <c r="P19" i="20"/>
  <c r="P20" i="20"/>
  <c r="P21" i="20"/>
  <c r="P22" i="20"/>
  <c r="P24" i="20"/>
  <c r="P25" i="20"/>
  <c r="P26" i="20"/>
  <c r="P27" i="20"/>
  <c r="P28" i="20"/>
  <c r="P29" i="20"/>
  <c r="P30" i="20"/>
  <c r="P31" i="20"/>
  <c r="P32" i="20"/>
  <c r="P33" i="20"/>
  <c r="P34" i="20"/>
  <c r="P35" i="20"/>
  <c r="P36" i="20"/>
  <c r="P37" i="20"/>
  <c r="P38" i="20"/>
  <c r="P39" i="20"/>
  <c r="P40" i="20"/>
  <c r="P41" i="20"/>
  <c r="P42" i="20"/>
  <c r="P43" i="20"/>
  <c r="P44" i="20"/>
  <c r="P7" i="20"/>
  <c r="P3" i="20"/>
  <c r="P2" i="20"/>
  <c r="Q2" i="20"/>
  <c r="Q3" i="20"/>
  <c r="L4" i="18"/>
  <c r="K4" i="18"/>
  <c r="K6" i="18"/>
  <c r="H4" i="18"/>
  <c r="H6" i="18"/>
  <c r="I4" i="18"/>
  <c r="B2" i="19"/>
  <c r="J2" i="18"/>
  <c r="A6" i="19"/>
  <c r="B6" i="19" s="1"/>
  <c r="I6" i="18"/>
  <c r="I2" i="18"/>
  <c r="L2" i="18"/>
  <c r="K2" i="18"/>
  <c r="B6" i="18"/>
  <c r="B3" i="18"/>
  <c r="B4" i="18"/>
  <c r="B5" i="18"/>
  <c r="N2" i="17"/>
  <c r="D39" i="17" l="1"/>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2" i="18"/>
  <c r="H2" i="18"/>
  <c r="B2" i="18"/>
  <c r="I1" i="18"/>
  <c r="B1" i="18"/>
  <c r="K39" i="17"/>
  <c r="K38" i="17"/>
  <c r="K37" i="17"/>
  <c r="K36" i="17"/>
  <c r="K35" i="17"/>
  <c r="K34" i="17"/>
  <c r="N34" i="17" s="1"/>
  <c r="K33" i="17"/>
  <c r="K32" i="17"/>
  <c r="N32" i="17" s="1"/>
  <c r="K31" i="17"/>
  <c r="K30" i="17"/>
  <c r="K29" i="17"/>
  <c r="N29" i="17" s="1"/>
  <c r="K28" i="17"/>
  <c r="N28" i="17" s="1"/>
  <c r="K27" i="17"/>
  <c r="K26" i="17"/>
  <c r="K25" i="17"/>
  <c r="K24" i="17"/>
  <c r="K23" i="17"/>
  <c r="K22" i="17"/>
  <c r="K21" i="17"/>
  <c r="K20" i="17"/>
  <c r="K19" i="17"/>
  <c r="K18" i="17"/>
  <c r="N18" i="17" s="1"/>
  <c r="K17" i="17"/>
  <c r="K16" i="17"/>
  <c r="K15" i="17"/>
  <c r="K14" i="17"/>
  <c r="K13" i="17"/>
  <c r="K12" i="17"/>
  <c r="N12" i="17" s="1"/>
  <c r="K11" i="17"/>
  <c r="K10" i="17"/>
  <c r="K9" i="17"/>
  <c r="N9" i="17" s="1"/>
  <c r="K8" i="17"/>
  <c r="N8" i="17" s="1"/>
  <c r="K7" i="17"/>
  <c r="N7" i="17" s="1"/>
  <c r="K6" i="17"/>
  <c r="N6" i="17" s="1"/>
  <c r="K5" i="17"/>
  <c r="K4" i="17"/>
  <c r="K3" i="17"/>
  <c r="K2" i="17"/>
  <c r="C13" i="8"/>
  <c r="D13" i="8" s="1"/>
  <c r="C12" i="8"/>
  <c r="D12" i="8" s="1"/>
  <c r="C11" i="8"/>
  <c r="D11" i="8" s="1"/>
  <c r="C10" i="8"/>
  <c r="D10" i="8" s="1"/>
  <c r="C9" i="8"/>
  <c r="C9" i="14"/>
  <c r="D9" i="14"/>
  <c r="C9" i="13"/>
  <c r="C41" i="13"/>
  <c r="D41" i="13" s="1"/>
  <c r="C40" i="13"/>
  <c r="D40" i="13" s="1"/>
  <c r="C39" i="13"/>
  <c r="C38" i="13"/>
  <c r="D38" i="13" s="1"/>
  <c r="C37" i="13"/>
  <c r="D37" i="13" s="1"/>
  <c r="C36" i="13"/>
  <c r="D36" i="13" s="1"/>
  <c r="C35" i="13"/>
  <c r="D35" i="13" s="1"/>
  <c r="C34" i="13"/>
  <c r="C33" i="13"/>
  <c r="D33" i="13" s="1"/>
  <c r="C32" i="13"/>
  <c r="D32" i="13" s="1"/>
  <c r="C31" i="13"/>
  <c r="D31" i="13" s="1"/>
  <c r="C30" i="13"/>
  <c r="D30" i="13" s="1"/>
  <c r="C29" i="13"/>
  <c r="D29" i="13" s="1"/>
  <c r="C28" i="13"/>
  <c r="D28" i="13" s="1"/>
  <c r="C27" i="13"/>
  <c r="D27" i="13" s="1"/>
  <c r="C26" i="13"/>
  <c r="D26" i="13" s="1"/>
  <c r="C25" i="13"/>
  <c r="D25" i="13" s="1"/>
  <c r="C24" i="13"/>
  <c r="D24" i="13" s="1"/>
  <c r="C23" i="13"/>
  <c r="D23" i="13" s="1"/>
  <c r="C22" i="13"/>
  <c r="D22" i="13" s="1"/>
  <c r="C21" i="13"/>
  <c r="D21" i="13" s="1"/>
  <c r="C20" i="13"/>
  <c r="D20" i="13" s="1"/>
  <c r="C19" i="13"/>
  <c r="D19" i="13" s="1"/>
  <c r="C18" i="13"/>
  <c r="D18" i="13" s="1"/>
  <c r="C17" i="13"/>
  <c r="D17" i="13" s="1"/>
  <c r="C16" i="13"/>
  <c r="D16" i="13" s="1"/>
  <c r="C15" i="13"/>
  <c r="C14" i="13"/>
  <c r="D14" i="13" s="1"/>
  <c r="C13" i="13"/>
  <c r="C12" i="13"/>
  <c r="C11" i="13"/>
  <c r="D11" i="13" s="1"/>
  <c r="C10" i="13"/>
  <c r="D10" i="13" s="1"/>
  <c r="D15" i="13"/>
  <c r="D34" i="13"/>
  <c r="D13" i="13"/>
  <c r="D12" i="13"/>
  <c r="D9" i="13"/>
  <c r="D39" i="13"/>
  <c r="D9" i="8"/>
  <c r="C6" i="4"/>
  <c r="C5" i="4"/>
  <c r="C4" i="4"/>
  <c r="C3"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7" i="5"/>
  <c r="C6" i="5"/>
  <c r="C5" i="5"/>
  <c r="C4" i="5"/>
  <c r="C3" i="5"/>
  <c r="C6" i="11"/>
  <c r="D6" i="11" s="1"/>
  <c r="C5" i="11"/>
  <c r="D5" i="11" s="1"/>
  <c r="C4" i="11"/>
  <c r="D4" i="11" s="1"/>
  <c r="C3" i="11"/>
  <c r="D3" i="11" s="1"/>
  <c r="C7" i="9"/>
  <c r="D7" i="9" s="1"/>
  <c r="C6" i="9"/>
  <c r="D6" i="9" s="1"/>
  <c r="C5" i="9"/>
  <c r="D5" i="9" s="1"/>
  <c r="C4" i="9"/>
  <c r="D4" i="9" s="1"/>
  <c r="C3" i="9"/>
  <c r="D3" i="9" s="1"/>
  <c r="C16" i="2"/>
  <c r="D16" i="2" s="1"/>
  <c r="C15" i="2"/>
  <c r="D15" i="2" s="1"/>
  <c r="C14" i="2"/>
  <c r="C13" i="2"/>
  <c r="C12" i="2"/>
  <c r="C11" i="2"/>
  <c r="C10" i="2"/>
  <c r="C9" i="2"/>
  <c r="C8" i="2"/>
  <c r="C7" i="2"/>
  <c r="C6" i="2"/>
  <c r="C5" i="2"/>
  <c r="C4" i="2"/>
  <c r="C3" i="2"/>
  <c r="D3" i="2" s="1"/>
  <c r="D14" i="2"/>
  <c r="D13" i="2"/>
  <c r="D12" i="2"/>
  <c r="D11" i="2"/>
  <c r="D10" i="2"/>
  <c r="D9" i="2"/>
  <c r="D8" i="2"/>
  <c r="D7" i="2"/>
  <c r="D6" i="2"/>
  <c r="D5" i="2"/>
  <c r="D4" i="2"/>
  <c r="D2" i="1"/>
  <c r="E2" i="1" s="1"/>
  <c r="D4" i="1"/>
  <c r="E114" i="1"/>
  <c r="D173" i="1"/>
  <c r="E173" i="1" s="1"/>
  <c r="D172" i="1"/>
  <c r="E172" i="1" s="1"/>
  <c r="D171" i="1"/>
  <c r="E171" i="1" s="1"/>
  <c r="D170" i="1"/>
  <c r="E170" i="1" s="1"/>
  <c r="D169" i="1"/>
  <c r="E169" i="1" s="1"/>
  <c r="D168" i="1"/>
  <c r="E168" i="1" s="1"/>
  <c r="D167" i="1"/>
  <c r="E167" i="1" s="1"/>
  <c r="D166" i="1"/>
  <c r="E166" i="1" s="1"/>
  <c r="D165" i="1"/>
  <c r="E165" i="1" s="1"/>
  <c r="D164" i="1"/>
  <c r="E164" i="1" s="1"/>
  <c r="D163" i="1"/>
  <c r="E163" i="1" s="1"/>
  <c r="D162" i="1"/>
  <c r="E162" i="1" s="1"/>
  <c r="D161" i="1"/>
  <c r="E161" i="1" s="1"/>
  <c r="D160" i="1"/>
  <c r="E160" i="1" s="1"/>
  <c r="D159" i="1"/>
  <c r="E159" i="1" s="1"/>
  <c r="D158" i="1"/>
  <c r="E158" i="1" s="1"/>
  <c r="D157" i="1"/>
  <c r="E157" i="1" s="1"/>
  <c r="D156" i="1"/>
  <c r="E156" i="1" s="1"/>
  <c r="D155" i="1"/>
  <c r="E155" i="1" s="1"/>
  <c r="D154" i="1"/>
  <c r="E154" i="1" s="1"/>
  <c r="D153" i="1"/>
  <c r="E153" i="1" s="1"/>
  <c r="D152" i="1"/>
  <c r="E152" i="1" s="1"/>
  <c r="D151" i="1"/>
  <c r="E151" i="1" s="1"/>
  <c r="D150" i="1"/>
  <c r="E150" i="1" s="1"/>
  <c r="D149" i="1"/>
  <c r="E149" i="1" s="1"/>
  <c r="D148" i="1"/>
  <c r="E148" i="1" s="1"/>
  <c r="D147" i="1"/>
  <c r="E147" i="1" s="1"/>
  <c r="D146" i="1"/>
  <c r="E146" i="1" s="1"/>
  <c r="D145" i="1"/>
  <c r="E145" i="1" s="1"/>
  <c r="D144" i="1"/>
  <c r="E144" i="1" s="1"/>
  <c r="D143" i="1"/>
  <c r="E143" i="1" s="1"/>
  <c r="D142" i="1"/>
  <c r="E142" i="1" s="1"/>
  <c r="D141" i="1"/>
  <c r="E141" i="1" s="1"/>
  <c r="D140" i="1"/>
  <c r="E140" i="1" s="1"/>
  <c r="D139" i="1"/>
  <c r="E139" i="1" s="1"/>
  <c r="D138" i="1"/>
  <c r="E138" i="1" s="1"/>
  <c r="D137" i="1"/>
  <c r="E137" i="1" s="1"/>
  <c r="D136" i="1"/>
  <c r="E136" i="1" s="1"/>
  <c r="D135" i="1"/>
  <c r="E135" i="1" s="1"/>
  <c r="D134" i="1"/>
  <c r="E134" i="1" s="1"/>
  <c r="D133" i="1"/>
  <c r="E133" i="1" s="1"/>
  <c r="D132" i="1"/>
  <c r="E132" i="1" s="1"/>
  <c r="D131" i="1"/>
  <c r="E131" i="1" s="1"/>
  <c r="D130" i="1"/>
  <c r="E130" i="1" s="1"/>
  <c r="D129" i="1"/>
  <c r="E129" i="1" s="1"/>
  <c r="D128" i="1"/>
  <c r="E128" i="1" s="1"/>
  <c r="D127" i="1"/>
  <c r="E127" i="1" s="1"/>
  <c r="D126" i="1"/>
  <c r="E126" i="1" s="1"/>
  <c r="D125" i="1"/>
  <c r="E125" i="1" s="1"/>
  <c r="D124" i="1"/>
  <c r="E124" i="1" s="1"/>
  <c r="D123" i="1"/>
  <c r="E123" i="1" s="1"/>
  <c r="D122" i="1"/>
  <c r="E122" i="1" s="1"/>
  <c r="D121" i="1"/>
  <c r="E121" i="1" s="1"/>
  <c r="D120" i="1"/>
  <c r="E120" i="1" s="1"/>
  <c r="D119" i="1"/>
  <c r="E119" i="1" s="1"/>
  <c r="D118" i="1"/>
  <c r="E118" i="1" s="1"/>
  <c r="D117" i="1"/>
  <c r="E117" i="1" s="1"/>
  <c r="D116" i="1"/>
  <c r="E116" i="1" s="1"/>
  <c r="D115" i="1"/>
  <c r="E115" i="1" s="1"/>
  <c r="D114" i="1"/>
  <c r="D113" i="1"/>
  <c r="E113" i="1" s="1"/>
  <c r="D112" i="1"/>
  <c r="E112" i="1" s="1"/>
  <c r="D111" i="1"/>
  <c r="E111" i="1" s="1"/>
  <c r="D110" i="1"/>
  <c r="E110" i="1" s="1"/>
  <c r="D109" i="1"/>
  <c r="E109" i="1" s="1"/>
  <c r="D108" i="1"/>
  <c r="E108" i="1" s="1"/>
  <c r="D107" i="1"/>
  <c r="E107" i="1" s="1"/>
  <c r="D106" i="1"/>
  <c r="E106" i="1" s="1"/>
  <c r="D105" i="1"/>
  <c r="E105" i="1" s="1"/>
  <c r="D104" i="1"/>
  <c r="E104" i="1" s="1"/>
  <c r="D103" i="1"/>
  <c r="E103" i="1" s="1"/>
  <c r="D102" i="1"/>
  <c r="E102" i="1" s="1"/>
  <c r="D101" i="1"/>
  <c r="E101" i="1" s="1"/>
  <c r="D100" i="1"/>
  <c r="E100" i="1" s="1"/>
  <c r="D99" i="1"/>
  <c r="E99" i="1" s="1"/>
  <c r="D98" i="1"/>
  <c r="E98" i="1" s="1"/>
  <c r="D97" i="1"/>
  <c r="E97" i="1" s="1"/>
  <c r="D96" i="1"/>
  <c r="E96" i="1" s="1"/>
  <c r="D95" i="1"/>
  <c r="E95" i="1" s="1"/>
  <c r="D94" i="1"/>
  <c r="E94" i="1" s="1"/>
  <c r="D93" i="1"/>
  <c r="E93" i="1" s="1"/>
  <c r="D92" i="1"/>
  <c r="E92" i="1" s="1"/>
  <c r="D91" i="1"/>
  <c r="E91" i="1" s="1"/>
  <c r="D90" i="1"/>
  <c r="E90" i="1" s="1"/>
  <c r="D89" i="1"/>
  <c r="E89" i="1" s="1"/>
  <c r="D88" i="1"/>
  <c r="E88" i="1" s="1"/>
  <c r="D87" i="1"/>
  <c r="E87" i="1" s="1"/>
  <c r="D86" i="1"/>
  <c r="E86" i="1" s="1"/>
  <c r="D85" i="1"/>
  <c r="E85" i="1" s="1"/>
  <c r="D84" i="1"/>
  <c r="E84" i="1" s="1"/>
  <c r="D83" i="1"/>
  <c r="E83" i="1" s="1"/>
  <c r="D82" i="1"/>
  <c r="E82" i="1" s="1"/>
  <c r="D81" i="1"/>
  <c r="E81" i="1" s="1"/>
  <c r="D80" i="1"/>
  <c r="E80" i="1" s="1"/>
  <c r="D79" i="1"/>
  <c r="E79" i="1" s="1"/>
  <c r="D78" i="1"/>
  <c r="E78" i="1" s="1"/>
  <c r="D77" i="1"/>
  <c r="E77" i="1" s="1"/>
  <c r="D76" i="1"/>
  <c r="E76" i="1" s="1"/>
  <c r="D75" i="1"/>
  <c r="E75" i="1" s="1"/>
  <c r="D74" i="1"/>
  <c r="E74" i="1" s="1"/>
  <c r="D73" i="1"/>
  <c r="E73" i="1" s="1"/>
  <c r="D72" i="1"/>
  <c r="E72" i="1" s="1"/>
  <c r="D71" i="1"/>
  <c r="E71" i="1" s="1"/>
  <c r="D70" i="1"/>
  <c r="E70" i="1" s="1"/>
  <c r="D69" i="1"/>
  <c r="E69" i="1" s="1"/>
  <c r="D68" i="1"/>
  <c r="E68" i="1" s="1"/>
  <c r="D67" i="1"/>
  <c r="E67" i="1" s="1"/>
  <c r="D66" i="1"/>
  <c r="E66" i="1" s="1"/>
  <c r="D65" i="1"/>
  <c r="E65" i="1" s="1"/>
  <c r="D64" i="1"/>
  <c r="E64" i="1" s="1"/>
  <c r="D63" i="1"/>
  <c r="E63" i="1" s="1"/>
  <c r="D62" i="1"/>
  <c r="E62" i="1" s="1"/>
  <c r="D61" i="1"/>
  <c r="E61" i="1" s="1"/>
  <c r="D60" i="1"/>
  <c r="E60" i="1" s="1"/>
  <c r="D59" i="1"/>
  <c r="E59" i="1" s="1"/>
  <c r="D58" i="1"/>
  <c r="E58" i="1" s="1"/>
  <c r="D57" i="1"/>
  <c r="E57" i="1" s="1"/>
  <c r="D56" i="1"/>
  <c r="E56" i="1" s="1"/>
  <c r="D55" i="1"/>
  <c r="E55" i="1" s="1"/>
  <c r="D54" i="1"/>
  <c r="E54" i="1" s="1"/>
  <c r="D53" i="1"/>
  <c r="E53" i="1" s="1"/>
  <c r="D52" i="1"/>
  <c r="E52" i="1" s="1"/>
  <c r="D51" i="1"/>
  <c r="E51" i="1" s="1"/>
  <c r="D50" i="1"/>
  <c r="E50" i="1" s="1"/>
  <c r="D49" i="1"/>
  <c r="E49" i="1" s="1"/>
  <c r="D48" i="1"/>
  <c r="E48" i="1" s="1"/>
  <c r="D47" i="1"/>
  <c r="E47" i="1" s="1"/>
  <c r="D46" i="1"/>
  <c r="E46" i="1" s="1"/>
  <c r="D45" i="1"/>
  <c r="E45" i="1" s="1"/>
  <c r="D44" i="1"/>
  <c r="E44" i="1" s="1"/>
  <c r="D43" i="1"/>
  <c r="E43" i="1" s="1"/>
  <c r="D42" i="1"/>
  <c r="E42" i="1" s="1"/>
  <c r="D41" i="1"/>
  <c r="E41" i="1" s="1"/>
  <c r="D40" i="1"/>
  <c r="E40" i="1" s="1"/>
  <c r="D39" i="1"/>
  <c r="E39" i="1" s="1"/>
  <c r="D38" i="1"/>
  <c r="E38" i="1" s="1"/>
  <c r="D37" i="1"/>
  <c r="E37" i="1" s="1"/>
  <c r="D36" i="1"/>
  <c r="E36" i="1" s="1"/>
  <c r="D35" i="1"/>
  <c r="E35" i="1" s="1"/>
  <c r="D34" i="1"/>
  <c r="E34" i="1" s="1"/>
  <c r="D33" i="1"/>
  <c r="E33" i="1" s="1"/>
  <c r="D32" i="1"/>
  <c r="E32" i="1" s="1"/>
  <c r="D31" i="1"/>
  <c r="E31" i="1" s="1"/>
  <c r="D30" i="1"/>
  <c r="E30" i="1" s="1"/>
  <c r="D29" i="1"/>
  <c r="E29" i="1" s="1"/>
  <c r="D28" i="1"/>
  <c r="E28" i="1" s="1"/>
  <c r="D27" i="1"/>
  <c r="E27" i="1" s="1"/>
  <c r="D26" i="1"/>
  <c r="E26" i="1" s="1"/>
  <c r="D25" i="1"/>
  <c r="E25" i="1" s="1"/>
  <c r="D24" i="1"/>
  <c r="E24" i="1" s="1"/>
  <c r="D23" i="1"/>
  <c r="E23" i="1" s="1"/>
  <c r="D22" i="1"/>
  <c r="E22" i="1" s="1"/>
  <c r="D21" i="1"/>
  <c r="E21" i="1" s="1"/>
  <c r="D20" i="1"/>
  <c r="E20" i="1" s="1"/>
  <c r="D19" i="1"/>
  <c r="E19" i="1" s="1"/>
  <c r="D18" i="1"/>
  <c r="E18" i="1" s="1"/>
  <c r="D17" i="1"/>
  <c r="E17" i="1" s="1"/>
  <c r="D16" i="1"/>
  <c r="E16" i="1" s="1"/>
  <c r="D15" i="1"/>
  <c r="E15" i="1" s="1"/>
  <c r="D14" i="1"/>
  <c r="E14" i="1" s="1"/>
  <c r="D13" i="1"/>
  <c r="E13" i="1" s="1"/>
  <c r="D12" i="1"/>
  <c r="E12" i="1" s="1"/>
  <c r="D11" i="1"/>
  <c r="E11" i="1" s="1"/>
  <c r="D10" i="1"/>
  <c r="E10" i="1" s="1"/>
  <c r="D9" i="1"/>
  <c r="E9" i="1" s="1"/>
  <c r="D8" i="1"/>
  <c r="E8" i="1" s="1"/>
  <c r="D7" i="1"/>
  <c r="E7" i="1" s="1"/>
  <c r="D6" i="1"/>
  <c r="E6" i="1" s="1"/>
  <c r="D5" i="1"/>
  <c r="E5" i="1" s="1"/>
  <c r="E4" i="1"/>
  <c r="D3" i="1"/>
  <c r="E3" i="1" s="1"/>
  <c r="B2" i="17" l="1"/>
  <c r="B3" i="17" s="1"/>
  <c r="B4" i="17" s="1"/>
  <c r="B5" i="17" s="1"/>
  <c r="B6" i="17" s="1"/>
  <c r="A2" i="19"/>
  <c r="N13" i="17"/>
  <c r="N33" i="17"/>
  <c r="N14" i="17"/>
  <c r="N17" i="17"/>
  <c r="N37" i="17"/>
  <c r="N38" i="17"/>
  <c r="N39" i="17"/>
  <c r="N20" i="17"/>
  <c r="N21" i="17"/>
  <c r="N3" i="17"/>
  <c r="O3" i="17" s="1"/>
  <c r="N24" i="17"/>
  <c r="N23" i="17"/>
  <c r="N4" i="17"/>
  <c r="O4" i="17" s="1"/>
  <c r="N26" i="17"/>
  <c r="N19" i="17"/>
  <c r="N27" i="17"/>
  <c r="O2" i="17"/>
  <c r="N22" i="17"/>
  <c r="N5" i="17"/>
  <c r="O5" i="17" s="1"/>
  <c r="N25" i="17"/>
  <c r="N30" i="17"/>
  <c r="N11" i="17"/>
  <c r="N15" i="17"/>
  <c r="N35" i="17"/>
  <c r="N16" i="17"/>
  <c r="N36" i="17"/>
  <c r="N10" i="17"/>
  <c r="N31" i="17"/>
  <c r="B7" i="17" l="1"/>
  <c r="O6" i="17"/>
  <c r="B8" i="17" l="1"/>
  <c r="O7" i="17"/>
  <c r="B9" i="17" l="1"/>
  <c r="O8" i="17"/>
  <c r="B10" i="17" l="1"/>
  <c r="O9" i="17"/>
  <c r="B11" i="17" l="1"/>
  <c r="O10" i="17"/>
  <c r="B12" i="17" l="1"/>
  <c r="O11" i="17"/>
  <c r="B13" i="17" l="1"/>
  <c r="O12" i="17"/>
  <c r="B14" i="17" l="1"/>
  <c r="O13" i="17"/>
  <c r="B15" i="17" l="1"/>
  <c r="O14" i="17"/>
  <c r="B16" i="17" l="1"/>
  <c r="O15" i="17"/>
  <c r="B17" i="17" l="1"/>
  <c r="O16" i="17"/>
  <c r="B18" i="17" l="1"/>
  <c r="O17" i="17"/>
  <c r="B19" i="17" l="1"/>
  <c r="O18" i="17"/>
  <c r="B20" i="17" l="1"/>
  <c r="O19" i="17"/>
  <c r="B21" i="17" l="1"/>
  <c r="O20" i="17"/>
  <c r="B22" i="17" l="1"/>
  <c r="O21" i="17"/>
  <c r="B23" i="17" l="1"/>
  <c r="O22" i="17"/>
  <c r="B24" i="17" l="1"/>
  <c r="O23" i="17"/>
  <c r="B25" i="17" l="1"/>
  <c r="O24" i="17"/>
  <c r="B26" i="17" l="1"/>
  <c r="O25" i="17"/>
  <c r="B27" i="17" l="1"/>
  <c r="O26" i="17"/>
  <c r="B28" i="17" l="1"/>
  <c r="O27" i="17"/>
  <c r="B29" i="17" l="1"/>
  <c r="O28" i="17"/>
  <c r="B30" i="17" l="1"/>
  <c r="O29" i="17"/>
  <c r="B31" i="17" l="1"/>
  <c r="O30" i="17"/>
  <c r="B32" i="17" l="1"/>
  <c r="O31" i="17"/>
  <c r="B33" i="17" l="1"/>
  <c r="O32" i="17"/>
  <c r="B34" i="17" l="1"/>
  <c r="O33" i="17"/>
  <c r="B35" i="17" l="1"/>
  <c r="O34" i="17"/>
  <c r="B36" i="17" l="1"/>
  <c r="O35" i="17"/>
  <c r="B37" i="17" l="1"/>
  <c r="O36" i="17"/>
  <c r="B38" i="17" l="1"/>
  <c r="O37" i="17"/>
  <c r="B39" i="17" l="1"/>
  <c r="O39" i="17" s="1"/>
  <c r="O38" i="17"/>
  <c r="Q4" i="20"/>
</calcChain>
</file>

<file path=xl/sharedStrings.xml><?xml version="1.0" encoding="utf-8"?>
<sst xmlns="http://schemas.openxmlformats.org/spreadsheetml/2006/main" count="1868" uniqueCount="205">
  <si>
    <t>approute</t>
  </si>
  <si>
    <t>lamdaname</t>
  </si>
  <si>
    <t>requesttype</t>
  </si>
  <si>
    <t>taskname</t>
  </si>
  <si>
    <t>statemachine</t>
  </si>
  <si>
    <t>parenenttype</t>
  </si>
  <si>
    <t>requesttype insert</t>
  </si>
  <si>
    <t>statemachinerepot</t>
  </si>
  <si>
    <t>app.crontasks</t>
  </si>
  <si>
    <t>app.cronactions</t>
  </si>
  <si>
    <t>Comments</t>
  </si>
  <si>
    <t>in-transit-rma-asn</t>
  </si>
  <si>
    <t>In Transit RMA ASN 7 Days</t>
  </si>
  <si>
    <t>tbd</t>
  </si>
  <si>
    <t>(select rt2.requesttypeid from app.requesttype rt2 where rt2.description = 'CRON Scheduling Dashboard')</t>
  </si>
  <si>
    <t>wms-tools-lambda-db-alert</t>
  </si>
  <si>
    <t>db-alert-order-no-desig-assign</t>
  </si>
  <si>
    <t>DB Alert: Orders No Designated or Assigned Shipments</t>
  </si>
  <si>
    <t>(not inserting for each new db alert, all DB Alerts using the same wms-tools-state-machine-db-alert)</t>
  </si>
  <si>
    <t>(select null)</t>
  </si>
  <si>
    <t>All corrected (formula changed) but only for DB Alert records: For crontask query, D column (requestttype) was being used instead of E column (taskname) except for last variable. For cronaction query, same issue except for RequestType property in payload, in addition to not needing to append request type (colum D) to StateMachine and Lambda properties of payload.</t>
  </si>
  <si>
    <t>db-alert-static-route-missing-threshold</t>
  </si>
  <si>
    <t>DB Alert: Static Route Missing Threshold Value</t>
  </si>
  <si>
    <t>orgid</t>
  </si>
  <si>
    <t>sql</t>
  </si>
  <si>
    <t>alloption</t>
  </si>
  <si>
    <t>subject</t>
  </si>
  <si>
    <t>fromemail</t>
  </si>
  <si>
    <t>toemail</t>
  </si>
  <si>
    <t>ccemail</t>
  </si>
  <si>
    <t>hmtlheader</t>
  </si>
  <si>
    <t>introhtml</t>
  </si>
  <si>
    <t>tablheaders</t>
  </si>
  <si>
    <t>tablerows</t>
  </si>
  <si>
    <t>footerhtml</t>
  </si>
  <si>
    <t>payload</t>
  </si>
  <si>
    <t>update sql</t>
  </si>
  <si>
    <t>ABQ</t>
  </si>
  <si>
    <t xml:space="preserve">select org_id, asn_id, asn_status, created_timestamp from default_receiving.RCV_ASN where org_id = %(orgName)s and asn_status = ''1000'' and canceled = ''0'' and asn_origin_type_id =''R'' and created_timestamp &lt;= now() - interval %(days)s day </t>
  </si>
  <si>
    <t>created.in.the.python.code</t>
  </si>
  <si>
    <t>noreply@rndc-usa.com</t>
  </si>
  <si>
    <t>use.email.from.result.set.from.mysql</t>
  </si>
  <si>
    <t>&lt;h2 style=''margin:0;''&gt;WILL CALL ALERT&lt;/h2&gt;</t>
  </si>
  <si>
    <t>[]</t>
  </si>
  <si>
    <t>&lt;h2 style=''margin:0;''&gt;FOOTER.TBD&lt;/h2&gt;</t>
  </si>
  <si>
    <t>ARK</t>
  </si>
  <si>
    <t>ASH</t>
  </si>
  <si>
    <t>ATL</t>
  </si>
  <si>
    <t>AUB</t>
  </si>
  <si>
    <t>CCR</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</si>
  <si>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</si>
  <si>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</si>
  <si>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</si>
  <si>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</si>
  <si>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</si>
  <si>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</si>
  <si>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</si>
  <si>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</si>
  <si>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</si>
  <si>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</si>
  <si>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</si>
  <si>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</si>
  <si>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</si>
  <si>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</si>
  <si>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</si>
  <si>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</si>
  <si>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</si>
  <si>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</si>
  <si>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</si>
  <si>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</si>
  <si>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</si>
  <si>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</si>
  <si>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</si>
  <si>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</si>
  <si>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</si>
  <si>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</si>
  <si>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</si>
  <si>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SAA</t>
  </si>
  <si>
    <t>SIO</t>
  </si>
  <si>
    <t>TAM</t>
  </si>
  <si>
    <t>TOL</t>
  </si>
  <si>
    <t>WSD</t>
  </si>
  <si>
    <t>alertname</t>
  </si>
  <si>
    <t>datasource</t>
  </si>
  <si>
    <t>databaseconnection</t>
  </si>
  <si>
    <t>databasetype</t>
  </si>
  <si>
    <t>databaseuri</t>
  </si>
  <si>
    <t>emailsubject</t>
  </si>
  <si>
    <t>emailbody</t>
  </si>
  <si>
    <t>emailfromemail</t>
  </si>
  <si>
    <t>emailtoemail</t>
  </si>
  <si>
    <t>emailccemail</t>
  </si>
  <si>
    <t>emailfooter</t>
  </si>
  <si>
    <t>emailattachment</t>
  </si>
  <si>
    <t>STATIC ROUTE MISSING THRESHOLD VALUE</t>
  </si>
  <si>
    <t>MAWM</t>
  </si>
  <si>
    <t>MAPRD_NEW</t>
  </si>
  <si>
    <t>MySQL</t>
  </si>
  <si>
    <t>jdbc:{host}:{port}/information_schema</t>
  </si>
  <si>
    <t>Splunk Alert: $alertName$</t>
  </si>
  <si>
    <t>&lt;pre&gt;The alert condition for ''$name$'' was triggered.&lt;/pre&gt;</t>
  </si>
  <si>
    <t>wms-tools-noreply@rndc-usa.com</t>
  </si>
  <si>
    <t>wmsinternal@RNDC-USA.COM, WMSMSPSupport@RNDC-USA.COM</t>
  </si>
  <si>
    <t xml:space="preserve">SELECT Substr(profile_id, 1, 3) ''WHSE'', static_route_id, ext_threshold ''THRESHOLD_VALUE'' FROM default_routing.RTG_STATIC_ROUTE WHERE ext_threshold IS NULL AND profile_id = ''$orgId_Org_Profile'' </t>
  </si>
  <si>
    <t>["link-to-alert","link-to-results", "inline-table"]</t>
  </si>
  <si>
    <t>&lt;pre&gt;The alert condition for ''$name$'' was triggered.&lt;br /&gt;&lt;br /&gt;***MSP TO CLEAN UP***&lt;br /&gt;Configure the necessary values in the Static Route UI&lt;/pre&gt;</t>
  </si>
  <si>
    <t>Jonathan.Snell@RNDC-USA.COM, Preston.Mccauley@RNDC-USA.COM, Rob.Garcia@RNDC-USA.COM, Jordan.Stoll@rndc-usa.com, Richard.Gay@RNDC-USA.COM, Billy.Calloway@RNDC-USA.COM, Ryan.Black@rndc-usa.com</t>
  </si>
  <si>
    <t>wmsinternal@rndc-usa.com, wmsconsultant@rndc-usa.com, WMSMSPSupport@RNDC-USA.COM</t>
  </si>
  <si>
    <t>AUT</t>
  </si>
  <si>
    <t>CHI</t>
  </si>
  <si>
    <t>Ryan.Metz@rndc-usa.com, John.Hall@rndc-usa.com, Anthony.Coleman@rndc-usa.com, Dazzle.Keyser@rndc-usa.com, Douglas.Garner@rndc-usa.com</t>
  </si>
  <si>
    <t>RNDC</t>
  </si>
  <si>
    <t>RVR</t>
  </si>
  <si>
    <t>Travis.Eldridge@rndc-usa.com,joseph.duran@rndc-usa.com,travis.gusler@rndc-usa.com,christopher.gonzales@rndc-usa.com,Larry.Shelton@RNDC-USA.COM, Octavio.Chavez@RNDC-USA.COM, kameron.phipps@rndc-usa.com,</t>
  </si>
  <si>
    <t>TRN</t>
  </si>
  <si>
    <t>demetrius.dever@rndc-usa.com,Michael.Clark@RNDC-USA.com,clarence.hall@rndc-usa.com,brian.bowen@rndc-usa.com,barbara.jackson@rndc-usa.com,rodney.williams@rndc-usa.com</t>
  </si>
  <si>
    <t>requesttypedescription</t>
  </si>
  <si>
    <t xml:space="preserve">insert into app.warehouselocationdetail(description, longdescription, warehouseid, requesttypeid, payload) </t>
  </si>
  <si>
    <t>db-alert-lia-pack-uom</t>
  </si>
  <si>
    <t>{"alertName":"LIA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t>
  </si>
  <si>
    <t>fs-asw-asn-error</t>
  </si>
  <si>
    <t>{"emailContent":{"subject":"Splunk Alert: $name$","body":"The alert condition for $name$ was triggered","fromEmail":"noreply@rndc-usa.com","toEmail":"test@rndc-usa.com","footer":"text below table","attachment":["inline-table","link-to-alert","link-to-results","search-string"]}}'</t>
  </si>
  <si>
    <t>tms-scheduled-scripts</t>
  </si>
  <si>
    <t>null</t>
  </si>
  <si>
    <t>will-call-alert</t>
  </si>
  <si>
    <t>{"subject":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t>
  </si>
  <si>
    <t>insert into app.warehouselocationdetail(description, longdescription, warehouseid, requesttypeid, createdby, lastupdatedby)</t>
  </si>
  <si>
    <t xml:space="preserve">select -- w.warehouseshortname, </t>
  </si>
  <si>
    <t>rt.description, rt.description, w.warehouseid, rt.requesttypeid, 'sysuser', 'sysuser' from app.warehouselocation w, app.requesttype rt where w.warehouseshortname not in ('DEFAULTS', 'PRODEV')</t>
  </si>
  <si>
    <t>and rt.description in ('will-call-alert' , 'tms-scheduled-scripts' ,'fs-asw-asn-error', 'db-alert-lia-pack-uom')</t>
  </si>
  <si>
    <t xml:space="preserve">insert into app.warehouselocationdetail(description, longdescription, warehouseid, requesttypeid, createdby, lastupdatedby) </t>
  </si>
  <si>
    <t>select sql</t>
  </si>
  <si>
    <t>insert sql</t>
  </si>
  <si>
    <t>TST</t>
  </si>
  <si>
    <t>{ "emailContent": {"subject":"created.in.the.python.code","fromEmail":"noreply@rndc-usa.com","toEmail":"use.email.from.result.set.from.mysql","sections":[{"htmlHeader":"&lt;h2 style=''margin:0;''&gt;WILL CALL ALERT&lt;/h2&gt;"},{"introHtml":"created.in.the.python.code"},{"tableHtml":{"tableHeaders":[],"tableRows":[]}},{"footerHtml":"created.in.the.python.code"}]}, "allOption": []}</t>
  </si>
  <si>
    <t>{"emailContent":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</si>
  <si>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</si>
  <si>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</si>
  <si>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</si>
  <si>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</si>
  <si>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t>
  </si>
  <si>
    <t>{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</si>
  <si>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</si>
  <si>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</si>
  <si>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</si>
  <si>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t>
  </si>
  <si>
    <t>reqtype</t>
  </si>
  <si>
    <t>au01-failure-10-min</t>
  </si>
  <si>
    <t>AU01 Failure 10 Minutes</t>
  </si>
  <si>
    <t>INTRO</t>
  </si>
  <si>
    <t>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t>
  </si>
  <si>
    <t xml:space="preserve">{"allOption": {"minRange": 10}, "emailContent": {"subject": "Splunk Alert: </t>
  </si>
  <si>
    <t>", "body": "The alert condition for</t>
  </si>
  <si>
    <t>was triggered.&lt;br&gt;&lt;br&gt;Serves as a notification to complete research on pending adjustments as the Corporate Limit is no greater than 45 days outstanding.", "fromEmail": "wms-tools-no-reply@rndc-usa.com", "toEmail": "</t>
  </si>
  <si>
    <t>", "footer": "If you believe you''ve received this email in error, please contact WMSMSPSupport@RNDC-USA.COM."}, "introHtml": "</t>
  </si>
  <si>
    <t>ORIGID</t>
  </si>
  <si>
    <t>TOEMAIL</t>
  </si>
  <si>
    <t>wmsinternal@RNDC-USA.COM, WMSConsultant@RNDC-USA.COM, wmsmspsupport@rndc-usa.com,DL_MANH_RNDC_MAWM_PSO@manh.com, DL_RNDC_MAWM_CSO@manh.com,ABQ-Automation-Support@RNDC-USA.COM</t>
  </si>
  <si>
    <t>wmsinternal@RNDC-USA.COM, WMSConsultant@RNDC-USA.COM, wmsmspsupport@rndc-usa.com, DL_MANH_RNDC_MAWM_PSO@manh.com,  DL_RNDC_MAWM_CSO@manh.com, Kim.Crawford@rndc-usa.com, Joe.Thompson@rndc-usa.com</t>
  </si>
  <si>
    <t>wmsinternal@RNDC-USA.COM, WMSConsultant@RNDC-USA.COM, wmsmspsupport@rndc-usa.com, DL_MANH_RNDC_MAWM_PSO@manh.com,  DL_RNDC_MAWM_CSO@manh.com, atl-automation-support@rndc-usa.com</t>
  </si>
  <si>
    <t>wmsinternal@RNDC-USA.COM, WMSConsultant@RNDC-USA.COM, wmsmspsupport@rndc-usa.com, DL_MANH_RNDC_MAWM_PSO@manh.com,  DL_RNDC_MAWM_CSO@manh.com, aub-automation-support@rndc-usa.com</t>
  </si>
  <si>
    <t>wmsinternal@RNDC-USA.COM, WMSConsultant@RNDC-USA.COM, wmsmspsupport@rndc-usa.com, DL_MANH_RNDC_MAWM_PSO@manh.com,  DL_RNDC_MAWM_CSO@manh.com,elp-automation-support@rndc-usa.com</t>
  </si>
  <si>
    <t>wmsinternal@RNDC-USA.COM, WMSConsultant@RNDC-USA.COM, wmsmspsupport@rndc-usa.com, DL_MANH_RNDC_MAWM_PSO@manh.com,  DL_RNDC_MAWM_CSO@manh.com,  col-automation-support@rndc-usa.com, Jose.Perez@RNDC-USA.COM, Robert.Walker2@rndc-usa.com, Kyle.Hafford@rndc-usa.com</t>
  </si>
  <si>
    <t>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t>
  </si>
  <si>
    <t>wmsinternal@RNDC-USA.COM, WMSConsultant@RNDC-USA.COM, wmsmspsupport@rndc-usa.com, DL_MANH_RNDC_MAWM_PSO@manh.com,  DL_RNDC_MAWM_CSO@manh.com, Blair.Gilberts@RNDC-USA.COM</t>
  </si>
  <si>
    <t>wmsinternal@RNDC-USA.COM, WMSConsultant@RNDC-USA.COM, wmsmspsupport@rndc-usa.com, DL_MANH_RNDC_MAWM_PSO@manh.com,  DL_RNDC_MAWM_CSO@manh.com, DFW-Automation-Support@RNDC-USA.COM</t>
  </si>
  <si>
    <t>wmsinternal@RNDC-USA.COM, WMSConsultant@RNDC-USA.COM, wmsmspsupport@rndc-usa.com, DL_MANH_RNDC_MAWM_PSO@manh.com,  DL_RNDC_MAWM_CSO@manh.com, hou-automation-support@rndc-usa.com</t>
  </si>
  <si>
    <t>wmsinternal@RNDC-USA.COM, WMSConsultant@RNDC-USA.COM, wmsmspsupport@rndc-usa.com, DL_MANH_RNDC_MAWM_PSO@manh.com,  DL_RNDC_MAWM_CSO@manh.com,ind-automation-support@rndc-usa.com</t>
  </si>
  <si>
    <t>wmsinternal@RNDC-USA.COM, WMSConsultant@RNDC-USA.COM, wmsmspsupport@rndc-usa.com, DL_MANH_RNDC_MAWM_PSO@manh.com,  DL_RNDC_MAWM_CSO@manh.com,jes-automation-support@rndc-usa.com</t>
  </si>
  <si>
    <t>wmsinternal@RNDC-USA.COM, WMSConsultant@RNDC-USA.COM, wmsmspsupport@rndc-usa.com, DL_MANH_RNDC_MAWM_PSO@manh.com,  DL_RNDC_MAWM_CSO@manh.com,laf-automation-support@rndc-usa.com, Pat.Maggiore@RNDC-USA.COM</t>
  </si>
  <si>
    <t>wmsinternal@RNDC-USA.COM, WMSConsultant@RNDC-USA.COM, wmsmspsupport@rndc-usa.com, DL_MANH_RNDC_MAWM_PSO@manh.com,  DL_RNDC_MAWM_CSO@manh.com, liv-automation-support@rndc-usa.com</t>
  </si>
  <si>
    <t>wmsinternal@RNDC-USA.COM, WMSConsultant@RNDC-USA.COM, wmsmspsupport@rndc-usa.com, DL_MANH_RNDC_MAWM_PSO@manh.com,  DL_RNDC_MAWM_CSO@manh.com,lou-automation-support@rndc-usa.com</t>
  </si>
  <si>
    <t>wmsinternal@RNDC-USA.COM, WMSConsultant@RNDC-USA.COM, wmsmspsupport@rndc-usa.com, DL_MANH_RNDC_MAWM_PSO@manh.com,  DL_RNDC_MAWM_CSO@manh.com, lub-automation-support@rndc-usa.com</t>
  </si>
  <si>
    <t>MOU</t>
  </si>
  <si>
    <t>wmsinternal@RNDC-USA.COM, WMSConsultant@RNDC-USA.COM,wmsmspsupport@rndc-usa.com, DL_MANH_RNDC_MAWM_PSO@manh.com,  DL_RNDC_MAWM_CSO@manh.com</t>
  </si>
  <si>
    <t>wmsinternal@RNDC-USA.COM, WMSConsultant@RNDC-USA.COM, wmsmspsupport@rndc-usa.com, DL_MANH_RNDC_MAWM_PSO@manh.com, DL_RNDC_MAWM_CSO@manh.com,okl-automation-support@rndc-usa.com</t>
  </si>
  <si>
    <t>wmsinternal@RNDC-USA.COM, WMSConsultant@RNDC-USA.COM, wmsmspsupport@rndc-usa.com</t>
  </si>
  <si>
    <t>ORD</t>
  </si>
  <si>
    <t>wmsinternal@RNDC-USA.COM, WMSConsultant@RNDC-USA.COM, wmsmspsupport@rndc-usa.com, DL_MANH_RNDC_MAWM_PSO@manh.com,  DL_RNDC_MAWM_CSO@manh.com,orlautomationsupport@rndc-usa.com</t>
  </si>
  <si>
    <t>wmsinternal@RNDC-USA.COM, WMSConsultant@RNDC-USA.COM, wmsmspsupport@rndc-usa.com, DL_MANH_RNDC_MAWM_PSO@manh.com,  DL_RNDC_MAWM_CSO@manh.com,pen-automation-support@rndc-usa.com</t>
  </si>
  <si>
    <t>wmsinternal@RNDC-USA.COM, WMSConsultant@RNDC-USA.COM, wmsmspsupport@rndc-usa.com, DL_MANH_RNDC_MAWM_PSO@manh.com,  DL_RNDC_MAWM_CSO@manh.com,dg-por-automation-support@rndc-usa.com</t>
  </si>
  <si>
    <t>wmsinternal@RNDC-USA.COM, WMSConsultant@RNDC-USA.COM, wmsmspsupport@rndc-usa.com, DL_MANH_RNDC_MAWM_PSO@manh.com,  DL_RNDC_MAWM_CSO@manh.com</t>
  </si>
  <si>
    <t>wmsinternal@RNDC-USA.COM, WMSConsultant@RNDC-USA.COM, wmsmspsupport@rndc-usa.com, DL_MANH_RNDC_MAWM_PSO@manh.com,  DL_RNDC_MAWM_CSO@manh.com,sio-automation-support@rndc-usa.com</t>
  </si>
  <si>
    <t>wmsinternal@RNDC-USA.COM, WMSConsultant@RNDC-USA.COM, wmsmspsupport@rndc-usa.com, DL_MANH_RNDC_MAWM_PSO@manh.com,  DL_RNDC_MAWM_CSO@manh.com,tam-automation-support@rndc-usa.com</t>
  </si>
  <si>
    <t>wmsinternal@RNDC-USA.COM, WMSConsultant@RNDC-USA.COM, wmsmspsupport@rndc-usa.com, DL_MANH_RNDC_MAWM_PSO@manh.com,  DL_RNDC_MAWM_CSO@manh.com,wsd-automation-support@rndc-usa.com</t>
  </si>
  <si>
    <t>in_transit_rma_asn_7_days</t>
  </si>
  <si>
    <t>{"subject":"subject","fromEmail":"fromEmail","toEmail":"toEmail","ccEmail":"ccEmail","sections":[{"htmlHeader":"htmlHeader"},{"introHtml":"introHtml"},{"footer_hmtl":"foot_html"}]}</t>
  </si>
  <si>
    <t>In Transit RMA ASNs &gt; 7 Days</t>
  </si>
  <si>
    <t>As part of system cleanup/maintenance below planned RMA''s are being cancelled as no return has been processed on them in last 7 days</t>
  </si>
  <si>
    <t xml:space="preserve">{"allOption": {"days": 7}, "emailContent": {"subject": "Splunk Alert: </t>
  </si>
  <si>
    <t>", "introHtml": "The alert condition for</t>
  </si>
  <si>
    <t>HAW-Automation-Support@RNDC-USA.COM, wmsinternal@RNDC-USA.COM, WMSMSPSupport@RNDC-USA.COM</t>
  </si>
  <si>
    <t>KAP-Automation-Support@RNDC-USA.COM, wmsinternal@RNDC-USA.COM, WMSMSPSupport@RNDC-USA.COM</t>
  </si>
  <si>
    <t>KAU-Automation-Support@RNDC-USA.COM, wmsinternal@RNDC-USA.COM, WMSMSPSupport@RNDC-USA.COM</t>
  </si>
  <si>
    <t>MAU-Automation-Support@RNDC-USA.COM, wmsinternal@RNDC-USA.COM, WMSMSPSupport@RNDC-USA.COM</t>
  </si>
  <si>
    <t>OAH-Automation-Support@RNDC-USA.COM, wmsinternal@RNDC-USA.COM, WMSMSPSupport@RNDC-USA.COM</t>
  </si>
  <si>
    <t>in_transit_rma_asn_30_days</t>
  </si>
  <si>
    <t>In Transit RMA ASNs &gt; 30 Days</t>
  </si>
  <si>
    <t>As part of system cleanup/maintenance below planned RMA''s are being cancelled as no return has been processed on them in last 30 days</t>
  </si>
  <si>
    <t xml:space="preserve">{"allOption": {"days": 30}, "emailContent": {"subject": "Splunk Alert: </t>
  </si>
  <si>
    <t>{"subject":"created.in.the.python.code","fromEmail":"noreply@rndc-usa.com","toEmail":"use.email.from.result.set.from.mysql","sections":[{"htmlHeader":"&lt;h2 style=''margin:0;''&gt;WILL CALL ALERT&lt;/h2&gt;"},{"introHtml":"created.in.the.python.code"},{"tableHtml":{"tableHeaders":[],"tableRows":[]}},{"footerHtml":"created.in.the.python.code"}]}</t>
  </si>
  <si>
    <t>{"alertName":"LIA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</si>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</sst>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0"/>
      <color theme="1"/>
      <name val="Aptos Narrow"/>
      <family val="2"/>
      <scheme val="minor"/>
    </font>
    <font>
      <sz val="12"/>
      <color rgb="FF000000"/>
      <name val="Aptos Narrow"/>
      <family val="2"/>
    </font>
    <font>
      <sz val="12"/>
      <color theme="1"/>
      <name val="Aptos"/>
    </font>
    <font>
      <sz val="15"/>
      <color rgb="FF242424"/>
      <name val="Consolas"/>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quotePrefix="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1" applyAlignment="1"/>
    <xf numFmtId="0" fontId="1" fillId="0" borderId="0" xfId="1" applyAlignment="1">
      <alignment wrapText="1"/>
    </xf>
    <xf numFmtId="0" fontId="0" fillId="0" borderId="0" xfId="0" quotePrefix="1" applyAlignment="1">
      <alignment wrapText="1"/>
    </xf>
    <xf numFmtId="0" fontId="0" fillId="2" borderId="0" xfId="0" applyFill="1" applyAlignment="1">
      <alignment wrapText="1"/>
    </xf>
    <xf numFmtId="0" fontId="2" fillId="0" borderId="0" xfId="0" applyFont="1" applyAlignment="1">
      <alignment wrapText="1"/>
    </xf>
    <xf numFmtId="0" fontId="3" fillId="0" borderId="0" xfId="0" applyFont="1"/>
    <xf numFmtId="0" fontId="4" fillId="0" borderId="0" xfId="0" applyFont="1" applyAlignment="1">
      <alignment vertical="center" wrapText="1"/>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noreply@rndc-usa.com" TargetMode="External"/><Relationship Id="rId1" Type="http://schemas.openxmlformats.org/officeDocument/2006/relationships/hyperlink" Target="mailto:noreply@rndc-usa.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Travis.Eldridge@rndc-usa.com,joseph.duran@rndc-usa.com,travis.gusler@rndc-usa.com,christopher.gonzales@rndc-usa.com,Larry.Shelton@RNDC-USA.COM,%20Octavio.Chavez@RNDC-USA.COM,%20kameron.phipps@rndc-usa.com" TargetMode="External"/><Relationship Id="rId13" Type="http://schemas.openxmlformats.org/officeDocument/2006/relationships/hyperlink" Target="mailto:Ryan.Metz@rndc-usa.com,%20John.Hall@rndc-usa.com,%20Anthony.Coleman@rndc-usa.com,%20Dazzle.Keyser@rndc-usa.com,%20Douglas.Garner@rndc-usa.com" TargetMode="External"/><Relationship Id="rId18" Type="http://schemas.openxmlformats.org/officeDocument/2006/relationships/hyperlink" Target="mailto:wmsinternal@RNDC-USA.COM,%20WMSMSPSupport@RNDC-USA.COM" TargetMode="External"/><Relationship Id="rId3" Type="http://schemas.openxmlformats.org/officeDocument/2006/relationships/hyperlink" Target="mailto:wmsinternal@rndc-usa.com,%20wmsconsultant@rndc-usa.com,%20WMSMSPSupport@RNDC-USA.COM" TargetMode="External"/><Relationship Id="rId7" Type="http://schemas.openxmlformats.org/officeDocument/2006/relationships/hyperlink" Target="mailto:wmsinternal@RNDC-USA.COM,%20WMSMSPSupport@RNDC-USA.COM" TargetMode="External"/><Relationship Id="rId12" Type="http://schemas.openxmlformats.org/officeDocument/2006/relationships/hyperlink" Target="mailto:wmsinternal@rndc-usa.com,%20wmsconsultant@rndc-usa.com,%20WMSMSPSupport@RNDC-USA.COM" TargetMode="External"/><Relationship Id="rId17" Type="http://schemas.openxmlformats.org/officeDocument/2006/relationships/hyperlink" Target="mailto:wmsinternal@RNDC-USA.COM,%20WMSMSPSupport@RNDC-USA.COM" TargetMode="External"/><Relationship Id="rId2" Type="http://schemas.openxmlformats.org/officeDocument/2006/relationships/hyperlink" Target="mailto:Jonathan.Snell@RNDC-USA.COM,%20Preston.Mccauley@RNDC-USA.COM,%20Rob.Garcia@RNDC-USA.COM,%20Jordan.Stoll@rndc-usa.com,%20Richard.Gay@RNDC-USA.COM,%20Billy.Calloway@RNDC-USA.COM,%20Ryan.Black@rndc-usa.com" TargetMode="External"/><Relationship Id="rId16" Type="http://schemas.openxmlformats.org/officeDocument/2006/relationships/hyperlink" Target="mailto:wmsinternal@RNDC-USA.COM,%20WMSMSPSupport@RNDC-USA.COM" TargetMode="External"/><Relationship Id="rId1" Type="http://schemas.openxmlformats.org/officeDocument/2006/relationships/hyperlink" Target="mailto:wms-tools-noreply@rndc-usa.com" TargetMode="External"/><Relationship Id="rId6" Type="http://schemas.openxmlformats.org/officeDocument/2006/relationships/hyperlink" Target="mailto:wms-tools-noreply@rndc-usa.com" TargetMode="External"/><Relationship Id="rId11" Type="http://schemas.openxmlformats.org/officeDocument/2006/relationships/hyperlink" Target="mailto:demetrius.dever@rndc-usa.com,Michael.Clark@RNDC-USA.com,clarence.hall@rndc-usa.com,brian.bowen@rndc-usa.com,barbara.jackson@rndc-usa.com,rodney.williams@rndc-usa.com" TargetMode="External"/><Relationship Id="rId5" Type="http://schemas.openxmlformats.org/officeDocument/2006/relationships/hyperlink" Target="mailto:wms-tools-noreply@rndc-usa.com" TargetMode="External"/><Relationship Id="rId15" Type="http://schemas.openxmlformats.org/officeDocument/2006/relationships/hyperlink" Target="mailto:wmsinternal@RNDC-USA.COM,%20WMSMSPSupport@RNDC-USA.COM" TargetMode="External"/><Relationship Id="rId10" Type="http://schemas.openxmlformats.org/officeDocument/2006/relationships/hyperlink" Target="mailto:wmsinternal@rndc-usa.com,%20wmsconsultant@rndc-usa.com,%20WMSMSPSupport@RNDC-USA.COM" TargetMode="External"/><Relationship Id="rId19" Type="http://schemas.openxmlformats.org/officeDocument/2006/relationships/hyperlink" Target="mailto:wmsinternal@RNDC-USA.COM,%20WMSMSPSupport@RNDC-USA.COM" TargetMode="External"/><Relationship Id="rId4" Type="http://schemas.openxmlformats.org/officeDocument/2006/relationships/hyperlink" Target="mailto:wms-tools-noreply@rndc-usa.com" TargetMode="External"/><Relationship Id="rId9" Type="http://schemas.openxmlformats.org/officeDocument/2006/relationships/hyperlink" Target="mailto:wmsinternal@rndc-usa.com,%20wmsconsultant@rndc-usa.com,%20WMSMSPSupport@RNDC-USA.COM" TargetMode="External"/><Relationship Id="rId14" Type="http://schemas.openxmlformats.org/officeDocument/2006/relationships/hyperlink" Target="mailto:wmsinternal@RNDC-USA.COM,%20WMSMSPSupport@RNDC-USA.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12F5-53AE-4DBD-8AA2-CC7A2B283A4F}">
  <dimension ref="A1:M17"/>
  <sheetViews>
    <sheetView tabSelected="1" topLeftCell="A2" zoomScale="110" zoomScaleNormal="110" workbookViewId="0">
      <selection activeCell="C17" sqref="C17"/>
    </sheetView>
  </sheetViews>
  <sheetFormatPr baseColWidth="10" defaultColWidth="8.83203125" defaultRowHeight="15" x14ac:dyDescent="0.2"/>
  <cols>
    <col min="1" max="1" width="29.33203125" customWidth="1"/>
    <col min="2" max="3" width="72.83203125" customWidth="1"/>
    <col min="4" max="5" width="36.33203125" customWidth="1"/>
    <col min="6" max="6" width="61.5" customWidth="1"/>
    <col min="7" max="9" width="36.33203125" customWidth="1"/>
    <col min="10" max="10" width="35.83203125" customWidth="1"/>
    <col min="11" max="11" width="36.1640625" style="2" customWidth="1"/>
    <col min="12" max="12" width="86" style="2" customWidth="1"/>
  </cols>
  <sheetData>
    <row r="1" spans="1:13" ht="16" x14ac:dyDescent="0.2">
      <c r="A1" t="s">
        <v>0</v>
      </c>
      <c r="B1" t="str">
        <f>A1 &amp; " Interactive"</f>
        <v>approute Interactive</v>
      </c>
      <c r="C1" t="s">
        <v>1</v>
      </c>
      <c r="D1" t="s">
        <v>2</v>
      </c>
      <c r="E1" t="s">
        <v>3</v>
      </c>
      <c r="F1" t="s">
        <v>4</v>
      </c>
      <c r="G1" t="s">
        <v>5</v>
      </c>
      <c r="H1" t="s">
        <v>6</v>
      </c>
      <c r="I1" t="str">
        <f>H1 &amp; " Interactive"</f>
        <v>requesttype insert Interactive</v>
      </c>
      <c r="J1" t="s">
        <v>7</v>
      </c>
      <c r="K1" s="2" t="s">
        <v>8</v>
      </c>
      <c r="L1" s="2" t="s">
        <v>9</v>
      </c>
      <c r="M1" t="s">
        <v>10</v>
      </c>
    </row>
    <row r="2" spans="1:13" ht="176" x14ac:dyDescent="0.2">
      <c r="A2">
        <v>51</v>
      </c>
      <c r="B2">
        <f>A2+1</f>
        <v>52</v>
      </c>
      <c r="C2" t="s">
        <v>11</v>
      </c>
      <c r="D2" t="str">
        <f>C2 &amp; "-7-days"</f>
        <v>in-transit-rma-asn-7-days</v>
      </c>
      <c r="E2" t="s">
        <v>12</v>
      </c>
      <c r="F2" s="1" t="s">
        <v>13</v>
      </c>
      <c r="G2" s="1" t="s">
        <v>14</v>
      </c>
      <c r="H2" t="str">
        <f>"insert into app.requesttype(requesttypeid, approute, description, longdescription) select (select max(r.requesttypeid) from app.requesttype r) + 1 requesttypeid, " &amp; A2 &amp; ", '" &amp; D2 &amp; "', '" &amp; D2 &amp; "' where not exists (select 1 from app.requesttype r2 where r2.approute = " &amp; A2 &amp; " );"</f>
        <v>insert into app.requesttype(requesttypeid, approute, description, longdescription) select (select max(r.requesttypeid) from app.requesttype r) + 1 requesttypeid, 51, 'in-transit-rma-asn-7-days', 'in-transit-rma-asn-7-days' where not exists (select 1 from app.requesttype r2 where r2.approute = 51 );</v>
      </c>
      <c r="I2" s="2" t="str">
        <f>"insert into app.requesttype(requesttypeid, approute, description, longdescription) select (select max(r.requesttypeid) from app.requesttype r) + 1 requesttypeid, " &amp; B2 &amp; ", '" &amp; D2 &amp; " Interactive', '" &amp; D2 &amp; " Interactive' where not exists (select 1 from app.requesttype r2 where r2.approute = " &amp; B2 &amp; " );"</f>
        <v>insert into app.requesttype(requesttypeid, approute, description, longdescription) select (select max(r.requesttypeid) from app.requesttype r) + 1 requesttypeid, 52, 'in-transit-rma-asn-7-days Interactive', 'in-transit-rma-asn-7-days Interactive' where not exists (select 1 from app.requesttype r2 where r2.approute = 52 );</v>
      </c>
      <c r="J2" s="2" t="str">
        <f>"insert into app.statemachinerepo(statemachine, description, requesttypeid) select '" &amp; F2 &amp; "-' || rt.description" &amp; ", '" &amp; F2 &amp; "-' || rt.description" &amp; ", rt.requesttypeid from app.requesttype rt where rt.description = '" &amp; D2 &amp; "' and not exists (select 1 from app.statemachinerepo sr where sr.description = '" &amp; F2 &amp; "-" &amp; D2 &amp; "');"</f>
        <v>insert into app.statemachinerepo(statemachine, description, requesttypeid) select 'tbd-' || rt.description, 'tbd-' || rt.description, rt.requesttypeid from app.requesttype rt where rt.description = 'in-transit-rma-asn-7-days' and not exists (select 1 from app.statemachinerepo sr where sr.description = 'tbd-in-transit-rma-asn-7-days');</v>
      </c>
      <c r="K2" s="2" t="str">
        <f>"insert into app.crontasks (description, longdescription, requesttypeid, ParentRequestTypeId) select '" &amp;D2 &amp; "' description,  '" &amp; D2 &amp; "' longdescription, rt.requesttypeid, " &amp;  G2 &amp; " from app.requesttype rt  where not exists (select 1 from app.crontasks c where c.description = '" &amp; D2 &amp; "') and rt.description = '" &amp; D2 &amp; "';"</f>
        <v>insert into app.crontasks (description, longdescription, requesttypeid, ParentRequestTypeId) select 'in-transit-rma-asn-7-days' description,  'in-transit-rma-asn-7-days' longdescription, rt.requesttypeid, (select rt2.requesttypeid from app.requesttype rt2 where rt2.description = 'CRON Scheduling Dashboard') from app.requesttype rt  where not exists (select 1 from app.crontasks c where c.description = 'in-transit-rma-asn-7-days') and rt.description = 'in-transit-rma-asn-7-days';</v>
      </c>
      <c r="L2" s="2" t="str">
        <f>"insert into app.cronaction (CronTaskId, CronActionTypeId, Payload, CreatedBy, LastUpdatedBy) select c.crontaskid, cat.CronActionTypeId,'{""EmailTextOnError"":""tbd"",""TaskName"":""" &amp; E2 &amp; """,""StateMachine"":""wms-tools-state-machine-" &amp; D2 &amp; """,""Lambda"":""wms-tools-lambda-" &amp; D2 &amp; """,""RequestType"":""" &amp; D2 &amp;"""}','sysuser', 'sysuser' from app.cronactiontype cat, app.crontasks c where c.description = '" &amp; D2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7 Days","StateMachine":"wms-tools-state-machine-in-transit-rma-asn-7-days","Lambda":"wms-tools-lambda-in-transit-rma-asn-7-days","RequestType":"in-transit-rma-asn-7-days"}','sysuser', 'sysuser' from app.cronactiontype cat, app.crontasks c where c.description = 'in-transit-rma-asn-7-days' and not exists (select 1 from app.cronaction c2 where c2.crontaskid = c.crontaskid) and cat.description = 'NONE';</v>
      </c>
    </row>
    <row r="3" spans="1:13" x14ac:dyDescent="0.2">
      <c r="A3">
        <v>53</v>
      </c>
      <c r="B3">
        <f>A3+1</f>
        <v>54</v>
      </c>
    </row>
    <row r="4" spans="1:13" ht="27" customHeight="1" x14ac:dyDescent="0.2">
      <c r="A4">
        <v>55</v>
      </c>
      <c r="B4">
        <f>A4+1</f>
        <v>56</v>
      </c>
      <c r="C4" t="s">
        <v>15</v>
      </c>
      <c r="D4" t="s">
        <v>16</v>
      </c>
      <c r="E4" t="s">
        <v>17</v>
      </c>
      <c r="F4" s="7" t="s">
        <v>18</v>
      </c>
      <c r="G4" s="7" t="s">
        <v>19</v>
      </c>
      <c r="H4" s="2" t="str">
        <f>"insert into app.requesttype(requesttypeid, approute, description, longdescription) select (select max(r.requesttypeid) from app.requesttype r) + 1 requesttypeid, " &amp; A4 &amp; ", '" &amp; D4 &amp; "', '" &amp; D4 &amp; "' where not exists (select 1 from app.requesttype r2 where r2.approute = " &amp; A4 &amp; " );"</f>
        <v>insert into app.requesttype(requesttypeid, approute, description, longdescription) select (select max(r.requesttypeid) from app.requesttype r) + 1 requesttypeid, 55, 'db-alert-order-no-desig-assign', 'db-alert-order-no-desig-assign' where not exists (select 1 from app.requesttype r2 where r2.approute = 55 );</v>
      </c>
      <c r="I4" s="2" t="str">
        <f>"insert into app.requesttype(requesttypeid, approute, description, longdescription) select (select max(r.requesttypeid) from app.requesttype r) + 1 requesttypeid, " &amp; B4 &amp; ", '" &amp; D4 &amp; " Interactive', '" &amp; D4 &amp; " Interactive' where not exists (select 1 from app.requesttype r2 where r2.approute = " &amp; B4 &amp; " );"</f>
        <v>insert into app.requesttype(requesttypeid, approute, description, longdescription) select (select max(r.requesttypeid) from app.requesttype r) + 1 requesttypeid, 56, 'db-alert-order-no-desig-assign Interactive', 'db-alert-order-no-desig-assign Interactive' where not exists (select 1 from app.requesttype r2 where r2.approute = 56 );</v>
      </c>
      <c r="J4" s="7" t="s">
        <v>18</v>
      </c>
      <c r="K4" s="2" t="str">
        <f>"insert into app.crontasks (description, longdescription, requesttypeid, ParentRequestTypeId) select '" &amp;E4 &amp; "' description,  '" &amp; E4 &amp; "' longdescription, rt.requesttypeid, " &amp;  G4 &amp; " from app.requesttype rt  where not exists (select 1 from app.crontasks c where c.description = '" &amp; E4 &amp; "') and rt.description = '" &amp; D4 &amp; "';"</f>
        <v>insert into app.crontasks (description, longdescription, requesttypeid, ParentRequestTypeId) select 'DB Alert: Orders No Designated or Assigned Shipments' description,  'DB Alert: Orders No Designated or Assigned Shipments' longdescription, rt.requesttypeid, (select null) from app.requesttype rt  where not exists (select 1 from app.crontasks c where c.description = 'DB Alert: Orders No Designated or Assigned Shipments') and rt.description = 'db-alert-order-no-desig-assign';</v>
      </c>
      <c r="L4" s="2" t="str">
        <f>"insert into app.cronaction (CronTaskId, CronActionTypeId, Payload, CreatedBy, LastUpdatedBy) select c.crontaskid, cat.CronActionTypeId,'{""EmailTextOnError"":""tbd"",""TaskName"":""" &amp; E4 &amp; """,""StateMachine"":""wms-tools-state-machine-db-alert"",""Lambda"":""wms-tools-lambda-db-alert"",""RequestType"":""" &amp; D4 &amp;"""}','sysuser', 'sysuser' from app.cronactiontype cat, app.crontasks c where c.description = '" &amp; E4 &amp; "' and not exists (select 1 from app.cronaction c2 where c2.crontaskid = c.crontaskid) and cat.description = 'NONE';"</f>
        <v>insert into app.cronaction (CronTaskId, CronActionTypeId, Payload, CreatedBy, LastUpdatedBy) select c.crontaskid, cat.CronActionTypeId,'{"EmailTextOnError":"tbd","TaskName":"DB Alert: Orders No Designated or Assigned Shipments","StateMachine":"wms-tools-state-machine-db-alert","Lambda":"wms-tools-lambda-db-alert","RequestType":"db-alert-order-no-desig-assign"}','sysuser', 'sysuser' from app.cronactiontype cat, app.crontasks c where c.description = 'DB Alert: Orders No Designated or Assigned Shipments' and not exists (select 1 from app.cronaction c2 where c2.crontaskid = c.crontaskid) and cat.description = 'NONE';</v>
      </c>
      <c r="M4" s="8" t="s">
        <v>20</v>
      </c>
    </row>
    <row r="5" spans="1:13" ht="27" customHeight="1" x14ac:dyDescent="0.2">
      <c r="A5">
        <v>57</v>
      </c>
      <c r="B5">
        <f>A5+1</f>
        <v>58</v>
      </c>
    </row>
    <row r="6" spans="1:13" ht="27" customHeight="1" x14ac:dyDescent="0.2">
      <c r="A6">
        <v>59</v>
      </c>
      <c r="B6">
        <f>A6+1</f>
        <v>60</v>
      </c>
      <c r="C6" t="s">
        <v>15</v>
      </c>
      <c r="D6" t="s">
        <v>21</v>
      </c>
      <c r="E6" s="2" t="s">
        <v>22</v>
      </c>
      <c r="F6" s="7" t="s">
        <v>18</v>
      </c>
      <c r="G6" s="7" t="s">
        <v>19</v>
      </c>
      <c r="H6" s="2" t="str">
        <f>"insert into app.requesttype(requesttypeid, approute, description, longdescription) select (select max(r.requesttypeid) from app.requesttype r) + 1 requesttypeid, " &amp; A6 &amp; ", '" &amp; D6 &amp; "', '" &amp; D6 &amp; "' where not exists (select 1 from app.requesttype r2 where r2.approute = " &amp; A6 &amp; " );"</f>
        <v>insert into app.requesttype(requesttypeid, approute, description, longdescription) select (select max(r.requesttypeid) from app.requesttype r) + 1 requesttypeid, 59, 'db-alert-static-route-missing-threshold', 'db-alert-static-route-missing-threshold' where not exists (select 1 from app.requesttype r2 where r2.approute = 59 );</v>
      </c>
      <c r="I6" s="2" t="str">
        <f>"insert into app.requesttype(requesttypeid, approute, description, longdescription) select (select max(r.requesttypeid) from app.requesttype r) + 1 requesttypeid, " &amp; B6 &amp; ", '" &amp; D6 &amp; " Interactive', '" &amp; D6 &amp; " Interactive' where not exists (select 1 from app.requesttype r2 where r2.approute = " &amp; B6 &amp; " );"</f>
        <v>insert into app.requesttype(requesttypeid, approute, description, longdescription) select (select max(r.requesttypeid) from app.requesttype r) + 1 requesttypeid, 60, 'db-alert-static-route-missing-threshold Interactive', 'db-alert-static-route-missing-threshold Interactive' where not exists (select 1 from app.requesttype r2 where r2.approute = 60 );</v>
      </c>
      <c r="J6" s="7" t="s">
        <v>18</v>
      </c>
      <c r="K6" s="2" t="str">
        <f>"insert into app.crontasks (description, longdescription, requesttypeid, ParentRequestTypeId) select '" &amp;E6 &amp; "' description,  '" &amp; E6 &amp; "' longdescription, rt.requesttypeid, " &amp;  G6 &amp; " from app.requesttype rt  where not exists (select 1 from app.crontasks c where c.description = '" &amp; E6 &amp; "') and rt.description = '" &amp; D6 &amp; "';"</f>
        <v>insert into app.crontasks (description, longdescription, requesttypeid, ParentRequestTypeId) select 'DB Alert: Static Route Missing Threshold Value' description,  'DB Alert: Static Route Missing Threshold Value' longdescription, rt.requesttypeid, (select null) from app.requesttype rt  where not exists (select 1 from app.crontasks c where c.description = 'DB Alert: Static Route Missing Threshold Value') and rt.description = 'db-alert-static-route-missing-threshold';</v>
      </c>
      <c r="L6" s="2" t="str">
        <f>"insert into app.cronaction (CronTaskId, CronActionTypeId, Payload, CreatedBy, LastUpdatedBy) select c.crontaskid, cat.CronActionTypeId,'{""EmailTextOnError"":""tbd"",""TaskName"":""" &amp; E6 &amp; """,""StateMachine"":""wms-tools-state-machine-db-alert"",""Lambda"":""wms-tools-lambda-db-alert"",""RequestType"":""" &amp; D6 &amp;"""}','sysuser', 'sysuser' from app.cronactiontype cat, app.crontasks c where c.description = '" &amp; E6 &amp; "' and not exists (select 1 from app.cronaction c2 where c2.crontaskid = c.crontaskid) and cat.description = 'NONE';"</f>
        <v>insert into app.cronaction (CronTaskId, CronActionTypeId, Payload, CreatedBy, LastUpdatedBy) select c.crontaskid, cat.CronActionTypeId,'{"EmailTextOnError":"tbd","TaskName":"DB Alert: Static Route Missing Threshold Value","StateMachine":"wms-tools-state-machine-db-alert","Lambda":"wms-tools-lambda-db-alert","RequestType":"db-alert-static-route-missing-threshold"}','sysuser', 'sysuser' from app.cronactiontype cat, app.crontasks c where c.description = 'DB Alert: Static Route Missing Threshold Value' and not exists (select 1 from app.cronaction c2 where c2.crontaskid = c.crontaskid) and cat.description = 'NONE';</v>
      </c>
      <c r="M6" s="8" t="s">
        <v>20</v>
      </c>
    </row>
    <row r="7" spans="1:13" x14ac:dyDescent="0.2">
      <c r="A7">
        <v>61</v>
      </c>
      <c r="B7">
        <v>62</v>
      </c>
    </row>
    <row r="11" spans="1:13" ht="16" x14ac:dyDescent="0.2">
      <c r="L11" s="11"/>
    </row>
    <row r="13" spans="1:13" x14ac:dyDescent="0.2">
      <c r="I13" s="2"/>
    </row>
    <row r="14" spans="1:13" ht="22" x14ac:dyDescent="0.3">
      <c r="L14" s="12"/>
    </row>
    <row r="17" spans="1:13" ht="27" customHeight="1" x14ac:dyDescent="0.2">
      <c r="A17">
        <v>59</v>
      </c>
      <c r="B17">
        <f>A17+1</f>
        <v>60</v>
      </c>
      <c r="C17" t="s">
        <v>15</v>
      </c>
      <c r="D17" t="s">
        <v>21</v>
      </c>
      <c r="E17" s="2" t="s">
        <v>22</v>
      </c>
      <c r="F17" s="7" t="s">
        <v>18</v>
      </c>
      <c r="G17" s="7" t="s">
        <v>19</v>
      </c>
      <c r="H17" s="2" t="str">
        <f>"insert into app.requesttype(requesttypeid, approute, description, longdescription) select (select max(r.requesttypeid) from app.requesttype r) + 1 requesttypeid, " &amp; A17 &amp; ", '" &amp; D17 &amp; "', '" &amp; D17 &amp; "' where not exists (select 1 from app.requesttype r2 where r2.approute = " &amp; A17 &amp; " );"</f>
        <v>insert into app.requesttype(requesttypeid, approute, description, longdescription) select (select max(r.requesttypeid) from app.requesttype r) + 1 requesttypeid, 59, 'db-alert-static-route-missing-threshold', 'db-alert-static-route-missing-threshold' where not exists (select 1 from app.requesttype r2 where r2.approute = 59 );</v>
      </c>
      <c r="I17" s="2" t="str">
        <f>"insert into app.requesttype(requesttypeid, approute, description, longdescription) select (select max(r.requesttypeid) from app.requesttype r) + 1 requesttypeid, " &amp; B17 &amp; ", '" &amp; D17 &amp; " Interactive', '" &amp; D17 &amp; " Interactive' where not exists (select 1 from app.requesttype r2 where r2.approute = " &amp; B17 &amp; " );"</f>
        <v>insert into app.requesttype(requesttypeid, approute, description, longdescription) select (select max(r.requesttypeid) from app.requesttype r) + 1 requesttypeid, 60, 'db-alert-static-route-missing-threshold Interactive', 'db-alert-static-route-missing-threshold Interactive' where not exists (select 1 from app.requesttype r2 where r2.approute = 60 );</v>
      </c>
      <c r="J17" s="7" t="s">
        <v>18</v>
      </c>
      <c r="K17" s="2" t="str">
        <f>"insert into app.crontasks (description, longdescription, requesttypeid, ParentRequestTypeId) select '" &amp;E17 &amp; "' description,  '" &amp; E17 &amp; "' longdescription, rt.requesttypeid, " &amp;  G17 &amp; " from app.requesttype rt  where not exists (select 1 from app.crontasks c where c.description = '" &amp; E17 &amp; "') and rt.description = '" &amp; D17 &amp; "';"</f>
        <v>insert into app.crontasks (description, longdescription, requesttypeid, ParentRequestTypeId) select 'DB Alert: Static Route Missing Threshold Value' description,  'DB Alert: Static Route Missing Threshold Value' longdescription, rt.requesttypeid, (select null) from app.requesttype rt  where not exists (select 1 from app.crontasks c where c.description = 'DB Alert: Static Route Missing Threshold Value') and rt.description = 'db-alert-static-route-missing-threshold';</v>
      </c>
      <c r="L17" s="2" t="str">
        <f>"insert into app.cronaction (CronTaskId, CronActionTypeId, Payload, CreatedBy, LastUpdatedBy) select c.crontaskid, cat.CronActionTypeId,'{""EmailTextOnError"":""tbd"",""TaskName"":""" &amp; E17 &amp; """,
""StateMachine"":""" &amp; IF(ISNUMBER(SEARCH("DB Alert", E17)), "wms-tools-state-machine-db-alert", """ wms-tools-state-machine-" &amp; D17 &amp; "" ) &amp; """,
"" Lambda "":""" &amp; IF(ISNUMBER(SEARCH("DB Alert", E17)), " wms-tools-lambda-db-alert ", "" &amp; C17 &amp; "" ) &amp; """,
""RequestType"":""" &amp; D17 &amp;"""}','sysuser', 'sysuser' from app.cronactiontype cat, app.crontasks c where c.description = '" &amp; E17 &amp; "' and not exists (select 1 from app.cronaction c2 where c2.crontaskid = c.crontaskid) and cat.description = 'NONE';"</f>
        <v>insert into app.cronaction (CronTaskId, CronActionTypeId, Payload, CreatedBy, LastUpdatedBy) select c.crontaskid, cat.CronActionTypeId,'{"EmailTextOnError":"tbd","TaskName":"DB Alert: Static Route Missing Threshold Value",
"StateMachine":"wms-tools-state-machine-db-alert",
" Lambda ":" wms-tools-lambda-db-alert ",
"RequestType":"db-alert-static-route-missing-threshold"}','sysuser', 'sysuser' from app.cronactiontype cat, app.crontasks c where c.description = 'DB Alert: Static Route Missing Threshold Value' and not exists (select 1 from app.cronaction c2 where c2.crontaskid = c.crontaskid) and cat.description = 'NONE';</v>
      </c>
      <c r="M17" s="8"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607D-BF92-499A-83C1-C6924BE2B40E}">
  <dimension ref="A1:B39"/>
  <sheetViews>
    <sheetView topLeftCell="A10" zoomScale="180" zoomScaleNormal="180" workbookViewId="0">
      <selection activeCell="B6" sqref="B6"/>
    </sheetView>
  </sheetViews>
  <sheetFormatPr baseColWidth="10" defaultColWidth="8.83203125" defaultRowHeight="15" x14ac:dyDescent="0.2"/>
  <cols>
    <col min="1" max="1" width="51.1640625" customWidth="1"/>
    <col min="2" max="2" width="105" style="2" customWidth="1"/>
  </cols>
  <sheetData>
    <row r="1" spans="1:2" x14ac:dyDescent="0.2">
      <c r="A1" t="s">
        <v>2</v>
      </c>
    </row>
    <row r="2" spans="1:2" ht="64" x14ac:dyDescent="0.2">
      <c r="A2" s="4" t="str">
        <f>newreqtype!D2</f>
        <v>in-transit-rma-asn-7-days</v>
      </c>
      <c r="B2"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A2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'in-transit-rma-asn-7-days' and not exists (select 1 from app.warehouselocationdetail r where r.requesttypeid = rt.requesttypeid and r.warehouseid = e.warehouseid);</v>
      </c>
    </row>
    <row r="3" spans="1:2" x14ac:dyDescent="0.2">
      <c r="A3" s="4"/>
    </row>
    <row r="4" spans="1:2" x14ac:dyDescent="0.2">
      <c r="A4" s="4"/>
    </row>
    <row r="5" spans="1:2" x14ac:dyDescent="0.2">
      <c r="A5" s="4"/>
    </row>
    <row r="6" spans="1:2" ht="64" x14ac:dyDescent="0.2">
      <c r="A6" s="4" t="str">
        <f>newreqtype!D6</f>
        <v>db-alert-static-route-missing-threshold</v>
      </c>
      <c r="B6"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A6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'db-alert-static-route-missing-threshold' and not exists (select 1 from app.warehouselocationdetail r where r.requesttypeid = rt.requesttypeid and r.warehouseid = e.warehouseid);</v>
      </c>
    </row>
    <row r="7" spans="1:2" x14ac:dyDescent="0.2">
      <c r="A7" s="4"/>
    </row>
    <row r="8" spans="1:2" x14ac:dyDescent="0.2">
      <c r="A8" s="4"/>
    </row>
    <row r="9" spans="1:2" x14ac:dyDescent="0.2">
      <c r="A9" s="4"/>
    </row>
    <row r="10" spans="1:2" x14ac:dyDescent="0.2">
      <c r="A10" s="4"/>
    </row>
    <row r="11" spans="1:2" x14ac:dyDescent="0.2">
      <c r="A11" s="4"/>
    </row>
    <row r="12" spans="1:2" x14ac:dyDescent="0.2">
      <c r="A12" s="4"/>
    </row>
    <row r="13" spans="1:2" x14ac:dyDescent="0.2">
      <c r="A13" s="4"/>
    </row>
    <row r="14" spans="1:2" x14ac:dyDescent="0.2">
      <c r="A14" s="4"/>
    </row>
    <row r="15" spans="1:2" x14ac:dyDescent="0.2">
      <c r="A15" s="4"/>
    </row>
    <row r="16" spans="1:2" x14ac:dyDescent="0.2">
      <c r="A16" s="4"/>
    </row>
    <row r="17" spans="1:1" x14ac:dyDescent="0.2">
      <c r="A17" s="4"/>
    </row>
    <row r="18" spans="1:1" x14ac:dyDescent="0.2">
      <c r="A18" s="4"/>
    </row>
    <row r="19" spans="1:1" x14ac:dyDescent="0.2">
      <c r="A19" s="4"/>
    </row>
    <row r="20" spans="1:1" x14ac:dyDescent="0.2">
      <c r="A20" s="4"/>
    </row>
    <row r="21" spans="1:1" x14ac:dyDescent="0.2">
      <c r="A21" s="4"/>
    </row>
    <row r="22" spans="1:1" x14ac:dyDescent="0.2">
      <c r="A22" s="4"/>
    </row>
    <row r="23" spans="1:1" x14ac:dyDescent="0.2">
      <c r="A23" s="4"/>
    </row>
    <row r="24" spans="1:1" x14ac:dyDescent="0.2">
      <c r="A24" s="4"/>
    </row>
    <row r="25" spans="1:1" x14ac:dyDescent="0.2">
      <c r="A25" s="4"/>
    </row>
    <row r="26" spans="1:1" x14ac:dyDescent="0.2">
      <c r="A26" s="4"/>
    </row>
    <row r="27" spans="1:1" x14ac:dyDescent="0.2">
      <c r="A27" s="4"/>
    </row>
    <row r="28" spans="1:1" x14ac:dyDescent="0.2">
      <c r="A28" s="4"/>
    </row>
    <row r="29" spans="1:1" x14ac:dyDescent="0.2">
      <c r="A29" s="4"/>
    </row>
    <row r="30" spans="1:1" x14ac:dyDescent="0.2">
      <c r="A30" s="4"/>
    </row>
    <row r="31" spans="1:1" x14ac:dyDescent="0.2">
      <c r="A31" s="4"/>
    </row>
    <row r="32" spans="1:1" x14ac:dyDescent="0.2">
      <c r="A32" s="4"/>
    </row>
    <row r="33" spans="1:1" x14ac:dyDescent="0.2">
      <c r="A33" s="4"/>
    </row>
    <row r="34" spans="1:1" x14ac:dyDescent="0.2">
      <c r="A34" s="4"/>
    </row>
    <row r="35" spans="1:1" x14ac:dyDescent="0.2">
      <c r="A35" s="4"/>
    </row>
    <row r="36" spans="1:1" x14ac:dyDescent="0.2">
      <c r="A36" s="4"/>
    </row>
    <row r="37" spans="1:1" x14ac:dyDescent="0.2">
      <c r="A37" s="4"/>
    </row>
    <row r="38" spans="1:1" x14ac:dyDescent="0.2">
      <c r="A38" s="4"/>
    </row>
    <row r="39" spans="1:1" x14ac:dyDescent="0.2">
      <c r="A3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5845-510E-4378-A349-2FEAE5A77AE3}">
  <dimension ref="A1:O39"/>
  <sheetViews>
    <sheetView topLeftCell="I2" zoomScale="110" zoomScaleNormal="110" workbookViewId="0">
      <selection activeCell="N2" sqref="N2"/>
    </sheetView>
  </sheetViews>
  <sheetFormatPr baseColWidth="10" defaultColWidth="8.83203125" defaultRowHeight="15" x14ac:dyDescent="0.2"/>
  <cols>
    <col min="2" max="3" width="33.1640625" customWidth="1"/>
    <col min="4" max="4" width="46.33203125" customWidth="1"/>
    <col min="5" max="6" width="23.5" customWidth="1"/>
    <col min="7" max="7" width="34.5" bestFit="1" customWidth="1"/>
    <col min="8" max="8" width="23.5" customWidth="1"/>
    <col min="9" max="9" width="46.1640625" customWidth="1"/>
    <col min="10" max="10" width="25" bestFit="1" customWidth="1"/>
    <col min="11" max="13" width="23.5" customWidth="1"/>
    <col min="14" max="14" width="83.5" customWidth="1"/>
    <col min="15" max="15" width="64.6640625" customWidth="1"/>
  </cols>
  <sheetData>
    <row r="1" spans="1:15" x14ac:dyDescent="0.2">
      <c r="A1" t="s">
        <v>23</v>
      </c>
      <c r="B1" t="s">
        <v>2</v>
      </c>
      <c r="C1" t="s">
        <v>24</v>
      </c>
      <c r="D1" t="s">
        <v>25</v>
      </c>
      <c r="E1" t="s">
        <v>26</v>
      </c>
      <c r="F1" t="s">
        <v>27</v>
      </c>
      <c r="G1" t="s">
        <v>28</v>
      </c>
      <c r="H1" t="s">
        <v>29</v>
      </c>
      <c r="I1" t="s">
        <v>30</v>
      </c>
      <c r="J1" t="s">
        <v>31</v>
      </c>
      <c r="K1" t="s">
        <v>32</v>
      </c>
      <c r="L1" t="s">
        <v>33</v>
      </c>
      <c r="M1" t="s">
        <v>34</v>
      </c>
      <c r="N1" t="s">
        <v>35</v>
      </c>
      <c r="O1" t="s">
        <v>36</v>
      </c>
    </row>
    <row r="2" spans="1:15" s="2" customFormat="1" ht="208" x14ac:dyDescent="0.2">
      <c r="A2" s="3" t="s">
        <v>37</v>
      </c>
      <c r="B2" s="2" t="str">
        <f>newreqtype!D2</f>
        <v>in-transit-rma-asn-7-days</v>
      </c>
      <c r="C2" s="2" t="s">
        <v>38</v>
      </c>
      <c r="D2" s="2" t="str">
        <f>"[" &amp; IF(C2 = "", "", "{""sql"": """ &amp; C2 &amp; """},") &amp; "{""days"": """ &amp; "7" &amp; """}]"</f>
        <v>[{"sql": "select org_id, asn_id, asn_status, created_timestamp from default_receiving.RCV_ASN where org_id = %(orgName)s and asn_status = ''1000'' and canceled = ''0'' and asn_origin_type_id =''R'' and created_timestamp &lt;= now() - interval %(days)s day "},{"days": "7"}]</v>
      </c>
      <c r="E2" s="2" t="s">
        <v>39</v>
      </c>
      <c r="F2" s="6" t="s">
        <v>40</v>
      </c>
      <c r="G2" s="2" t="s">
        <v>41</v>
      </c>
      <c r="I2" s="2" t="s">
        <v>42</v>
      </c>
      <c r="J2" s="2" t="s">
        <v>39</v>
      </c>
      <c r="K2" s="2" t="str">
        <f>"[""Invoice"", ""Status""]"</f>
        <v>["Invoice", "Status"]</v>
      </c>
      <c r="L2" s="2" t="s">
        <v>43</v>
      </c>
      <c r="M2" s="2" t="s">
        <v>44</v>
      </c>
      <c r="N2" s="2" t="str">
        <f>"{ ""emailContent"": {""subject"":""" &amp;E2&amp; """,""fromEmail"":""" &amp; F2 &amp; """,""toEmail"":""" &amp; G2 &amp; """," &amp; (IF(H2 = "", "", """ccEmail"": """ &amp; H2 &amp; """,")) &amp; """sections"":[{""htmlHeader"":""" &amp; I2 &amp; """},{""introHtml"":""" &amp;J2 &amp; """},{""tableHtml"":{""tableHeaders"":" &amp; K2 &amp; ",""tableRows"":" &amp; L2 &amp; "}},{""footerHtml"":""" &amp; M2 &amp; """}]}, ""allOption"": " &amp; D2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 s="2" t="str">
        <f t="shared" ref="O2:O39" si="0">"update app.warehouselocationdetail set payload = '" &amp; N2 &amp; "' where warehouseid = (select w.warehouseid from app.warehouselocation w where w.warehouseshortname='"&amp;A2&amp;"') and requesttypeid=(select rt.requesttypeid from app.requesttype rt where rt.description='"&amp;B2&amp; "');"</f>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w.warehouseshortname='ABQ') and requesttypeid=(select rt.requesttypeid from app.requesttype rt where rt.description='in-transit-rma-asn-7-days');</v>
      </c>
    </row>
    <row r="3" spans="1:15" ht="112" x14ac:dyDescent="0.2">
      <c r="A3" s="4" t="s">
        <v>45</v>
      </c>
      <c r="B3" t="str">
        <f>B2</f>
        <v>in-transit-rma-asn-7-days</v>
      </c>
      <c r="C3" s="2" t="s">
        <v>38</v>
      </c>
      <c r="D3" s="2" t="str">
        <f t="shared" ref="D3:D39" si="1">"[" &amp; IF(C3 = "", "", "{""sql"": """ &amp; C3 &amp; """},") &amp; "{""days"": """ &amp; "7" &amp; """}]"</f>
        <v>[{"sql": "select org_id, asn_id, asn_status, created_timestamp from default_receiving.RCV_ASN where org_id = %(orgName)s and asn_status = ''1000'' and canceled = ''0'' and asn_origin_type_id =''R'' and created_timestamp &lt;= now() - interval %(days)s day "},{"days": "7"}]</v>
      </c>
      <c r="E3" t="s">
        <v>39</v>
      </c>
      <c r="F3" s="5" t="s">
        <v>40</v>
      </c>
      <c r="G3" t="s">
        <v>41</v>
      </c>
      <c r="I3" t="s">
        <v>42</v>
      </c>
      <c r="J3" t="s">
        <v>39</v>
      </c>
      <c r="K3" t="str">
        <f t="shared" ref="K3:K39" si="2">"[""Invoice"", ""Status""]"</f>
        <v>["Invoice", "Status"]</v>
      </c>
      <c r="L3" t="s">
        <v>43</v>
      </c>
      <c r="M3" t="s">
        <v>44</v>
      </c>
      <c r="N3" t="str">
        <f t="shared" ref="N3:N39" si="3">"{ ""emailContent"": {""subject"":""" &amp;E3&amp; """,""fromEmail"":""" &amp; F3 &amp; """,""toEmail"":""" &amp; G3 &amp; """," &amp; (IF(H3 = "", "", """ccEmail"": """ &amp; H3 &amp; """,")) &amp; """sections"":[{""htmlHeader"":""" &amp; I3 &amp; """},{""introHtml"":""" &amp;J3 &amp; """},{""tableHtml"":{""tableHeaders"":" &amp; K3 &amp; ",""tableRows"":" &amp; L3 &amp; "}},{""footerHtml"":""" &amp; M3 &amp; """}]}, ""allOption"": " &amp; D3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w.warehouseshortname='ARK') and requesttypeid=(select rt.requesttypeid from app.requesttype rt where rt.description='in-transit-rma-asn-7-days');</v>
      </c>
    </row>
    <row r="4" spans="1:15" x14ac:dyDescent="0.2">
      <c r="A4" s="4" t="s">
        <v>46</v>
      </c>
      <c r="B4" t="str">
        <f t="shared" ref="B4:B39" si="4">B3</f>
        <v>in-transit-rma-asn-7-days</v>
      </c>
      <c r="C4" t="s">
        <v>38</v>
      </c>
      <c r="D4" t="str">
        <f t="shared" si="1"/>
        <v>[{"sql": "select org_id, asn_id, asn_status, created_timestamp from default_receiving.RCV_ASN where org_id = %(orgName)s and asn_status = ''1000'' and canceled = ''0'' and asn_origin_type_id =''R'' and created_timestamp &lt;= now() - interval %(days)s day "},{"days": "7"}]</v>
      </c>
      <c r="E4" t="s">
        <v>39</v>
      </c>
      <c r="F4" s="5" t="s">
        <v>40</v>
      </c>
      <c r="G4" t="s">
        <v>41</v>
      </c>
      <c r="I4" t="s">
        <v>42</v>
      </c>
      <c r="J4" t="s">
        <v>39</v>
      </c>
      <c r="K4" t="str">
        <f t="shared" si="2"/>
        <v>["Invoice", "Status"]</v>
      </c>
      <c r="L4" t="s">
        <v>43</v>
      </c>
      <c r="M4" t="s">
        <v>44</v>
      </c>
      <c r="N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w.warehouseshortname='ASH') and requesttypeid=(select rt.requesttypeid from app.requesttype rt where rt.description='in-transit-rma-asn-7-days');</v>
      </c>
    </row>
    <row r="5" spans="1:15" x14ac:dyDescent="0.2">
      <c r="A5" s="4" t="s">
        <v>47</v>
      </c>
      <c r="B5" t="str">
        <f t="shared" si="4"/>
        <v>in-transit-rma-asn-7-days</v>
      </c>
      <c r="C5" t="s">
        <v>38</v>
      </c>
      <c r="D5" t="str">
        <f t="shared" si="1"/>
        <v>[{"sql": "select org_id, asn_id, asn_status, created_timestamp from default_receiving.RCV_ASN where org_id = %(orgName)s and asn_status = ''1000'' and canceled = ''0'' and asn_origin_type_id =''R'' and created_timestamp &lt;= now() - interval %(days)s day "},{"days": "7"}]</v>
      </c>
      <c r="E5" t="s">
        <v>39</v>
      </c>
      <c r="F5" s="5" t="s">
        <v>40</v>
      </c>
      <c r="G5" t="s">
        <v>41</v>
      </c>
      <c r="I5" t="s">
        <v>42</v>
      </c>
      <c r="J5" t="s">
        <v>39</v>
      </c>
      <c r="K5" t="str">
        <f t="shared" si="2"/>
        <v>["Invoice", "Status"]</v>
      </c>
      <c r="L5" t="s">
        <v>43</v>
      </c>
      <c r="M5" t="s">
        <v>44</v>
      </c>
      <c r="N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w.warehouseshortname='ATL') and requesttypeid=(select rt.requesttypeid from app.requesttype rt where rt.description='in-transit-rma-asn-7-days');</v>
      </c>
    </row>
    <row r="6" spans="1:15" x14ac:dyDescent="0.2">
      <c r="A6" s="4" t="s">
        <v>48</v>
      </c>
      <c r="B6" t="str">
        <f t="shared" si="4"/>
        <v>in-transit-rma-asn-7-days</v>
      </c>
      <c r="C6" t="s">
        <v>38</v>
      </c>
      <c r="D6" t="str">
        <f t="shared" si="1"/>
        <v>[{"sql": "select org_id, asn_id, asn_status, created_timestamp from default_receiving.RCV_ASN where org_id = %(orgName)s and asn_status = ''1000'' and canceled = ''0'' and asn_origin_type_id =''R'' and created_timestamp &lt;= now() - interval %(days)s day "},{"days": "7"}]</v>
      </c>
      <c r="E6" t="s">
        <v>39</v>
      </c>
      <c r="F6" s="5" t="s">
        <v>40</v>
      </c>
      <c r="G6" t="s">
        <v>41</v>
      </c>
      <c r="I6" t="s">
        <v>42</v>
      </c>
      <c r="J6" t="s">
        <v>39</v>
      </c>
      <c r="K6" t="str">
        <f t="shared" si="2"/>
        <v>["Invoice", "Status"]</v>
      </c>
      <c r="L6" t="s">
        <v>43</v>
      </c>
      <c r="M6" t="s">
        <v>44</v>
      </c>
      <c r="N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w.warehouseshortname='AUB') and requesttypeid=(select rt.requesttypeid from app.requesttype rt where rt.description='in-transit-rma-asn-7-days');</v>
      </c>
    </row>
    <row r="7" spans="1:15" x14ac:dyDescent="0.2">
      <c r="A7" s="4" t="s">
        <v>49</v>
      </c>
      <c r="B7" t="str">
        <f t="shared" si="4"/>
        <v>in-transit-rma-asn-7-days</v>
      </c>
      <c r="C7" t="s">
        <v>38</v>
      </c>
      <c r="D7" t="str">
        <f t="shared" si="1"/>
        <v>[{"sql": "select org_id, asn_id, asn_status, created_timestamp from default_receiving.RCV_ASN where org_id = %(orgName)s and asn_status = ''1000'' and canceled = ''0'' and asn_origin_type_id =''R'' and created_timestamp &lt;= now() - interval %(days)s day "},{"days": "7"}]</v>
      </c>
      <c r="E7" t="s">
        <v>39</v>
      </c>
      <c r="F7" s="5" t="s">
        <v>40</v>
      </c>
      <c r="G7" t="s">
        <v>41</v>
      </c>
      <c r="I7" t="s">
        <v>42</v>
      </c>
      <c r="J7" t="s">
        <v>39</v>
      </c>
      <c r="K7" t="str">
        <f t="shared" si="2"/>
        <v>["Invoice", "Status"]</v>
      </c>
      <c r="L7" t="s">
        <v>43</v>
      </c>
      <c r="M7" t="s">
        <v>44</v>
      </c>
      <c r="N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w.warehouseshortname='CCR') and requesttypeid=(select rt.requesttypeid from app.requesttype rt where rt.description='in-transit-rma-asn-7-days');</v>
      </c>
    </row>
    <row r="8" spans="1:15" x14ac:dyDescent="0.2">
      <c r="A8" s="4" t="s">
        <v>50</v>
      </c>
      <c r="B8" t="str">
        <f t="shared" si="4"/>
        <v>in-transit-rma-asn-7-days</v>
      </c>
      <c r="C8" t="s">
        <v>38</v>
      </c>
      <c r="D8" t="str">
        <f t="shared" si="1"/>
        <v>[{"sql": "select org_id, asn_id, asn_status, created_timestamp from default_receiving.RCV_ASN where org_id = %(orgName)s and asn_status = ''1000'' and canceled = ''0'' and asn_origin_type_id =''R'' and created_timestamp &lt;= now() - interval %(days)s day "},{"days": "7"}]</v>
      </c>
      <c r="E8" t="s">
        <v>39</v>
      </c>
      <c r="F8" s="5" t="s">
        <v>40</v>
      </c>
      <c r="G8" t="s">
        <v>41</v>
      </c>
      <c r="I8" t="s">
        <v>42</v>
      </c>
      <c r="J8" t="s">
        <v>39</v>
      </c>
      <c r="K8" t="str">
        <f t="shared" si="2"/>
        <v>["Invoice", "Status"]</v>
      </c>
      <c r="L8" t="s">
        <v>43</v>
      </c>
      <c r="M8" t="s">
        <v>44</v>
      </c>
      <c r="N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w.warehouseshortname='COL') and requesttypeid=(select rt.requesttypeid from app.requesttype rt where rt.description='in-transit-rma-asn-7-days');</v>
      </c>
    </row>
    <row r="9" spans="1:15" x14ac:dyDescent="0.2">
      <c r="A9" s="4" t="s">
        <v>51</v>
      </c>
      <c r="B9" t="str">
        <f t="shared" si="4"/>
        <v>in-transit-rma-asn-7-days</v>
      </c>
      <c r="C9" t="s">
        <v>38</v>
      </c>
      <c r="D9" t="str">
        <f t="shared" si="1"/>
        <v>[{"sql": "select org_id, asn_id, asn_status, created_timestamp from default_receiving.RCV_ASN where org_id = %(orgName)s and asn_status = ''1000'' and canceled = ''0'' and asn_origin_type_id =''R'' and created_timestamp &lt;= now() - interval %(days)s day "},{"days": "7"}]</v>
      </c>
      <c r="E9" t="s">
        <v>39</v>
      </c>
      <c r="F9" s="5" t="s">
        <v>40</v>
      </c>
      <c r="G9" t="s">
        <v>41</v>
      </c>
      <c r="I9" t="s">
        <v>42</v>
      </c>
      <c r="J9" t="s">
        <v>39</v>
      </c>
      <c r="K9" t="str">
        <f t="shared" si="2"/>
        <v>["Invoice", "Status"]</v>
      </c>
      <c r="L9" t="s">
        <v>43</v>
      </c>
      <c r="M9" t="s">
        <v>44</v>
      </c>
      <c r="N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w.warehouseshortname='DEN') and requesttypeid=(select rt.requesttypeid from app.requesttype rt where rt.description='in-transit-rma-asn-7-days');</v>
      </c>
    </row>
    <row r="10" spans="1:15" x14ac:dyDescent="0.2">
      <c r="A10" s="4" t="s">
        <v>52</v>
      </c>
      <c r="B10" t="str">
        <f t="shared" si="4"/>
        <v>in-transit-rma-asn-7-days</v>
      </c>
      <c r="C10" t="s">
        <v>38</v>
      </c>
      <c r="D10" t="str">
        <f t="shared" si="1"/>
        <v>[{"sql": "select org_id, asn_id, asn_status, created_timestamp from default_receiving.RCV_ASN where org_id = %(orgName)s and asn_status = ''1000'' and canceled = ''0'' and asn_origin_type_id =''R'' and created_timestamp &lt;= now() - interval %(days)s day "},{"days": "7"}]</v>
      </c>
      <c r="E10" t="s">
        <v>39</v>
      </c>
      <c r="F10" s="5" t="s">
        <v>40</v>
      </c>
      <c r="G10" t="s">
        <v>41</v>
      </c>
      <c r="I10" t="s">
        <v>42</v>
      </c>
      <c r="J10" t="s">
        <v>39</v>
      </c>
      <c r="K10" t="str">
        <f t="shared" si="2"/>
        <v>["Invoice", "Status"]</v>
      </c>
      <c r="L10" t="s">
        <v>43</v>
      </c>
      <c r="M10" t="s">
        <v>44</v>
      </c>
      <c r="N1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w.warehouseshortname='DFB') and requesttypeid=(select rt.requesttypeid from app.requesttype rt where rt.description='in-transit-rma-asn-7-days');</v>
      </c>
    </row>
    <row r="11" spans="1:15" x14ac:dyDescent="0.2">
      <c r="A11" s="4" t="s">
        <v>53</v>
      </c>
      <c r="B11" t="str">
        <f t="shared" si="4"/>
        <v>in-transit-rma-asn-7-days</v>
      </c>
      <c r="C11" t="s">
        <v>38</v>
      </c>
      <c r="D11" t="str">
        <f t="shared" si="1"/>
        <v>[{"sql": "select org_id, asn_id, asn_status, created_timestamp from default_receiving.RCV_ASN where org_id = %(orgName)s and asn_status = ''1000'' and canceled = ''0'' and asn_origin_type_id =''R'' and created_timestamp &lt;= now() - interval %(days)s day "},{"days": "7"}]</v>
      </c>
      <c r="E11" t="s">
        <v>39</v>
      </c>
      <c r="F11" s="5" t="s">
        <v>40</v>
      </c>
      <c r="G11" t="s">
        <v>41</v>
      </c>
      <c r="I11" t="s">
        <v>42</v>
      </c>
      <c r="J11" t="s">
        <v>39</v>
      </c>
      <c r="K11" t="str">
        <f t="shared" si="2"/>
        <v>["Invoice", "Status"]</v>
      </c>
      <c r="L11" t="s">
        <v>43</v>
      </c>
      <c r="M11" t="s">
        <v>44</v>
      </c>
      <c r="N1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w.warehouseshortname='ELP') and requesttypeid=(select rt.requesttypeid from app.requesttype rt where rt.description='in-transit-rma-asn-7-days');</v>
      </c>
    </row>
    <row r="12" spans="1:15" x14ac:dyDescent="0.2">
      <c r="A12" s="4" t="s">
        <v>54</v>
      </c>
      <c r="B12" t="str">
        <f t="shared" si="4"/>
        <v>in-transit-rma-asn-7-days</v>
      </c>
      <c r="C12" t="s">
        <v>38</v>
      </c>
      <c r="D12" t="str">
        <f t="shared" si="1"/>
        <v>[{"sql": "select org_id, asn_id, asn_status, created_timestamp from default_receiving.RCV_ASN where org_id = %(orgName)s and asn_status = ''1000'' and canceled = ''0'' and asn_origin_type_id =''R'' and created_timestamp &lt;= now() - interval %(days)s day "},{"days": "7"}]</v>
      </c>
      <c r="E12" t="s">
        <v>39</v>
      </c>
      <c r="F12" s="5" t="s">
        <v>40</v>
      </c>
      <c r="G12" t="s">
        <v>41</v>
      </c>
      <c r="I12" t="s">
        <v>42</v>
      </c>
      <c r="J12" t="s">
        <v>39</v>
      </c>
      <c r="K12" t="str">
        <f t="shared" si="2"/>
        <v>["Invoice", "Status"]</v>
      </c>
      <c r="L12" t="s">
        <v>43</v>
      </c>
      <c r="M12" t="s">
        <v>44</v>
      </c>
      <c r="N1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w.warehouseshortname='FAR') and requesttypeid=(select rt.requesttypeid from app.requesttype rt where rt.description='in-transit-rma-asn-7-days');</v>
      </c>
    </row>
    <row r="13" spans="1:15" x14ac:dyDescent="0.2">
      <c r="A13" s="4" t="s">
        <v>55</v>
      </c>
      <c r="B13" t="str">
        <f t="shared" si="4"/>
        <v>in-transit-rma-asn-7-days</v>
      </c>
      <c r="C13" t="s">
        <v>38</v>
      </c>
      <c r="D13" t="str">
        <f t="shared" si="1"/>
        <v>[{"sql": "select org_id, asn_id, asn_status, created_timestamp from default_receiving.RCV_ASN where org_id = %(orgName)s and asn_status = ''1000'' and canceled = ''0'' and asn_origin_type_id =''R'' and created_timestamp &lt;= now() - interval %(days)s day "},{"days": "7"}]</v>
      </c>
      <c r="E13" t="s">
        <v>39</v>
      </c>
      <c r="F13" s="5" t="s">
        <v>40</v>
      </c>
      <c r="G13" t="s">
        <v>41</v>
      </c>
      <c r="I13" t="s">
        <v>42</v>
      </c>
      <c r="J13" t="s">
        <v>39</v>
      </c>
      <c r="K13" t="str">
        <f t="shared" si="2"/>
        <v>["Invoice", "Status"]</v>
      </c>
      <c r="L13" t="s">
        <v>43</v>
      </c>
      <c r="M13" t="s">
        <v>44</v>
      </c>
      <c r="N1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w.warehouseshortname='GRP') and requesttypeid=(select rt.requesttypeid from app.requesttype rt where rt.description='in-transit-rma-asn-7-days');</v>
      </c>
    </row>
    <row r="14" spans="1:15" x14ac:dyDescent="0.2">
      <c r="A14" s="4" t="s">
        <v>56</v>
      </c>
      <c r="B14" t="str">
        <f t="shared" si="4"/>
        <v>in-transit-rma-asn-7-days</v>
      </c>
      <c r="C14" t="s">
        <v>38</v>
      </c>
      <c r="D14" t="str">
        <f t="shared" si="1"/>
        <v>[{"sql": "select org_id, asn_id, asn_status, created_timestamp from default_receiving.RCV_ASN where org_id = %(orgName)s and asn_status = ''1000'' and canceled = ''0'' and asn_origin_type_id =''R'' and created_timestamp &lt;= now() - interval %(days)s day "},{"days": "7"}]</v>
      </c>
      <c r="E14" t="s">
        <v>39</v>
      </c>
      <c r="F14" s="5" t="s">
        <v>40</v>
      </c>
      <c r="G14" t="s">
        <v>41</v>
      </c>
      <c r="I14" t="s">
        <v>42</v>
      </c>
      <c r="J14" t="s">
        <v>39</v>
      </c>
      <c r="K14" t="str">
        <f t="shared" si="2"/>
        <v>["Invoice", "Status"]</v>
      </c>
      <c r="L14" t="s">
        <v>43</v>
      </c>
      <c r="M14" t="s">
        <v>44</v>
      </c>
      <c r="N1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w.warehouseshortname='HAW') and requesttypeid=(select rt.requesttypeid from app.requesttype rt where rt.description='in-transit-rma-asn-7-days');</v>
      </c>
    </row>
    <row r="15" spans="1:15" x14ac:dyDescent="0.2">
      <c r="A15" s="4" t="s">
        <v>57</v>
      </c>
      <c r="B15" t="str">
        <f t="shared" si="4"/>
        <v>in-transit-rma-asn-7-days</v>
      </c>
      <c r="C15" t="s">
        <v>38</v>
      </c>
      <c r="D15" t="str">
        <f t="shared" si="1"/>
        <v>[{"sql": "select org_id, asn_id, asn_status, created_timestamp from default_receiving.RCV_ASN where org_id = %(orgName)s and asn_status = ''1000'' and canceled = ''0'' and asn_origin_type_id =''R'' and created_timestamp &lt;= now() - interval %(days)s day "},{"days": "7"}]</v>
      </c>
      <c r="E15" t="s">
        <v>39</v>
      </c>
      <c r="F15" s="5" t="s">
        <v>40</v>
      </c>
      <c r="G15" t="s">
        <v>41</v>
      </c>
      <c r="I15" t="s">
        <v>42</v>
      </c>
      <c r="J15" t="s">
        <v>39</v>
      </c>
      <c r="K15" t="str">
        <f t="shared" si="2"/>
        <v>["Invoice", "Status"]</v>
      </c>
      <c r="L15" t="s">
        <v>43</v>
      </c>
      <c r="M15" t="s">
        <v>44</v>
      </c>
      <c r="N1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w.warehouseshortname='HOU') and requesttypeid=(select rt.requesttypeid from app.requesttype rt where rt.description='in-transit-rma-asn-7-days');</v>
      </c>
    </row>
    <row r="16" spans="1:15" x14ac:dyDescent="0.2">
      <c r="A16" s="4" t="s">
        <v>58</v>
      </c>
      <c r="B16" t="str">
        <f t="shared" si="4"/>
        <v>in-transit-rma-asn-7-days</v>
      </c>
      <c r="C16" t="s">
        <v>38</v>
      </c>
      <c r="D16" t="str">
        <f t="shared" si="1"/>
        <v>[{"sql": "select org_id, asn_id, asn_status, created_timestamp from default_receiving.RCV_ASN where org_id = %(orgName)s and asn_status = ''1000'' and canceled = ''0'' and asn_origin_type_id =''R'' and created_timestamp &lt;= now() - interval %(days)s day "},{"days": "7"}]</v>
      </c>
      <c r="E16" t="s">
        <v>39</v>
      </c>
      <c r="F16" s="5" t="s">
        <v>40</v>
      </c>
      <c r="G16" t="s">
        <v>41</v>
      </c>
      <c r="I16" t="s">
        <v>42</v>
      </c>
      <c r="J16" t="s">
        <v>39</v>
      </c>
      <c r="K16" t="str">
        <f t="shared" si="2"/>
        <v>["Invoice", "Status"]</v>
      </c>
      <c r="L16" t="s">
        <v>43</v>
      </c>
      <c r="M16" t="s">
        <v>44</v>
      </c>
      <c r="N1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w.warehouseshortname='IND') and requesttypeid=(select rt.requesttypeid from app.requesttype rt where rt.description='in-transit-rma-asn-7-days');</v>
      </c>
    </row>
    <row r="17" spans="1:15" x14ac:dyDescent="0.2">
      <c r="A17" s="4" t="s">
        <v>59</v>
      </c>
      <c r="B17" t="str">
        <f t="shared" si="4"/>
        <v>in-transit-rma-asn-7-days</v>
      </c>
      <c r="C17" t="s">
        <v>38</v>
      </c>
      <c r="D17" t="str">
        <f t="shared" si="1"/>
        <v>[{"sql": "select org_id, asn_id, asn_status, created_timestamp from default_receiving.RCV_ASN where org_id = %(orgName)s and asn_status = ''1000'' and canceled = ''0'' and asn_origin_type_id =''R'' and created_timestamp &lt;= now() - interval %(days)s day "},{"days": "7"}]</v>
      </c>
      <c r="E17" t="s">
        <v>39</v>
      </c>
      <c r="F17" s="5" t="s">
        <v>40</v>
      </c>
      <c r="G17" t="s">
        <v>41</v>
      </c>
      <c r="I17" t="s">
        <v>42</v>
      </c>
      <c r="J17" t="s">
        <v>39</v>
      </c>
      <c r="K17" t="str">
        <f t="shared" si="2"/>
        <v>["Invoice", "Status"]</v>
      </c>
      <c r="L17" t="s">
        <v>43</v>
      </c>
      <c r="M17" t="s">
        <v>44</v>
      </c>
      <c r="N1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w.warehouseshortname='JAC') and requesttypeid=(select rt.requesttypeid from app.requesttype rt where rt.description='in-transit-rma-asn-7-days');</v>
      </c>
    </row>
    <row r="18" spans="1:15" x14ac:dyDescent="0.2">
      <c r="A18" s="4" t="s">
        <v>60</v>
      </c>
      <c r="B18" t="str">
        <f t="shared" si="4"/>
        <v>in-transit-rma-asn-7-days</v>
      </c>
      <c r="C18" t="s">
        <v>38</v>
      </c>
      <c r="D18" t="str">
        <f t="shared" si="1"/>
        <v>[{"sql": "select org_id, asn_id, asn_status, created_timestamp from default_receiving.RCV_ASN where org_id = %(orgName)s and asn_status = ''1000'' and canceled = ''0'' and asn_origin_type_id =''R'' and created_timestamp &lt;= now() - interval %(days)s day "},{"days": "7"}]</v>
      </c>
      <c r="E18" t="s">
        <v>39</v>
      </c>
      <c r="F18" s="5" t="s">
        <v>40</v>
      </c>
      <c r="G18" t="s">
        <v>41</v>
      </c>
      <c r="I18" t="s">
        <v>42</v>
      </c>
      <c r="J18" t="s">
        <v>39</v>
      </c>
      <c r="K18" t="str">
        <f t="shared" si="2"/>
        <v>["Invoice", "Status"]</v>
      </c>
      <c r="L18" t="s">
        <v>43</v>
      </c>
      <c r="M18" t="s">
        <v>44</v>
      </c>
      <c r="N1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w.warehouseshortname='JES') and requesttypeid=(select rt.requesttypeid from app.requesttype rt where rt.description='in-transit-rma-asn-7-days');</v>
      </c>
    </row>
    <row r="19" spans="1:15" x14ac:dyDescent="0.2">
      <c r="A19" s="4" t="s">
        <v>61</v>
      </c>
      <c r="B19" t="str">
        <f t="shared" si="4"/>
        <v>in-transit-rma-asn-7-days</v>
      </c>
      <c r="C19" t="s">
        <v>38</v>
      </c>
      <c r="D19" t="str">
        <f t="shared" si="1"/>
        <v>[{"sql": "select org_id, asn_id, asn_status, created_timestamp from default_receiving.RCV_ASN where org_id = %(orgName)s and asn_status = ''1000'' and canceled = ''0'' and asn_origin_type_id =''R'' and created_timestamp &lt;= now() - interval %(days)s day "},{"days": "7"}]</v>
      </c>
      <c r="E19" t="s">
        <v>39</v>
      </c>
      <c r="F19" s="5" t="s">
        <v>40</v>
      </c>
      <c r="G19" t="s">
        <v>41</v>
      </c>
      <c r="I19" t="s">
        <v>42</v>
      </c>
      <c r="J19" t="s">
        <v>39</v>
      </c>
      <c r="K19" t="str">
        <f t="shared" si="2"/>
        <v>["Invoice", "Status"]</v>
      </c>
      <c r="L19" t="s">
        <v>43</v>
      </c>
      <c r="M19" t="s">
        <v>44</v>
      </c>
      <c r="N1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w.warehouseshortname='KAP') and requesttypeid=(select rt.requesttypeid from app.requesttype rt where rt.description='in-transit-rma-asn-7-days');</v>
      </c>
    </row>
    <row r="20" spans="1:15" x14ac:dyDescent="0.2">
      <c r="A20" s="4" t="s">
        <v>62</v>
      </c>
      <c r="B20" t="str">
        <f t="shared" si="4"/>
        <v>in-transit-rma-asn-7-days</v>
      </c>
      <c r="C20" t="s">
        <v>38</v>
      </c>
      <c r="D20" t="str">
        <f t="shared" si="1"/>
        <v>[{"sql": "select org_id, asn_id, asn_status, created_timestamp from default_receiving.RCV_ASN where org_id = %(orgName)s and asn_status = ''1000'' and canceled = ''0'' and asn_origin_type_id =''R'' and created_timestamp &lt;= now() - interval %(days)s day "},{"days": "7"}]</v>
      </c>
      <c r="E20" t="s">
        <v>39</v>
      </c>
      <c r="F20" s="5" t="s">
        <v>40</v>
      </c>
      <c r="G20" t="s">
        <v>41</v>
      </c>
      <c r="I20" t="s">
        <v>42</v>
      </c>
      <c r="J20" t="s">
        <v>39</v>
      </c>
      <c r="K20" t="str">
        <f t="shared" si="2"/>
        <v>["Invoice", "Status"]</v>
      </c>
      <c r="L20" t="s">
        <v>43</v>
      </c>
      <c r="M20" t="s">
        <v>44</v>
      </c>
      <c r="N2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w.warehouseshortname='KAU') and requesttypeid=(select rt.requesttypeid from app.requesttype rt where rt.description='in-transit-rma-asn-7-days');</v>
      </c>
    </row>
    <row r="21" spans="1:15" x14ac:dyDescent="0.2">
      <c r="A21" s="4" t="s">
        <v>63</v>
      </c>
      <c r="B21" t="str">
        <f t="shared" si="4"/>
        <v>in-transit-rma-asn-7-days</v>
      </c>
      <c r="C21" t="s">
        <v>38</v>
      </c>
      <c r="D21" t="str">
        <f t="shared" si="1"/>
        <v>[{"sql": "select org_id, asn_id, asn_status, created_timestamp from default_receiving.RCV_ASN where org_id = %(orgName)s and asn_status = ''1000'' and canceled = ''0'' and asn_origin_type_id =''R'' and created_timestamp &lt;= now() - interval %(days)s day "},{"days": "7"}]</v>
      </c>
      <c r="E21" t="s">
        <v>39</v>
      </c>
      <c r="F21" s="5" t="s">
        <v>40</v>
      </c>
      <c r="G21" t="s">
        <v>41</v>
      </c>
      <c r="I21" t="s">
        <v>42</v>
      </c>
      <c r="J21" t="s">
        <v>39</v>
      </c>
      <c r="K21" t="str">
        <f t="shared" si="2"/>
        <v>["Invoice", "Status"]</v>
      </c>
      <c r="L21" t="s">
        <v>43</v>
      </c>
      <c r="M21" t="s">
        <v>44</v>
      </c>
      <c r="N2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w.warehouseshortname='LAF') and requesttypeid=(select rt.requesttypeid from app.requesttype rt where rt.description='in-transit-rma-asn-7-days');</v>
      </c>
    </row>
    <row r="22" spans="1:15" x14ac:dyDescent="0.2">
      <c r="A22" s="4" t="s">
        <v>64</v>
      </c>
      <c r="B22" t="str">
        <f t="shared" si="4"/>
        <v>in-transit-rma-asn-7-days</v>
      </c>
      <c r="C22" t="s">
        <v>38</v>
      </c>
      <c r="D22" t="str">
        <f t="shared" si="1"/>
        <v>[{"sql": "select org_id, asn_id, asn_status, created_timestamp from default_receiving.RCV_ASN where org_id = %(orgName)s and asn_status = ''1000'' and canceled = ''0'' and asn_origin_type_id =''R'' and created_timestamp &lt;= now() - interval %(days)s day "},{"days": "7"}]</v>
      </c>
      <c r="E22" t="s">
        <v>39</v>
      </c>
      <c r="F22" s="5" t="s">
        <v>40</v>
      </c>
      <c r="G22" t="s">
        <v>41</v>
      </c>
      <c r="I22" t="s">
        <v>42</v>
      </c>
      <c r="J22" t="s">
        <v>39</v>
      </c>
      <c r="K22" t="str">
        <f t="shared" si="2"/>
        <v>["Invoice", "Status"]</v>
      </c>
      <c r="L22" t="s">
        <v>43</v>
      </c>
      <c r="M22" t="s">
        <v>44</v>
      </c>
      <c r="N2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w.warehouseshortname='LIV') and requesttypeid=(select rt.requesttypeid from app.requesttype rt where rt.description='in-transit-rma-asn-7-days');</v>
      </c>
    </row>
    <row r="23" spans="1:15" x14ac:dyDescent="0.2">
      <c r="A23" s="4" t="s">
        <v>65</v>
      </c>
      <c r="B23" t="str">
        <f t="shared" si="4"/>
        <v>in-transit-rma-asn-7-days</v>
      </c>
      <c r="C23" t="s">
        <v>38</v>
      </c>
      <c r="D23" t="str">
        <f t="shared" si="1"/>
        <v>[{"sql": "select org_id, asn_id, asn_status, created_timestamp from default_receiving.RCV_ASN where org_id = %(orgName)s and asn_status = ''1000'' and canceled = ''0'' and asn_origin_type_id =''R'' and created_timestamp &lt;= now() - interval %(days)s day "},{"days": "7"}]</v>
      </c>
      <c r="E23" t="s">
        <v>39</v>
      </c>
      <c r="F23" s="5" t="s">
        <v>40</v>
      </c>
      <c r="G23" t="s">
        <v>41</v>
      </c>
      <c r="I23" t="s">
        <v>42</v>
      </c>
      <c r="J23" t="s">
        <v>39</v>
      </c>
      <c r="K23" t="str">
        <f t="shared" si="2"/>
        <v>["Invoice", "Status"]</v>
      </c>
      <c r="L23" t="s">
        <v>43</v>
      </c>
      <c r="M23" t="s">
        <v>44</v>
      </c>
      <c r="N2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w.warehouseshortname='LOU') and requesttypeid=(select rt.requesttypeid from app.requesttype rt where rt.description='in-transit-rma-asn-7-days');</v>
      </c>
    </row>
    <row r="24" spans="1:15" x14ac:dyDescent="0.2">
      <c r="A24" s="4" t="s">
        <v>66</v>
      </c>
      <c r="B24" t="str">
        <f t="shared" si="4"/>
        <v>in-transit-rma-asn-7-days</v>
      </c>
      <c r="C24" t="s">
        <v>38</v>
      </c>
      <c r="D24" t="str">
        <f t="shared" si="1"/>
        <v>[{"sql": "select org_id, asn_id, asn_status, created_timestamp from default_receiving.RCV_ASN where org_id = %(orgName)s and asn_status = ''1000'' and canceled = ''0'' and asn_origin_type_id =''R'' and created_timestamp &lt;= now() - interval %(days)s day "},{"days": "7"}]</v>
      </c>
      <c r="E24" t="s">
        <v>39</v>
      </c>
      <c r="F24" s="5" t="s">
        <v>40</v>
      </c>
      <c r="G24" t="s">
        <v>41</v>
      </c>
      <c r="I24" t="s">
        <v>42</v>
      </c>
      <c r="J24" t="s">
        <v>39</v>
      </c>
      <c r="K24" t="str">
        <f t="shared" si="2"/>
        <v>["Invoice", "Status"]</v>
      </c>
      <c r="L24" t="s">
        <v>43</v>
      </c>
      <c r="M24" t="s">
        <v>44</v>
      </c>
      <c r="N2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w.warehouseshortname='LUB') and requesttypeid=(select rt.requesttypeid from app.requesttype rt where rt.description='in-transit-rma-asn-7-days');</v>
      </c>
    </row>
    <row r="25" spans="1:15" x14ac:dyDescent="0.2">
      <c r="A25" s="4" t="s">
        <v>67</v>
      </c>
      <c r="B25" t="str">
        <f t="shared" si="4"/>
        <v>in-transit-rma-asn-7-days</v>
      </c>
      <c r="C25" t="s">
        <v>38</v>
      </c>
      <c r="D25" t="str">
        <f t="shared" si="1"/>
        <v>[{"sql": "select org_id, asn_id, asn_status, created_timestamp from default_receiving.RCV_ASN where org_id = %(orgName)s and asn_status = ''1000'' and canceled = ''0'' and asn_origin_type_id =''R'' and created_timestamp &lt;= now() - interval %(days)s day "},{"days": "7"}]</v>
      </c>
      <c r="E25" t="s">
        <v>39</v>
      </c>
      <c r="F25" s="5" t="s">
        <v>40</v>
      </c>
      <c r="G25" t="s">
        <v>41</v>
      </c>
      <c r="I25" t="s">
        <v>42</v>
      </c>
      <c r="J25" t="s">
        <v>39</v>
      </c>
      <c r="K25" t="str">
        <f t="shared" si="2"/>
        <v>["Invoice", "Status"]</v>
      </c>
      <c r="L25" t="s">
        <v>43</v>
      </c>
      <c r="M25" t="s">
        <v>44</v>
      </c>
      <c r="N2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w.warehouseshortname='MAU') and requesttypeid=(select rt.requesttypeid from app.requesttype rt where rt.description='in-transit-rma-asn-7-days');</v>
      </c>
    </row>
    <row r="26" spans="1:15" x14ac:dyDescent="0.2">
      <c r="A26" s="4" t="s">
        <v>68</v>
      </c>
      <c r="B26" t="str">
        <f t="shared" si="4"/>
        <v>in-transit-rma-asn-7-days</v>
      </c>
      <c r="C26" t="s">
        <v>38</v>
      </c>
      <c r="D26" t="str">
        <f t="shared" si="1"/>
        <v>[{"sql": "select org_id, asn_id, asn_status, created_timestamp from default_receiving.RCV_ASN where org_id = %(orgName)s and asn_status = ''1000'' and canceled = ''0'' and asn_origin_type_id =''R'' and created_timestamp &lt;= now() - interval %(days)s day "},{"days": "7"}]</v>
      </c>
      <c r="E26" t="s">
        <v>39</v>
      </c>
      <c r="F26" s="5" t="s">
        <v>40</v>
      </c>
      <c r="G26" t="s">
        <v>41</v>
      </c>
      <c r="I26" t="s">
        <v>42</v>
      </c>
      <c r="J26" t="s">
        <v>39</v>
      </c>
      <c r="K26" t="str">
        <f t="shared" si="2"/>
        <v>["Invoice", "Status"]</v>
      </c>
      <c r="L26" t="s">
        <v>43</v>
      </c>
      <c r="M26" t="s">
        <v>44</v>
      </c>
      <c r="N2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w.warehouseshortname='NEW') and requesttypeid=(select rt.requesttypeid from app.requesttype rt where rt.description='in-transit-rma-asn-7-days');</v>
      </c>
    </row>
    <row r="27" spans="1:15" x14ac:dyDescent="0.2">
      <c r="A27" s="4" t="s">
        <v>69</v>
      </c>
      <c r="B27" t="str">
        <f t="shared" si="4"/>
        <v>in-transit-rma-asn-7-days</v>
      </c>
      <c r="C27" t="s">
        <v>38</v>
      </c>
      <c r="D27" t="str">
        <f t="shared" si="1"/>
        <v>[{"sql": "select org_id, asn_id, asn_status, created_timestamp from default_receiving.RCV_ASN where org_id = %(orgName)s and asn_status = ''1000'' and canceled = ''0'' and asn_origin_type_id =''R'' and created_timestamp &lt;= now() - interval %(days)s day "},{"days": "7"}]</v>
      </c>
      <c r="E27" t="s">
        <v>39</v>
      </c>
      <c r="F27" s="5" t="s">
        <v>40</v>
      </c>
      <c r="G27" t="s">
        <v>41</v>
      </c>
      <c r="I27" t="s">
        <v>42</v>
      </c>
      <c r="J27" t="s">
        <v>39</v>
      </c>
      <c r="K27" t="str">
        <f t="shared" si="2"/>
        <v>["Invoice", "Status"]</v>
      </c>
      <c r="L27" t="s">
        <v>43</v>
      </c>
      <c r="M27" t="s">
        <v>44</v>
      </c>
      <c r="N2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w.warehouseshortname='OAH') and requesttypeid=(select rt.requesttypeid from app.requesttype rt where rt.description='in-transit-rma-asn-7-days');</v>
      </c>
    </row>
    <row r="28" spans="1:15" x14ac:dyDescent="0.2">
      <c r="A28" s="4" t="s">
        <v>70</v>
      </c>
      <c r="B28" t="str">
        <f t="shared" si="4"/>
        <v>in-transit-rma-asn-7-days</v>
      </c>
      <c r="C28" t="s">
        <v>38</v>
      </c>
      <c r="D28" t="str">
        <f t="shared" si="1"/>
        <v>[{"sql": "select org_id, asn_id, asn_status, created_timestamp from default_receiving.RCV_ASN where org_id = %(orgName)s and asn_status = ''1000'' and canceled = ''0'' and asn_origin_type_id =''R'' and created_timestamp &lt;= now() - interval %(days)s day "},{"days": "7"}]</v>
      </c>
      <c r="E28" t="s">
        <v>39</v>
      </c>
      <c r="F28" s="5" t="s">
        <v>40</v>
      </c>
      <c r="G28" t="s">
        <v>41</v>
      </c>
      <c r="I28" t="s">
        <v>42</v>
      </c>
      <c r="J28" t="s">
        <v>39</v>
      </c>
      <c r="K28" t="str">
        <f t="shared" si="2"/>
        <v>["Invoice", "Status"]</v>
      </c>
      <c r="L28" t="s">
        <v>43</v>
      </c>
      <c r="M28" t="s">
        <v>44</v>
      </c>
      <c r="N2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w.warehouseshortname='OKL') and requesttypeid=(select rt.requesttypeid from app.requesttype rt where rt.description='in-transit-rma-asn-7-days');</v>
      </c>
    </row>
    <row r="29" spans="1:15" x14ac:dyDescent="0.2">
      <c r="A29" s="4" t="s">
        <v>71</v>
      </c>
      <c r="B29" t="str">
        <f t="shared" si="4"/>
        <v>in-transit-rma-asn-7-days</v>
      </c>
      <c r="C29" t="s">
        <v>38</v>
      </c>
      <c r="D29" t="str">
        <f t="shared" si="1"/>
        <v>[{"sql": "select org_id, asn_id, asn_status, created_timestamp from default_receiving.RCV_ASN where org_id = %(orgName)s and asn_status = ''1000'' and canceled = ''0'' and asn_origin_type_id =''R'' and created_timestamp &lt;= now() - interval %(days)s day "},{"days": "7"}]</v>
      </c>
      <c r="E29" t="s">
        <v>39</v>
      </c>
      <c r="F29" s="5" t="s">
        <v>40</v>
      </c>
      <c r="G29" t="s">
        <v>41</v>
      </c>
      <c r="I29" t="s">
        <v>42</v>
      </c>
      <c r="J29" t="s">
        <v>39</v>
      </c>
      <c r="K29" t="str">
        <f t="shared" si="2"/>
        <v>["Invoice", "Status"]</v>
      </c>
      <c r="L29" t="s">
        <v>43</v>
      </c>
      <c r="M29" t="s">
        <v>44</v>
      </c>
      <c r="N2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w.warehouseshortname='OMA') and requesttypeid=(select rt.requesttypeid from app.requesttype rt where rt.description='in-transit-rma-asn-7-days');</v>
      </c>
    </row>
    <row r="30" spans="1:15" x14ac:dyDescent="0.2">
      <c r="A30" s="4" t="s">
        <v>72</v>
      </c>
      <c r="B30" t="str">
        <f t="shared" si="4"/>
        <v>in-transit-rma-asn-7-days</v>
      </c>
      <c r="C30" t="s">
        <v>38</v>
      </c>
      <c r="D30" t="str">
        <f t="shared" si="1"/>
        <v>[{"sql": "select org_id, asn_id, asn_status, created_timestamp from default_receiving.RCV_ASN where org_id = %(orgName)s and asn_status = ''1000'' and canceled = ''0'' and asn_origin_type_id =''R'' and created_timestamp &lt;= now() - interval %(days)s day "},{"days": "7"}]</v>
      </c>
      <c r="E30" t="s">
        <v>39</v>
      </c>
      <c r="F30" s="5" t="s">
        <v>40</v>
      </c>
      <c r="G30" t="s">
        <v>41</v>
      </c>
      <c r="I30" t="s">
        <v>42</v>
      </c>
      <c r="J30" t="s">
        <v>39</v>
      </c>
      <c r="K30" t="str">
        <f t="shared" si="2"/>
        <v>["Invoice", "Status"]</v>
      </c>
      <c r="L30" t="s">
        <v>43</v>
      </c>
      <c r="M30" t="s">
        <v>44</v>
      </c>
      <c r="N3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w.warehouseshortname='ORL') and requesttypeid=(select rt.requesttypeid from app.requesttype rt where rt.description='in-transit-rma-asn-7-days');</v>
      </c>
    </row>
    <row r="31" spans="1:15" x14ac:dyDescent="0.2">
      <c r="A31" s="4" t="s">
        <v>73</v>
      </c>
      <c r="B31" t="str">
        <f t="shared" si="4"/>
        <v>in-transit-rma-asn-7-days</v>
      </c>
      <c r="C31" t="s">
        <v>38</v>
      </c>
      <c r="D31" t="str">
        <f t="shared" si="1"/>
        <v>[{"sql": "select org_id, asn_id, asn_status, created_timestamp from default_receiving.RCV_ASN where org_id = %(orgName)s and asn_status = ''1000'' and canceled = ''0'' and asn_origin_type_id =''R'' and created_timestamp &lt;= now() - interval %(days)s day "},{"days": "7"}]</v>
      </c>
      <c r="E31" t="s">
        <v>39</v>
      </c>
      <c r="F31" s="5" t="s">
        <v>40</v>
      </c>
      <c r="G31" t="s">
        <v>41</v>
      </c>
      <c r="I31" t="s">
        <v>42</v>
      </c>
      <c r="J31" t="s">
        <v>39</v>
      </c>
      <c r="K31" t="str">
        <f t="shared" si="2"/>
        <v>["Invoice", "Status"]</v>
      </c>
      <c r="L31" t="s">
        <v>43</v>
      </c>
      <c r="M31" t="s">
        <v>44</v>
      </c>
      <c r="N3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w.warehouseshortname='PEN') and requesttypeid=(select rt.requesttypeid from app.requesttype rt where rt.description='in-transit-rma-asn-7-days');</v>
      </c>
    </row>
    <row r="32" spans="1:15" x14ac:dyDescent="0.2">
      <c r="A32" s="4" t="s">
        <v>74</v>
      </c>
      <c r="B32" t="str">
        <f t="shared" si="4"/>
        <v>in-transit-rma-asn-7-days</v>
      </c>
      <c r="C32" t="s">
        <v>38</v>
      </c>
      <c r="D32" t="str">
        <f t="shared" si="1"/>
        <v>[{"sql": "select org_id, asn_id, asn_status, created_timestamp from default_receiving.RCV_ASN where org_id = %(orgName)s and asn_status = ''1000'' and canceled = ''0'' and asn_origin_type_id =''R'' and created_timestamp &lt;= now() - interval %(days)s day "},{"days": "7"}]</v>
      </c>
      <c r="E32" t="s">
        <v>39</v>
      </c>
      <c r="F32" s="5" t="s">
        <v>40</v>
      </c>
      <c r="G32" t="s">
        <v>41</v>
      </c>
      <c r="I32" t="s">
        <v>42</v>
      </c>
      <c r="J32" t="s">
        <v>39</v>
      </c>
      <c r="K32" t="str">
        <f t="shared" si="2"/>
        <v>["Invoice", "Status"]</v>
      </c>
      <c r="L32" t="s">
        <v>43</v>
      </c>
      <c r="M32" t="s">
        <v>44</v>
      </c>
      <c r="N3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w.warehouseshortname='PHO') and requesttypeid=(select rt.requesttypeid from app.requesttype rt where rt.description='in-transit-rma-asn-7-days');</v>
      </c>
    </row>
    <row r="33" spans="1:15" x14ac:dyDescent="0.2">
      <c r="A33" s="4" t="s">
        <v>75</v>
      </c>
      <c r="B33" t="str">
        <f t="shared" si="4"/>
        <v>in-transit-rma-asn-7-days</v>
      </c>
      <c r="C33" t="s">
        <v>38</v>
      </c>
      <c r="D33" t="str">
        <f t="shared" si="1"/>
        <v>[{"sql": "select org_id, asn_id, asn_status, created_timestamp from default_receiving.RCV_ASN where org_id = %(orgName)s and asn_status = ''1000'' and canceled = ''0'' and asn_origin_type_id =''R'' and created_timestamp &lt;= now() - interval %(days)s day "},{"days": "7"}]</v>
      </c>
      <c r="E33" t="s">
        <v>39</v>
      </c>
      <c r="F33" s="5" t="s">
        <v>40</v>
      </c>
      <c r="G33" t="s">
        <v>41</v>
      </c>
      <c r="I33" t="s">
        <v>42</v>
      </c>
      <c r="J33" t="s">
        <v>39</v>
      </c>
      <c r="K33" t="str">
        <f t="shared" si="2"/>
        <v>["Invoice", "Status"]</v>
      </c>
      <c r="L33" t="s">
        <v>43</v>
      </c>
      <c r="M33" t="s">
        <v>44</v>
      </c>
      <c r="N3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w.warehouseshortname='POR') and requesttypeid=(select rt.requesttypeid from app.requesttype rt where rt.description='in-transit-rma-asn-7-days');</v>
      </c>
    </row>
    <row r="34" spans="1:15" x14ac:dyDescent="0.2">
      <c r="A34" s="4" t="s">
        <v>76</v>
      </c>
      <c r="B34" t="str">
        <f t="shared" si="4"/>
        <v>in-transit-rma-asn-7-days</v>
      </c>
      <c r="C34" t="s">
        <v>38</v>
      </c>
      <c r="D34" t="str">
        <f t="shared" si="1"/>
        <v>[{"sql": "select org_id, asn_id, asn_status, created_timestamp from default_receiving.RCV_ASN where org_id = %(orgName)s and asn_status = ''1000'' and canceled = ''0'' and asn_origin_type_id =''R'' and created_timestamp &lt;= now() - interval %(days)s day "},{"days": "7"}]</v>
      </c>
      <c r="E34" t="s">
        <v>39</v>
      </c>
      <c r="F34" s="5" t="s">
        <v>40</v>
      </c>
      <c r="G34" t="s">
        <v>41</v>
      </c>
      <c r="I34" t="s">
        <v>42</v>
      </c>
      <c r="J34" t="s">
        <v>39</v>
      </c>
      <c r="K34" t="str">
        <f t="shared" si="2"/>
        <v>["Invoice", "Status"]</v>
      </c>
      <c r="L34" t="s">
        <v>43</v>
      </c>
      <c r="M34" t="s">
        <v>44</v>
      </c>
      <c r="N3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w.warehouseshortname='ROM') and requesttypeid=(select rt.requesttypeid from app.requesttype rt where rt.description='in-transit-rma-asn-7-days');</v>
      </c>
    </row>
    <row r="35" spans="1:15" x14ac:dyDescent="0.2">
      <c r="A35" s="4" t="s">
        <v>77</v>
      </c>
      <c r="B35" t="str">
        <f t="shared" si="4"/>
        <v>in-transit-rma-asn-7-days</v>
      </c>
      <c r="C35" t="s">
        <v>38</v>
      </c>
      <c r="D35" t="str">
        <f t="shared" si="1"/>
        <v>[{"sql": "select org_id, asn_id, asn_status, created_timestamp from default_receiving.RCV_ASN where org_id = %(orgName)s and asn_status = ''1000'' and canceled = ''0'' and asn_origin_type_id =''R'' and created_timestamp &lt;= now() - interval %(days)s day "},{"days": "7"}]</v>
      </c>
      <c r="E35" t="s">
        <v>39</v>
      </c>
      <c r="F35" s="5" t="s">
        <v>40</v>
      </c>
      <c r="G35" t="s">
        <v>41</v>
      </c>
      <c r="I35" t="s">
        <v>42</v>
      </c>
      <c r="J35" t="s">
        <v>39</v>
      </c>
      <c r="K35" t="str">
        <f t="shared" si="2"/>
        <v>["Invoice", "Status"]</v>
      </c>
      <c r="L35" t="s">
        <v>43</v>
      </c>
      <c r="M35" t="s">
        <v>44</v>
      </c>
      <c r="N3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w.warehouseshortname='SAA') and requesttypeid=(select rt.requesttypeid from app.requesttype rt where rt.description='in-transit-rma-asn-7-days');</v>
      </c>
    </row>
    <row r="36" spans="1:15" x14ac:dyDescent="0.2">
      <c r="A36" s="4" t="s">
        <v>78</v>
      </c>
      <c r="B36" t="str">
        <f t="shared" si="4"/>
        <v>in-transit-rma-asn-7-days</v>
      </c>
      <c r="C36" t="s">
        <v>38</v>
      </c>
      <c r="D36" t="str">
        <f t="shared" si="1"/>
        <v>[{"sql": "select org_id, asn_id, asn_status, created_timestamp from default_receiving.RCV_ASN where org_id = %(orgName)s and asn_status = ''1000'' and canceled = ''0'' and asn_origin_type_id =''R'' and created_timestamp &lt;= now() - interval %(days)s day "},{"days": "7"}]</v>
      </c>
      <c r="E36" t="s">
        <v>39</v>
      </c>
      <c r="F36" s="5" t="s">
        <v>40</v>
      </c>
      <c r="G36" t="s">
        <v>41</v>
      </c>
      <c r="I36" t="s">
        <v>42</v>
      </c>
      <c r="J36" t="s">
        <v>39</v>
      </c>
      <c r="K36" t="str">
        <f t="shared" si="2"/>
        <v>["Invoice", "Status"]</v>
      </c>
      <c r="L36" t="s">
        <v>43</v>
      </c>
      <c r="M36" t="s">
        <v>44</v>
      </c>
      <c r="N3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w.warehouseshortname='SIO') and requesttypeid=(select rt.requesttypeid from app.requesttype rt where rt.description='in-transit-rma-asn-7-days');</v>
      </c>
    </row>
    <row r="37" spans="1:15" x14ac:dyDescent="0.2">
      <c r="A37" s="4" t="s">
        <v>79</v>
      </c>
      <c r="B37" t="str">
        <f t="shared" si="4"/>
        <v>in-transit-rma-asn-7-days</v>
      </c>
      <c r="C37" t="s">
        <v>38</v>
      </c>
      <c r="D37" t="str">
        <f t="shared" si="1"/>
        <v>[{"sql": "select org_id, asn_id, asn_status, created_timestamp from default_receiving.RCV_ASN where org_id = %(orgName)s and asn_status = ''1000'' and canceled = ''0'' and asn_origin_type_id =''R'' and created_timestamp &lt;= now() - interval %(days)s day "},{"days": "7"}]</v>
      </c>
      <c r="E37" t="s">
        <v>39</v>
      </c>
      <c r="F37" s="5" t="s">
        <v>40</v>
      </c>
      <c r="G37" t="s">
        <v>41</v>
      </c>
      <c r="I37" t="s">
        <v>42</v>
      </c>
      <c r="J37" t="s">
        <v>39</v>
      </c>
      <c r="K37" t="str">
        <f t="shared" si="2"/>
        <v>["Invoice", "Status"]</v>
      </c>
      <c r="L37" t="s">
        <v>43</v>
      </c>
      <c r="M37" t="s">
        <v>44</v>
      </c>
      <c r="N3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w.warehouseshortname='TAM') and requesttypeid=(select rt.requesttypeid from app.requesttype rt where rt.description='in-transit-rma-asn-7-days');</v>
      </c>
    </row>
    <row r="38" spans="1:15" x14ac:dyDescent="0.2">
      <c r="A38" s="4" t="s">
        <v>80</v>
      </c>
      <c r="B38" t="str">
        <f t="shared" si="4"/>
        <v>in-transit-rma-asn-7-days</v>
      </c>
      <c r="C38" t="s">
        <v>38</v>
      </c>
      <c r="D38" t="str">
        <f t="shared" si="1"/>
        <v>[{"sql": "select org_id, asn_id, asn_status, created_timestamp from default_receiving.RCV_ASN where org_id = %(orgName)s and asn_status = ''1000'' and canceled = ''0'' and asn_origin_type_id =''R'' and created_timestamp &lt;= now() - interval %(days)s day "},{"days": "7"}]</v>
      </c>
      <c r="E38" t="s">
        <v>39</v>
      </c>
      <c r="F38" s="5" t="s">
        <v>40</v>
      </c>
      <c r="G38" t="s">
        <v>41</v>
      </c>
      <c r="I38" t="s">
        <v>42</v>
      </c>
      <c r="J38" t="s">
        <v>39</v>
      </c>
      <c r="K38" t="str">
        <f t="shared" si="2"/>
        <v>["Invoice", "Status"]</v>
      </c>
      <c r="L38" t="s">
        <v>43</v>
      </c>
      <c r="M38" t="s">
        <v>44</v>
      </c>
      <c r="N3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w.warehouseshortname='TOL') and requesttypeid=(select rt.requesttypeid from app.requesttype rt where rt.description='in-transit-rma-asn-7-days');</v>
      </c>
    </row>
    <row r="39" spans="1:15" x14ac:dyDescent="0.2">
      <c r="A39" s="4" t="s">
        <v>81</v>
      </c>
      <c r="B39" t="str">
        <f t="shared" si="4"/>
        <v>in-transit-rma-asn-7-days</v>
      </c>
      <c r="C39" t="s">
        <v>38</v>
      </c>
      <c r="D39" t="str">
        <f t="shared" si="1"/>
        <v>[{"sql": "select org_id, asn_id, asn_status, created_timestamp from default_receiving.RCV_ASN where org_id = %(orgName)s and asn_status = ''1000'' and canceled = ''0'' and asn_origin_type_id =''R'' and created_timestamp &lt;= now() - interval %(days)s day "},{"days": "7"}]</v>
      </c>
      <c r="E39" t="s">
        <v>39</v>
      </c>
      <c r="F39" s="5" t="s">
        <v>40</v>
      </c>
      <c r="G39" t="s">
        <v>41</v>
      </c>
      <c r="I39" t="s">
        <v>42</v>
      </c>
      <c r="J39" t="s">
        <v>39</v>
      </c>
      <c r="K39" t="str">
        <f t="shared" si="2"/>
        <v>["Invoice", "Status"]</v>
      </c>
      <c r="L39" t="s">
        <v>43</v>
      </c>
      <c r="M39" t="s">
        <v>44</v>
      </c>
      <c r="N3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w.warehouseshortname='WSD') and requesttypeid=(select rt.requesttypeid from app.requesttype rt where rt.description='in-transit-rma-asn-7-days');</v>
      </c>
    </row>
  </sheetData>
  <hyperlinks>
    <hyperlink ref="F2" r:id="rId1" xr:uid="{016707ED-4A8B-4A14-B7D6-83EA50F9FC8A}"/>
    <hyperlink ref="F3:F39" r:id="rId2" display="noreply@rndc-usa.com" xr:uid="{1260DFB3-8F55-44C8-918F-5D03CE2C507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B1A8-931C-4FF7-9256-08CB1ABCE7AC}">
  <sheetPr filterMode="1"/>
  <dimension ref="A1:Q44"/>
  <sheetViews>
    <sheetView workbookViewId="0">
      <pane ySplit="1" topLeftCell="A4" activePane="bottomLeft" state="frozen"/>
      <selection pane="bottomLeft" activeCell="O4" sqref="O4"/>
    </sheetView>
  </sheetViews>
  <sheetFormatPr baseColWidth="10" defaultColWidth="8.83203125" defaultRowHeight="15" x14ac:dyDescent="0.2"/>
  <cols>
    <col min="2" max="2" width="11" style="2" customWidth="1"/>
    <col min="3" max="3" width="7.5" customWidth="1"/>
    <col min="7" max="8" width="15.5" style="2" customWidth="1"/>
    <col min="9" max="9" width="9.1640625" style="2"/>
    <col min="10" max="10" width="26.33203125" style="2" customWidth="1"/>
    <col min="11" max="11" width="22.83203125" style="2" customWidth="1"/>
    <col min="13" max="13" width="15.33203125" style="9" customWidth="1"/>
    <col min="14" max="14" width="20.33203125" style="2" customWidth="1"/>
    <col min="15" max="15" width="28.6640625" style="2" customWidth="1"/>
    <col min="16" max="16" width="11.5" style="2" customWidth="1"/>
    <col min="17" max="17" width="44.6640625" style="2" customWidth="1"/>
  </cols>
  <sheetData>
    <row r="1" spans="1:17" ht="32" x14ac:dyDescent="0.2">
      <c r="A1" s="2" t="s">
        <v>23</v>
      </c>
      <c r="B1" s="2" t="s">
        <v>82</v>
      </c>
      <c r="C1" s="2" t="s">
        <v>83</v>
      </c>
      <c r="D1" s="2" t="s">
        <v>84</v>
      </c>
      <c r="E1" s="2" t="s">
        <v>85</v>
      </c>
      <c r="F1" s="2" t="s">
        <v>86</v>
      </c>
      <c r="G1" s="2" t="s">
        <v>87</v>
      </c>
      <c r="H1" s="2" t="s">
        <v>88</v>
      </c>
      <c r="I1" s="2" t="s">
        <v>89</v>
      </c>
      <c r="J1" s="2" t="s">
        <v>90</v>
      </c>
      <c r="K1" s="2" t="s">
        <v>91</v>
      </c>
      <c r="L1" s="2" t="s">
        <v>92</v>
      </c>
      <c r="M1" s="9" t="s">
        <v>93</v>
      </c>
      <c r="N1" s="2" t="s">
        <v>24</v>
      </c>
      <c r="O1" s="2" t="s">
        <v>35</v>
      </c>
      <c r="P1" s="2" t="s">
        <v>2</v>
      </c>
      <c r="Q1" s="2" t="s">
        <v>36</v>
      </c>
    </row>
    <row r="2" spans="1:17" ht="409.6" x14ac:dyDescent="0.2">
      <c r="A2" t="s">
        <v>37</v>
      </c>
      <c r="B2" s="3" t="s">
        <v>94</v>
      </c>
      <c r="C2" s="3" t="s">
        <v>95</v>
      </c>
      <c r="D2" s="6" t="s">
        <v>96</v>
      </c>
      <c r="E2" s="6" t="s">
        <v>97</v>
      </c>
      <c r="F2" s="6" t="s">
        <v>98</v>
      </c>
      <c r="G2" s="2" t="s">
        <v>99</v>
      </c>
      <c r="H2" s="2" t="s">
        <v>100</v>
      </c>
      <c r="I2" s="6" t="s">
        <v>101</v>
      </c>
      <c r="J2" s="6" t="s">
        <v>102</v>
      </c>
      <c r="N2" s="2" t="s">
        <v>103</v>
      </c>
      <c r="O2" s="2" t="str">
        <f>"{
    ""alertName"":""" &amp;B2&amp; """,
    ""dataSource"":""" &amp;C2&amp;""",
    ""database"":{
        ""connection"":""" &amp;D2&amp; """,
        ""type"":""" &amp;E2&amp; """,
        ""uri"":""" &amp;F2&amp; """
    },
    ""email"":{
        ""subject"":""" &amp;G2&amp; """,
        ""body"":""" &amp;H2&amp; """,
        ""fromEmail"":""" &amp;I2&amp; """,
        ""toEmail"":""" &amp;J2&amp; """,
        ""ccEmail"":""" &amp;K2&amp; """,
        ""footer"":""" &amp;L2&amp; """,
        ""attachment"":" &amp;M2&amp; "
    },
    ""sql"":""" &amp;N2&amp;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v>
      </c>
      <c r="P2" s="2" t="str">
        <f>newreqtype!D6</f>
        <v>db-alert-static-route-missing-threshold</v>
      </c>
      <c r="Q2" s="2" t="str">
        <f>"update app.warehouselocationdetail set payload = '" &amp; O2 &amp; "' where warehouseid = (select w.warehouseid from app.warehouselocation w where w.warehouseshortname='"&amp;A2&amp;"') and requesttypeid=(select rt.requesttypeid from app.requesttype rt where rt.description='"&amp;P2&amp;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 where warehouseid = (select w.warehouseid from app.warehouselocation w where w.warehouseshortname='ABQ') and requesttypeid=(select rt.requesttypeid from app.requesttype rt where rt.description='db-alert-static-route-missing-threshold');</v>
      </c>
    </row>
    <row r="3" spans="1:17" ht="409.6" hidden="1" x14ac:dyDescent="0.2">
      <c r="A3" t="s">
        <v>45</v>
      </c>
      <c r="B3" s="3" t="s">
        <v>94</v>
      </c>
      <c r="C3" s="3" t="s">
        <v>95</v>
      </c>
      <c r="D3" s="6" t="s">
        <v>96</v>
      </c>
      <c r="E3" s="6" t="s">
        <v>97</v>
      </c>
      <c r="F3" s="6" t="s">
        <v>98</v>
      </c>
      <c r="G3" s="2" t="s">
        <v>99</v>
      </c>
      <c r="H3" s="2" t="s">
        <v>100</v>
      </c>
      <c r="I3" s="6" t="s">
        <v>101</v>
      </c>
      <c r="J3" s="6" t="s">
        <v>102</v>
      </c>
      <c r="M3" s="9" t="s">
        <v>104</v>
      </c>
      <c r="N3" s="2" t="s">
        <v>103</v>
      </c>
      <c r="O3" s="2" t="str">
        <f t="shared" ref="O3:O44" si="0">"{
    ""alertName"":""" &amp;B3&amp; """,
    ""dataSource"":""" &amp;C3&amp;""",
    ""database"":{
        ""connection"":""" &amp;D3&amp; """,
        ""type"":""" &amp;E3&amp; """,
        ""uri"":""" &amp;F3&amp; """
    },
    ""email"":{
        ""subject"":""" &amp;G3&amp; """,
        ""body"":""" &amp;H3&amp; """,
        ""fromEmail"":""" &amp;I3&amp; """,
        ""toEmail"":""" &amp;J3&amp; """,
        ""ccEmail"":""" &amp;K3&amp; """,
        ""footer"":""" &amp;L3&amp; """,
        ""attachment"":" &amp;M3&amp; "
    },
    ""sql"":""" &amp;N3&amp;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 s="2" t="str">
        <f>newreqtype!D6</f>
        <v>db-alert-static-route-missing-threshold</v>
      </c>
      <c r="Q3" s="2" t="str">
        <f>"update app.warehouselocationdetail set payload = '" &amp; O3 &amp; "' where warehouseid = (select w.warehouseid from app.warehouselocation w where w.warehouseshortname='"&amp;A3&amp;"') and requesttypeid=(select rt.requesttypeid from app.requesttype rt where rt.description='"&amp;P3&amp;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w.warehouseshortname='ARK') and requesttypeid=(select rt.requesttypeid from app.requesttype rt where rt.description='db-alert-static-route-missing-threshold');</v>
      </c>
    </row>
    <row r="4" spans="1:17" ht="409.6" x14ac:dyDescent="0.2">
      <c r="A4" s="3" t="s">
        <v>46</v>
      </c>
      <c r="B4" s="3" t="s">
        <v>94</v>
      </c>
      <c r="C4" s="3" t="s">
        <v>95</v>
      </c>
      <c r="D4" s="6" t="s">
        <v>96</v>
      </c>
      <c r="E4" s="6" t="s">
        <v>97</v>
      </c>
      <c r="F4" s="6" t="s">
        <v>98</v>
      </c>
      <c r="G4" s="2" t="s">
        <v>99</v>
      </c>
      <c r="H4" s="2" t="s">
        <v>105</v>
      </c>
      <c r="I4" s="6" t="s">
        <v>101</v>
      </c>
      <c r="J4" s="6" t="s">
        <v>106</v>
      </c>
      <c r="K4" s="6" t="s">
        <v>107</v>
      </c>
      <c r="L4" s="2"/>
      <c r="M4" s="9" t="s">
        <v>104</v>
      </c>
      <c r="N4" s="2" t="s">
        <v>103</v>
      </c>
      <c r="O4" s="2"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 s="2" t="str">
        <f>newreqtype!D6</f>
        <v>db-alert-static-route-missing-threshold</v>
      </c>
      <c r="Q4" s="2" t="str">
        <f>"update app.warehouselocationdetail set payload = '" &amp; O4 &amp; "' where warehouseid = (select w.warehouseid from app.warehouselocation w where w.warehouseshortname='"&amp;A4&amp;"') and requesttypeid=(select rt.requesttypeid from app.requesttype rt where rt.description='"&amp;P4&amp;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w.warehouseshortname='ASH') and requesttypeid=(select rt.requesttypeid from app.requesttype rt where rt.description='db-alert-static-route-missing-threshold');</v>
      </c>
    </row>
    <row r="5" spans="1:17" ht="409.6" hidden="1" x14ac:dyDescent="0.2">
      <c r="A5" s="10" t="s">
        <v>47</v>
      </c>
      <c r="B5" s="3" t="s">
        <v>94</v>
      </c>
      <c r="C5" s="3" t="s">
        <v>95</v>
      </c>
      <c r="D5" s="6" t="s">
        <v>96</v>
      </c>
      <c r="E5" s="6" t="s">
        <v>97</v>
      </c>
      <c r="F5" s="6" t="s">
        <v>98</v>
      </c>
      <c r="G5" s="2" t="s">
        <v>99</v>
      </c>
      <c r="H5" s="2" t="s">
        <v>100</v>
      </c>
      <c r="I5" s="6" t="s">
        <v>101</v>
      </c>
      <c r="J5" s="6" t="s">
        <v>102</v>
      </c>
      <c r="M5" s="9" t="s">
        <v>104</v>
      </c>
      <c r="N5" s="2" t="s">
        <v>103</v>
      </c>
      <c r="O5"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5" s="2" t="str">
        <f>newreqtype!D6</f>
        <v>db-alert-static-route-missing-threshold</v>
      </c>
      <c r="Q5" s="2" t="str">
        <f t="shared" ref="Q5:Q44" si="1">"update app.warehouselocationdetail set payload = '" &amp; O5 &amp; "' where warehouseid = (select w.warehouseid from app.warehouselocation w where w.warehouseshortname='"&amp;A5&amp;"') and requesttypeid=(select rt.requesttypeid from app.requesttype rt where rt.description='"&amp;P5&amp;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w.warehouseshortname='ATL') and requesttypeid=(select rt.requesttypeid from app.requesttype rt where rt.description='db-alert-static-route-missing-threshold');</v>
      </c>
    </row>
    <row r="6" spans="1:17" ht="409.6" hidden="1" x14ac:dyDescent="0.2">
      <c r="A6" s="10" t="s">
        <v>48</v>
      </c>
      <c r="B6" s="3" t="s">
        <v>94</v>
      </c>
      <c r="C6" s="3" t="s">
        <v>95</v>
      </c>
      <c r="D6" s="6" t="s">
        <v>96</v>
      </c>
      <c r="E6" s="6" t="s">
        <v>97</v>
      </c>
      <c r="F6" s="6" t="s">
        <v>98</v>
      </c>
      <c r="G6" s="2" t="s">
        <v>99</v>
      </c>
      <c r="H6" s="2" t="s">
        <v>100</v>
      </c>
      <c r="I6" s="6" t="s">
        <v>101</v>
      </c>
      <c r="J6" s="6" t="s">
        <v>102</v>
      </c>
      <c r="M6" s="9" t="s">
        <v>104</v>
      </c>
      <c r="N6" s="2" t="s">
        <v>103</v>
      </c>
      <c r="O6"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6" s="2" t="str">
        <f>newreqtype!D6</f>
        <v>db-alert-static-route-missing-threshold</v>
      </c>
      <c r="Q6"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w.warehouseshortname='AUB') and requesttypeid=(select rt.requesttypeid from app.requesttype rt where rt.description='db-alert-static-route-missing-threshold');</v>
      </c>
    </row>
    <row r="7" spans="1:17" ht="409.6" hidden="1" x14ac:dyDescent="0.2">
      <c r="A7" s="10" t="s">
        <v>108</v>
      </c>
      <c r="B7" s="3" t="s">
        <v>94</v>
      </c>
      <c r="C7" s="3" t="s">
        <v>95</v>
      </c>
      <c r="D7" s="6" t="s">
        <v>96</v>
      </c>
      <c r="E7" s="6" t="s">
        <v>97</v>
      </c>
      <c r="F7" s="6" t="s">
        <v>98</v>
      </c>
      <c r="G7" s="2" t="s">
        <v>99</v>
      </c>
      <c r="H7" s="2" t="s">
        <v>100</v>
      </c>
      <c r="I7" s="6" t="s">
        <v>101</v>
      </c>
      <c r="J7" s="6" t="s">
        <v>102</v>
      </c>
      <c r="M7" s="9" t="s">
        <v>104</v>
      </c>
      <c r="N7" s="2" t="s">
        <v>103</v>
      </c>
      <c r="O7"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7" s="2" t="str">
        <f>newreqtype!D6</f>
        <v>db-alert-static-route-missing-threshold</v>
      </c>
      <c r="Q7"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w.warehouseshortname='AUT') and requesttypeid=(select rt.requesttypeid from app.requesttype rt where rt.description='db-alert-static-route-missing-threshold');</v>
      </c>
    </row>
    <row r="8" spans="1:17" ht="409.6" hidden="1" x14ac:dyDescent="0.2">
      <c r="A8" s="10" t="s">
        <v>49</v>
      </c>
      <c r="B8" s="3" t="s">
        <v>94</v>
      </c>
      <c r="C8" s="3" t="s">
        <v>95</v>
      </c>
      <c r="D8" s="6" t="s">
        <v>96</v>
      </c>
      <c r="E8" s="6" t="s">
        <v>97</v>
      </c>
      <c r="F8" s="6" t="s">
        <v>98</v>
      </c>
      <c r="G8" s="2" t="s">
        <v>99</v>
      </c>
      <c r="H8" s="2" t="s">
        <v>100</v>
      </c>
      <c r="I8" s="6" t="s">
        <v>101</v>
      </c>
      <c r="J8" s="6" t="s">
        <v>102</v>
      </c>
      <c r="M8" s="9" t="s">
        <v>104</v>
      </c>
      <c r="N8" s="2" t="s">
        <v>103</v>
      </c>
      <c r="O8"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8" s="2" t="str">
        <f>newreqtype!D6</f>
        <v>db-alert-static-route-missing-threshold</v>
      </c>
      <c r="Q8"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w.warehouseshortname='CCR') and requesttypeid=(select rt.requesttypeid from app.requesttype rt where rt.description='db-alert-static-route-missing-threshold');</v>
      </c>
    </row>
    <row r="9" spans="1:17" ht="409.6" hidden="1" x14ac:dyDescent="0.2">
      <c r="A9" s="10" t="s">
        <v>109</v>
      </c>
      <c r="B9" s="3" t="s">
        <v>94</v>
      </c>
      <c r="C9" s="3" t="s">
        <v>95</v>
      </c>
      <c r="D9" s="6" t="s">
        <v>96</v>
      </c>
      <c r="E9" s="6" t="s">
        <v>97</v>
      </c>
      <c r="F9" s="6" t="s">
        <v>98</v>
      </c>
      <c r="G9" s="2" t="s">
        <v>99</v>
      </c>
      <c r="H9" s="2" t="s">
        <v>100</v>
      </c>
      <c r="I9" s="6" t="s">
        <v>101</v>
      </c>
      <c r="J9" s="6" t="s">
        <v>102</v>
      </c>
      <c r="M9" s="9" t="s">
        <v>104</v>
      </c>
      <c r="N9" s="2" t="s">
        <v>103</v>
      </c>
      <c r="O9"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9" s="2" t="str">
        <f>newreqtype!D6</f>
        <v>db-alert-static-route-missing-threshold</v>
      </c>
      <c r="Q9"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w.warehouseshortname='CHI') and requesttypeid=(select rt.requesttypeid from app.requesttype rt where rt.description='db-alert-static-route-missing-threshold');</v>
      </c>
    </row>
    <row r="10" spans="1:17" ht="409.6" hidden="1" x14ac:dyDescent="0.2">
      <c r="A10" s="10" t="s">
        <v>50</v>
      </c>
      <c r="B10" s="3" t="s">
        <v>94</v>
      </c>
      <c r="C10" s="3" t="s">
        <v>95</v>
      </c>
      <c r="D10" s="6" t="s">
        <v>96</v>
      </c>
      <c r="E10" s="6" t="s">
        <v>97</v>
      </c>
      <c r="F10" s="6" t="s">
        <v>98</v>
      </c>
      <c r="G10" s="2" t="s">
        <v>99</v>
      </c>
      <c r="H10" s="2" t="s">
        <v>100</v>
      </c>
      <c r="I10" s="6" t="s">
        <v>101</v>
      </c>
      <c r="J10" s="6" t="s">
        <v>102</v>
      </c>
      <c r="M10" s="9" t="s">
        <v>104</v>
      </c>
      <c r="N10" s="2" t="s">
        <v>103</v>
      </c>
      <c r="O10"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0" s="2" t="str">
        <f>newreqtype!D6</f>
        <v>db-alert-static-route-missing-threshold</v>
      </c>
      <c r="Q10"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w.warehouseshortname='COL') and requesttypeid=(select rt.requesttypeid from app.requesttype rt where rt.description='db-alert-static-route-missing-threshold');</v>
      </c>
    </row>
    <row r="11" spans="1:17" ht="409.6" hidden="1" x14ac:dyDescent="0.2">
      <c r="A11" s="10" t="s">
        <v>51</v>
      </c>
      <c r="B11" s="3" t="s">
        <v>94</v>
      </c>
      <c r="C11" s="3" t="s">
        <v>95</v>
      </c>
      <c r="D11" s="6" t="s">
        <v>96</v>
      </c>
      <c r="E11" s="6" t="s">
        <v>97</v>
      </c>
      <c r="F11" s="6" t="s">
        <v>98</v>
      </c>
      <c r="G11" s="2" t="s">
        <v>99</v>
      </c>
      <c r="H11" s="2" t="s">
        <v>100</v>
      </c>
      <c r="I11" s="6" t="s">
        <v>101</v>
      </c>
      <c r="J11" s="6" t="s">
        <v>102</v>
      </c>
      <c r="M11" s="9" t="s">
        <v>104</v>
      </c>
      <c r="N11" s="2" t="s">
        <v>103</v>
      </c>
      <c r="O11"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1" s="2" t="str">
        <f>newreqtype!D6</f>
        <v>db-alert-static-route-missing-threshold</v>
      </c>
      <c r="Q11"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w.warehouseshortname='DEN') and requesttypeid=(select rt.requesttypeid from app.requesttype rt where rt.description='db-alert-static-route-missing-threshold');</v>
      </c>
    </row>
    <row r="12" spans="1:17" ht="409.6" hidden="1" x14ac:dyDescent="0.2">
      <c r="A12" s="10" t="s">
        <v>52</v>
      </c>
      <c r="B12" s="3" t="s">
        <v>94</v>
      </c>
      <c r="C12" s="3" t="s">
        <v>95</v>
      </c>
      <c r="D12" s="6" t="s">
        <v>96</v>
      </c>
      <c r="E12" s="6" t="s">
        <v>97</v>
      </c>
      <c r="F12" s="6" t="s">
        <v>98</v>
      </c>
      <c r="G12" s="2" t="s">
        <v>99</v>
      </c>
      <c r="H12" s="2" t="s">
        <v>100</v>
      </c>
      <c r="I12" s="6" t="s">
        <v>101</v>
      </c>
      <c r="J12" s="6" t="s">
        <v>102</v>
      </c>
      <c r="M12" s="9" t="s">
        <v>104</v>
      </c>
      <c r="N12" s="2" t="s">
        <v>103</v>
      </c>
      <c r="O12"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2" s="2" t="str">
        <f>newreqtype!D6</f>
        <v>db-alert-static-route-missing-threshold</v>
      </c>
      <c r="Q12"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w.warehouseshortname='DFB') and requesttypeid=(select rt.requesttypeid from app.requesttype rt where rt.description='db-alert-static-route-missing-threshold');</v>
      </c>
    </row>
    <row r="13" spans="1:17" ht="409.6" hidden="1" x14ac:dyDescent="0.2">
      <c r="A13" s="10" t="s">
        <v>53</v>
      </c>
      <c r="B13" s="3" t="s">
        <v>94</v>
      </c>
      <c r="C13" s="3" t="s">
        <v>95</v>
      </c>
      <c r="D13" s="6" t="s">
        <v>96</v>
      </c>
      <c r="E13" s="6" t="s">
        <v>97</v>
      </c>
      <c r="F13" s="6" t="s">
        <v>98</v>
      </c>
      <c r="G13" s="2" t="s">
        <v>99</v>
      </c>
      <c r="H13" s="2" t="s">
        <v>100</v>
      </c>
      <c r="I13" s="6" t="s">
        <v>101</v>
      </c>
      <c r="J13" s="6" t="s">
        <v>102</v>
      </c>
      <c r="M13" s="9" t="s">
        <v>104</v>
      </c>
      <c r="N13" s="2" t="s">
        <v>103</v>
      </c>
      <c r="O13"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3" s="2" t="str">
        <f>newreqtype!D6</f>
        <v>db-alert-static-route-missing-threshold</v>
      </c>
      <c r="Q13"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w.warehouseshortname='ELP') and requesttypeid=(select rt.requesttypeid from app.requesttype rt where rt.description='db-alert-static-route-missing-threshold');</v>
      </c>
    </row>
    <row r="14" spans="1:17" ht="409.6" hidden="1" x14ac:dyDescent="0.2">
      <c r="A14" s="10" t="s">
        <v>54</v>
      </c>
      <c r="B14" s="3" t="s">
        <v>94</v>
      </c>
      <c r="C14" s="3" t="s">
        <v>95</v>
      </c>
      <c r="D14" s="6" t="s">
        <v>96</v>
      </c>
      <c r="E14" s="6" t="s">
        <v>97</v>
      </c>
      <c r="F14" s="6" t="s">
        <v>98</v>
      </c>
      <c r="G14" s="2" t="s">
        <v>99</v>
      </c>
      <c r="H14" s="2" t="s">
        <v>100</v>
      </c>
      <c r="I14" s="6" t="s">
        <v>101</v>
      </c>
      <c r="J14" s="6" t="s">
        <v>102</v>
      </c>
      <c r="M14" s="9" t="s">
        <v>104</v>
      </c>
      <c r="N14" s="2" t="s">
        <v>103</v>
      </c>
      <c r="O14"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4" s="2" t="str">
        <f>newreqtype!D6</f>
        <v>db-alert-static-route-missing-threshold</v>
      </c>
      <c r="Q14"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w.warehouseshortname='FAR') and requesttypeid=(select rt.requesttypeid from app.requesttype rt where rt.description='db-alert-static-route-missing-threshold');</v>
      </c>
    </row>
    <row r="15" spans="1:17" ht="409.6" hidden="1" x14ac:dyDescent="0.2">
      <c r="A15" s="10" t="s">
        <v>55</v>
      </c>
      <c r="B15" s="3" t="s">
        <v>94</v>
      </c>
      <c r="C15" s="3" t="s">
        <v>95</v>
      </c>
      <c r="D15" s="6" t="s">
        <v>96</v>
      </c>
      <c r="E15" s="6" t="s">
        <v>97</v>
      </c>
      <c r="F15" s="6" t="s">
        <v>98</v>
      </c>
      <c r="G15" s="2" t="s">
        <v>99</v>
      </c>
      <c r="H15" s="2" t="s">
        <v>100</v>
      </c>
      <c r="I15" s="6" t="s">
        <v>101</v>
      </c>
      <c r="J15" s="6" t="s">
        <v>102</v>
      </c>
      <c r="M15" s="9" t="s">
        <v>104</v>
      </c>
      <c r="N15" s="2" t="s">
        <v>103</v>
      </c>
      <c r="O15"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5" s="2" t="str">
        <f>newreqtype!D6</f>
        <v>db-alert-static-route-missing-threshold</v>
      </c>
      <c r="Q15"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w.warehouseshortname='GRP') and requesttypeid=(select rt.requesttypeid from app.requesttype rt where rt.description='db-alert-static-route-missing-threshold');</v>
      </c>
    </row>
    <row r="16" spans="1:17" ht="409.6" hidden="1" x14ac:dyDescent="0.2">
      <c r="A16" s="10" t="s">
        <v>56</v>
      </c>
      <c r="B16" s="3" t="s">
        <v>94</v>
      </c>
      <c r="C16" s="3" t="s">
        <v>95</v>
      </c>
      <c r="D16" s="6" t="s">
        <v>96</v>
      </c>
      <c r="E16" s="6" t="s">
        <v>97</v>
      </c>
      <c r="F16" s="6" t="s">
        <v>98</v>
      </c>
      <c r="G16" s="2" t="s">
        <v>99</v>
      </c>
      <c r="H16" s="2" t="s">
        <v>100</v>
      </c>
      <c r="I16" s="6" t="s">
        <v>101</v>
      </c>
      <c r="J16" s="6" t="s">
        <v>102</v>
      </c>
      <c r="M16" s="9" t="s">
        <v>104</v>
      </c>
      <c r="N16" s="2" t="s">
        <v>103</v>
      </c>
      <c r="O16"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6" s="2" t="str">
        <f>newreqtype!D6</f>
        <v>db-alert-static-route-missing-threshold</v>
      </c>
      <c r="Q16"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w.warehouseshortname='HAW') and requesttypeid=(select rt.requesttypeid from app.requesttype rt where rt.description='db-alert-static-route-missing-threshold');</v>
      </c>
    </row>
    <row r="17" spans="1:17" ht="409.6" hidden="1" x14ac:dyDescent="0.2">
      <c r="A17" s="10" t="s">
        <v>57</v>
      </c>
      <c r="B17" s="3" t="s">
        <v>94</v>
      </c>
      <c r="C17" s="3" t="s">
        <v>95</v>
      </c>
      <c r="D17" s="6" t="s">
        <v>96</v>
      </c>
      <c r="E17" s="6" t="s">
        <v>97</v>
      </c>
      <c r="F17" s="6" t="s">
        <v>98</v>
      </c>
      <c r="G17" s="2" t="s">
        <v>99</v>
      </c>
      <c r="H17" s="2" t="s">
        <v>100</v>
      </c>
      <c r="I17" s="6" t="s">
        <v>101</v>
      </c>
      <c r="J17" s="6" t="s">
        <v>102</v>
      </c>
      <c r="M17" s="9" t="s">
        <v>104</v>
      </c>
      <c r="N17" s="2" t="s">
        <v>103</v>
      </c>
      <c r="O17"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7" s="2" t="str">
        <f>newreqtype!D6</f>
        <v>db-alert-static-route-missing-threshold</v>
      </c>
      <c r="Q17"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w.warehouseshortname='HOU') and requesttypeid=(select rt.requesttypeid from app.requesttype rt where rt.description='db-alert-static-route-missing-threshold');</v>
      </c>
    </row>
    <row r="18" spans="1:17" ht="409.6" hidden="1" x14ac:dyDescent="0.2">
      <c r="A18" s="10" t="s">
        <v>58</v>
      </c>
      <c r="B18" s="3" t="s">
        <v>94</v>
      </c>
      <c r="C18" s="3" t="s">
        <v>95</v>
      </c>
      <c r="D18" s="6" t="s">
        <v>96</v>
      </c>
      <c r="E18" s="6" t="s">
        <v>97</v>
      </c>
      <c r="F18" s="6" t="s">
        <v>98</v>
      </c>
      <c r="G18" s="2" t="s">
        <v>99</v>
      </c>
      <c r="H18" s="2" t="s">
        <v>100</v>
      </c>
      <c r="I18" s="6" t="s">
        <v>101</v>
      </c>
      <c r="J18" s="6" t="s">
        <v>102</v>
      </c>
      <c r="M18" s="9" t="s">
        <v>104</v>
      </c>
      <c r="N18" s="2" t="s">
        <v>103</v>
      </c>
      <c r="O18"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8" s="2" t="str">
        <f>newreqtype!D6</f>
        <v>db-alert-static-route-missing-threshold</v>
      </c>
      <c r="Q18"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w.warehouseshortname='IND') and requesttypeid=(select rt.requesttypeid from app.requesttype rt where rt.description='db-alert-static-route-missing-threshold');</v>
      </c>
    </row>
    <row r="19" spans="1:17" ht="409.6" hidden="1" x14ac:dyDescent="0.2">
      <c r="A19" s="10" t="s">
        <v>59</v>
      </c>
      <c r="B19" s="3" t="s">
        <v>94</v>
      </c>
      <c r="C19" s="3" t="s">
        <v>95</v>
      </c>
      <c r="D19" s="6" t="s">
        <v>96</v>
      </c>
      <c r="E19" s="6" t="s">
        <v>97</v>
      </c>
      <c r="F19" s="6" t="s">
        <v>98</v>
      </c>
      <c r="G19" s="2" t="s">
        <v>99</v>
      </c>
      <c r="H19" s="2" t="s">
        <v>100</v>
      </c>
      <c r="I19" s="6" t="s">
        <v>101</v>
      </c>
      <c r="J19" s="6" t="s">
        <v>102</v>
      </c>
      <c r="M19" s="9" t="s">
        <v>104</v>
      </c>
      <c r="N19" s="2" t="s">
        <v>103</v>
      </c>
      <c r="O19"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9" s="2" t="str">
        <f>newreqtype!D6</f>
        <v>db-alert-static-route-missing-threshold</v>
      </c>
      <c r="Q19"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w.warehouseshortname='JAC') and requesttypeid=(select rt.requesttypeid from app.requesttype rt where rt.description='db-alert-static-route-missing-threshold');</v>
      </c>
    </row>
    <row r="20" spans="1:17" ht="409.6" hidden="1" x14ac:dyDescent="0.2">
      <c r="A20" s="10" t="s">
        <v>60</v>
      </c>
      <c r="B20" s="3" t="s">
        <v>94</v>
      </c>
      <c r="C20" s="3" t="s">
        <v>95</v>
      </c>
      <c r="D20" s="6" t="s">
        <v>96</v>
      </c>
      <c r="E20" s="6" t="s">
        <v>97</v>
      </c>
      <c r="F20" s="6" t="s">
        <v>98</v>
      </c>
      <c r="G20" s="2" t="s">
        <v>99</v>
      </c>
      <c r="H20" s="2" t="s">
        <v>100</v>
      </c>
      <c r="I20" s="6" t="s">
        <v>101</v>
      </c>
      <c r="J20" s="6" t="s">
        <v>102</v>
      </c>
      <c r="M20" s="9" t="s">
        <v>104</v>
      </c>
      <c r="N20" s="2" t="s">
        <v>103</v>
      </c>
      <c r="O20"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0" s="2" t="str">
        <f>newreqtype!D6</f>
        <v>db-alert-static-route-missing-threshold</v>
      </c>
      <c r="Q20"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w.warehouseshortname='JES') and requesttypeid=(select rt.requesttypeid from app.requesttype rt where rt.description='db-alert-static-route-missing-threshold');</v>
      </c>
    </row>
    <row r="21" spans="1:17" ht="409.6" hidden="1" x14ac:dyDescent="0.2">
      <c r="A21" s="10" t="s">
        <v>61</v>
      </c>
      <c r="B21" s="3" t="s">
        <v>94</v>
      </c>
      <c r="C21" s="3" t="s">
        <v>95</v>
      </c>
      <c r="D21" s="6" t="s">
        <v>96</v>
      </c>
      <c r="E21" s="6" t="s">
        <v>97</v>
      </c>
      <c r="F21" s="6" t="s">
        <v>98</v>
      </c>
      <c r="G21" s="2" t="s">
        <v>99</v>
      </c>
      <c r="H21" s="2" t="s">
        <v>100</v>
      </c>
      <c r="I21" s="6" t="s">
        <v>101</v>
      </c>
      <c r="J21" s="6" t="s">
        <v>102</v>
      </c>
      <c r="M21" s="9" t="s">
        <v>104</v>
      </c>
      <c r="N21" s="2" t="s">
        <v>103</v>
      </c>
      <c r="O21"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1" s="2" t="str">
        <f>newreqtype!D6</f>
        <v>db-alert-static-route-missing-threshold</v>
      </c>
      <c r="Q21"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w.warehouseshortname='KAP') and requesttypeid=(select rt.requesttypeid from app.requesttype rt where rt.description='db-alert-static-route-missing-threshold');</v>
      </c>
    </row>
    <row r="22" spans="1:17" ht="409.6" hidden="1" x14ac:dyDescent="0.2">
      <c r="A22" s="10" t="s">
        <v>62</v>
      </c>
      <c r="B22" s="3" t="s">
        <v>94</v>
      </c>
      <c r="C22" s="3" t="s">
        <v>95</v>
      </c>
      <c r="D22" s="6" t="s">
        <v>96</v>
      </c>
      <c r="E22" s="6" t="s">
        <v>97</v>
      </c>
      <c r="F22" s="6" t="s">
        <v>98</v>
      </c>
      <c r="G22" s="2" t="s">
        <v>99</v>
      </c>
      <c r="H22" s="2" t="s">
        <v>100</v>
      </c>
      <c r="I22" s="6" t="s">
        <v>101</v>
      </c>
      <c r="J22" s="6" t="s">
        <v>102</v>
      </c>
      <c r="M22" s="9" t="s">
        <v>104</v>
      </c>
      <c r="N22" s="2" t="s">
        <v>103</v>
      </c>
      <c r="O22"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2" s="2" t="str">
        <f>newreqtype!D6</f>
        <v>db-alert-static-route-missing-threshold</v>
      </c>
      <c r="Q22"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w.warehouseshortname='KAU') and requesttypeid=(select rt.requesttypeid from app.requesttype rt where rt.description='db-alert-static-route-missing-threshold');</v>
      </c>
    </row>
    <row r="23" spans="1:17" ht="409.6" hidden="1" x14ac:dyDescent="0.2">
      <c r="A23" s="10" t="s">
        <v>63</v>
      </c>
      <c r="B23" s="3" t="s">
        <v>94</v>
      </c>
      <c r="C23" s="3" t="s">
        <v>95</v>
      </c>
      <c r="D23" s="6" t="s">
        <v>96</v>
      </c>
      <c r="E23" s="6" t="s">
        <v>97</v>
      </c>
      <c r="F23" s="6" t="s">
        <v>98</v>
      </c>
      <c r="G23" s="2" t="s">
        <v>99</v>
      </c>
      <c r="H23" s="2" t="s">
        <v>100</v>
      </c>
      <c r="I23" s="6" t="s">
        <v>101</v>
      </c>
      <c r="J23" s="6" t="s">
        <v>102</v>
      </c>
      <c r="M23" s="9" t="s">
        <v>104</v>
      </c>
      <c r="N23" s="2" t="s">
        <v>103</v>
      </c>
      <c r="O23"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3" s="2" t="str">
        <f>newreqtype!D6</f>
        <v>db-alert-static-route-missing-threshold</v>
      </c>
      <c r="Q23"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w.warehouseshortname='LAF') and requesttypeid=(select rt.requesttypeid from app.requesttype rt where rt.description='db-alert-static-route-missing-threshold');</v>
      </c>
    </row>
    <row r="24" spans="1:17" ht="409.6" hidden="1" x14ac:dyDescent="0.2">
      <c r="A24" s="10" t="s">
        <v>64</v>
      </c>
      <c r="B24" s="3" t="s">
        <v>94</v>
      </c>
      <c r="C24" s="3" t="s">
        <v>95</v>
      </c>
      <c r="D24" s="6" t="s">
        <v>96</v>
      </c>
      <c r="E24" s="6" t="s">
        <v>97</v>
      </c>
      <c r="F24" s="6" t="s">
        <v>98</v>
      </c>
      <c r="G24" s="2" t="s">
        <v>99</v>
      </c>
      <c r="H24" s="2" t="s">
        <v>100</v>
      </c>
      <c r="I24" s="6" t="s">
        <v>101</v>
      </c>
      <c r="J24" s="6" t="s">
        <v>102</v>
      </c>
      <c r="M24" s="9" t="s">
        <v>104</v>
      </c>
      <c r="N24" s="2" t="s">
        <v>103</v>
      </c>
      <c r="O24"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4" s="2" t="str">
        <f>newreqtype!D6</f>
        <v>db-alert-static-route-missing-threshold</v>
      </c>
      <c r="Q24"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w.warehouseshortname='LIV') and requesttypeid=(select rt.requesttypeid from app.requesttype rt where rt.description='db-alert-static-route-missing-threshold');</v>
      </c>
    </row>
    <row r="25" spans="1:17" ht="409.6" hidden="1" x14ac:dyDescent="0.2">
      <c r="A25" s="10" t="s">
        <v>65</v>
      </c>
      <c r="B25" s="3" t="s">
        <v>94</v>
      </c>
      <c r="C25" s="3" t="s">
        <v>95</v>
      </c>
      <c r="D25" s="6" t="s">
        <v>96</v>
      </c>
      <c r="E25" s="6" t="s">
        <v>97</v>
      </c>
      <c r="F25" s="6" t="s">
        <v>98</v>
      </c>
      <c r="G25" s="2" t="s">
        <v>99</v>
      </c>
      <c r="H25" s="2" t="s">
        <v>100</v>
      </c>
      <c r="I25" s="6" t="s">
        <v>101</v>
      </c>
      <c r="J25" s="6" t="s">
        <v>102</v>
      </c>
      <c r="M25" s="9" t="s">
        <v>104</v>
      </c>
      <c r="N25" s="2" t="s">
        <v>103</v>
      </c>
      <c r="O25"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5" s="2" t="str">
        <f>newreqtype!D6</f>
        <v>db-alert-static-route-missing-threshold</v>
      </c>
      <c r="Q25"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w.warehouseshortname='LOU') and requesttypeid=(select rt.requesttypeid from app.requesttype rt where rt.description='db-alert-static-route-missing-threshold');</v>
      </c>
    </row>
    <row r="26" spans="1:17" ht="409.6" hidden="1" x14ac:dyDescent="0.2">
      <c r="A26" s="10" t="s">
        <v>66</v>
      </c>
      <c r="B26" s="3" t="s">
        <v>94</v>
      </c>
      <c r="C26" s="3" t="s">
        <v>95</v>
      </c>
      <c r="D26" s="6" t="s">
        <v>96</v>
      </c>
      <c r="E26" s="6" t="s">
        <v>97</v>
      </c>
      <c r="F26" s="6" t="s">
        <v>98</v>
      </c>
      <c r="G26" s="2" t="s">
        <v>99</v>
      </c>
      <c r="H26" s="2" t="s">
        <v>100</v>
      </c>
      <c r="I26" s="6" t="s">
        <v>101</v>
      </c>
      <c r="J26" s="6" t="s">
        <v>102</v>
      </c>
      <c r="M26" s="9" t="s">
        <v>104</v>
      </c>
      <c r="N26" s="2" t="s">
        <v>103</v>
      </c>
      <c r="O26"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6" s="2" t="str">
        <f>newreqtype!D6</f>
        <v>db-alert-static-route-missing-threshold</v>
      </c>
      <c r="Q26"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w.warehouseshortname='LUB') and requesttypeid=(select rt.requesttypeid from app.requesttype rt where rt.description='db-alert-static-route-missing-threshold');</v>
      </c>
    </row>
    <row r="27" spans="1:17" ht="409.6" hidden="1" x14ac:dyDescent="0.2">
      <c r="A27" s="10" t="s">
        <v>67</v>
      </c>
      <c r="B27" s="3" t="s">
        <v>94</v>
      </c>
      <c r="C27" s="3" t="s">
        <v>95</v>
      </c>
      <c r="D27" s="6" t="s">
        <v>96</v>
      </c>
      <c r="E27" s="6" t="s">
        <v>97</v>
      </c>
      <c r="F27" s="6" t="s">
        <v>98</v>
      </c>
      <c r="G27" s="2" t="s">
        <v>99</v>
      </c>
      <c r="H27" s="2" t="s">
        <v>100</v>
      </c>
      <c r="I27" s="6" t="s">
        <v>101</v>
      </c>
      <c r="J27" s="6" t="s">
        <v>102</v>
      </c>
      <c r="M27" s="9" t="s">
        <v>104</v>
      </c>
      <c r="N27" s="2" t="s">
        <v>103</v>
      </c>
      <c r="O27"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7" s="2" t="str">
        <f>newreqtype!D6</f>
        <v>db-alert-static-route-missing-threshold</v>
      </c>
      <c r="Q27"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w.warehouseshortname='MAU') and requesttypeid=(select rt.requesttypeid from app.requesttype rt where rt.description='db-alert-static-route-missing-threshold');</v>
      </c>
    </row>
    <row r="28" spans="1:17" ht="409.6" hidden="1" x14ac:dyDescent="0.2">
      <c r="A28" s="10" t="s">
        <v>68</v>
      </c>
      <c r="B28" s="3" t="s">
        <v>94</v>
      </c>
      <c r="C28" s="3" t="s">
        <v>95</v>
      </c>
      <c r="D28" s="6" t="s">
        <v>96</v>
      </c>
      <c r="E28" s="6" t="s">
        <v>97</v>
      </c>
      <c r="F28" s="6" t="s">
        <v>98</v>
      </c>
      <c r="G28" s="2" t="s">
        <v>99</v>
      </c>
      <c r="H28" s="2" t="s">
        <v>100</v>
      </c>
      <c r="I28" s="6" t="s">
        <v>101</v>
      </c>
      <c r="J28" s="6" t="s">
        <v>102</v>
      </c>
      <c r="M28" s="9" t="s">
        <v>104</v>
      </c>
      <c r="N28" s="2" t="s">
        <v>103</v>
      </c>
      <c r="O28"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8" s="2" t="str">
        <f>newreqtype!D6</f>
        <v>db-alert-static-route-missing-threshold</v>
      </c>
      <c r="Q28"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w.warehouseshortname='NEW') and requesttypeid=(select rt.requesttypeid from app.requesttype rt where rt.description='db-alert-static-route-missing-threshold');</v>
      </c>
    </row>
    <row r="29" spans="1:17" ht="409.6" hidden="1" x14ac:dyDescent="0.2">
      <c r="A29" s="10" t="s">
        <v>69</v>
      </c>
      <c r="B29" s="3" t="s">
        <v>94</v>
      </c>
      <c r="C29" s="3" t="s">
        <v>95</v>
      </c>
      <c r="D29" s="6" t="s">
        <v>96</v>
      </c>
      <c r="E29" s="6" t="s">
        <v>97</v>
      </c>
      <c r="F29" s="6" t="s">
        <v>98</v>
      </c>
      <c r="G29" s="2" t="s">
        <v>99</v>
      </c>
      <c r="H29" s="2" t="s">
        <v>100</v>
      </c>
      <c r="I29" s="6" t="s">
        <v>101</v>
      </c>
      <c r="J29" s="6" t="s">
        <v>102</v>
      </c>
      <c r="M29" s="9" t="s">
        <v>104</v>
      </c>
      <c r="N29" s="2" t="s">
        <v>103</v>
      </c>
      <c r="O29"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9" s="2" t="str">
        <f>newreqtype!D6</f>
        <v>db-alert-static-route-missing-threshold</v>
      </c>
      <c r="Q29"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w.warehouseshortname='OAH') and requesttypeid=(select rt.requesttypeid from app.requesttype rt where rt.description='db-alert-static-route-missing-threshold');</v>
      </c>
    </row>
    <row r="30" spans="1:17" ht="409.6" hidden="1" x14ac:dyDescent="0.2">
      <c r="A30" s="10" t="s">
        <v>70</v>
      </c>
      <c r="B30" s="3" t="s">
        <v>94</v>
      </c>
      <c r="C30" s="3" t="s">
        <v>95</v>
      </c>
      <c r="D30" s="6" t="s">
        <v>96</v>
      </c>
      <c r="E30" s="6" t="s">
        <v>97</v>
      </c>
      <c r="F30" s="6" t="s">
        <v>98</v>
      </c>
      <c r="G30" s="2" t="s">
        <v>99</v>
      </c>
      <c r="H30" s="2" t="s">
        <v>100</v>
      </c>
      <c r="I30" s="6" t="s">
        <v>101</v>
      </c>
      <c r="J30" s="6" t="s">
        <v>102</v>
      </c>
      <c r="M30" s="9" t="s">
        <v>104</v>
      </c>
      <c r="N30" s="2" t="s">
        <v>103</v>
      </c>
      <c r="O30"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0" s="2" t="str">
        <f>newreqtype!D6</f>
        <v>db-alert-static-route-missing-threshold</v>
      </c>
      <c r="Q30"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w.warehouseshortname='OKL') and requesttypeid=(select rt.requesttypeid from app.requesttype rt where rt.description='db-alert-static-route-missing-threshold');</v>
      </c>
    </row>
    <row r="31" spans="1:17" ht="409.6" hidden="1" x14ac:dyDescent="0.2">
      <c r="A31" s="10" t="s">
        <v>71</v>
      </c>
      <c r="B31" s="3" t="s">
        <v>94</v>
      </c>
      <c r="C31" s="3" t="s">
        <v>95</v>
      </c>
      <c r="D31" s="6" t="s">
        <v>96</v>
      </c>
      <c r="E31" s="6" t="s">
        <v>97</v>
      </c>
      <c r="F31" s="6" t="s">
        <v>98</v>
      </c>
      <c r="G31" s="2" t="s">
        <v>99</v>
      </c>
      <c r="H31" s="2" t="s">
        <v>100</v>
      </c>
      <c r="I31" s="6" t="s">
        <v>101</v>
      </c>
      <c r="J31" s="6" t="s">
        <v>102</v>
      </c>
      <c r="M31" s="9" t="s">
        <v>104</v>
      </c>
      <c r="N31" s="2" t="s">
        <v>103</v>
      </c>
      <c r="O31"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1" s="2" t="str">
        <f>newreqtype!D6</f>
        <v>db-alert-static-route-missing-threshold</v>
      </c>
      <c r="Q31"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w.warehouseshortname='OMA') and requesttypeid=(select rt.requesttypeid from app.requesttype rt where rt.description='db-alert-static-route-missing-threshold');</v>
      </c>
    </row>
    <row r="32" spans="1:17" ht="409.6" hidden="1" x14ac:dyDescent="0.2">
      <c r="A32" s="10" t="s">
        <v>72</v>
      </c>
      <c r="B32" s="3" t="s">
        <v>94</v>
      </c>
      <c r="C32" s="3" t="s">
        <v>95</v>
      </c>
      <c r="D32" s="6" t="s">
        <v>96</v>
      </c>
      <c r="E32" s="6" t="s">
        <v>97</v>
      </c>
      <c r="F32" s="6" t="s">
        <v>98</v>
      </c>
      <c r="G32" s="2" t="s">
        <v>99</v>
      </c>
      <c r="H32" s="2" t="s">
        <v>100</v>
      </c>
      <c r="I32" s="6" t="s">
        <v>101</v>
      </c>
      <c r="J32" s="6" t="s">
        <v>102</v>
      </c>
      <c r="M32" s="9" t="s">
        <v>104</v>
      </c>
      <c r="N32" s="2" t="s">
        <v>103</v>
      </c>
      <c r="O32"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2" s="2" t="str">
        <f>newreqtype!D6</f>
        <v>db-alert-static-route-missing-threshold</v>
      </c>
      <c r="Q32"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w.warehouseshortname='ORL') and requesttypeid=(select rt.requesttypeid from app.requesttype rt where rt.description='db-alert-static-route-missing-threshold');</v>
      </c>
    </row>
    <row r="33" spans="1:17" ht="409.6" x14ac:dyDescent="0.2">
      <c r="A33" s="10" t="s">
        <v>73</v>
      </c>
      <c r="B33" s="3" t="s">
        <v>94</v>
      </c>
      <c r="C33" s="3" t="s">
        <v>95</v>
      </c>
      <c r="D33" s="6" t="s">
        <v>96</v>
      </c>
      <c r="E33" s="6" t="s">
        <v>97</v>
      </c>
      <c r="F33" s="6" t="s">
        <v>98</v>
      </c>
      <c r="G33" s="2" t="s">
        <v>99</v>
      </c>
      <c r="H33" s="2" t="s">
        <v>100</v>
      </c>
      <c r="I33" s="6" t="s">
        <v>101</v>
      </c>
      <c r="J33" s="6" t="s">
        <v>110</v>
      </c>
      <c r="K33" s="6" t="s">
        <v>107</v>
      </c>
      <c r="M33" s="9" t="s">
        <v>104</v>
      </c>
      <c r="N33" s="2" t="s">
        <v>103</v>
      </c>
      <c r="O33"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3" s="2" t="str">
        <f>newreqtype!D6</f>
        <v>db-alert-static-route-missing-threshold</v>
      </c>
      <c r="Q33" s="2" t="str">
        <f>"update app.warehouselocationdetail set payload = '" &amp; O33 &amp; "' where warehouseid = (select w.warehouseid from app.warehouselocation w where w.warehouseshortname='"&amp;A33&amp;"') and requesttypeid=(select rt.requesttypeid from app.requesttype rt where rt.description='"&amp;P33&amp;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w.warehouseshortname='PEN') and requesttypeid=(select rt.requesttypeid from app.requesttype rt where rt.description='db-alert-static-route-missing-threshold');</v>
      </c>
    </row>
    <row r="34" spans="1:17" ht="409.6" hidden="1" x14ac:dyDescent="0.2">
      <c r="A34" s="10" t="s">
        <v>74</v>
      </c>
      <c r="B34" s="3" t="s">
        <v>94</v>
      </c>
      <c r="C34" s="3" t="s">
        <v>95</v>
      </c>
      <c r="D34" s="6" t="s">
        <v>96</v>
      </c>
      <c r="E34" s="6" t="s">
        <v>97</v>
      </c>
      <c r="F34" s="6" t="s">
        <v>98</v>
      </c>
      <c r="G34" s="2" t="s">
        <v>99</v>
      </c>
      <c r="H34" s="2" t="s">
        <v>100</v>
      </c>
      <c r="I34" s="6" t="s">
        <v>101</v>
      </c>
      <c r="J34" s="6" t="s">
        <v>102</v>
      </c>
      <c r="M34" s="9" t="s">
        <v>104</v>
      </c>
      <c r="N34" s="2" t="s">
        <v>103</v>
      </c>
      <c r="O34"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4" s="2" t="str">
        <f>newreqtype!D6</f>
        <v>db-alert-static-route-missing-threshold</v>
      </c>
      <c r="Q34"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w.warehouseshortname='PHO') and requesttypeid=(select rt.requesttypeid from app.requesttype rt where rt.description='db-alert-static-route-missing-threshold');</v>
      </c>
    </row>
    <row r="35" spans="1:17" ht="409.6" x14ac:dyDescent="0.2">
      <c r="A35" s="10" t="s">
        <v>75</v>
      </c>
      <c r="B35" s="3" t="s">
        <v>94</v>
      </c>
      <c r="C35" s="3" t="s">
        <v>95</v>
      </c>
      <c r="D35" s="6" t="s">
        <v>96</v>
      </c>
      <c r="E35" s="6" t="s">
        <v>97</v>
      </c>
      <c r="F35" s="6" t="s">
        <v>98</v>
      </c>
      <c r="G35" s="2" t="s">
        <v>99</v>
      </c>
      <c r="H35" s="2" t="s">
        <v>105</v>
      </c>
      <c r="I35" s="6" t="s">
        <v>101</v>
      </c>
      <c r="J35" s="6" t="s">
        <v>102</v>
      </c>
      <c r="M35" s="9" t="s">
        <v>104</v>
      </c>
      <c r="N35" s="2" t="s">
        <v>103</v>
      </c>
      <c r="O35" s="2"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5" s="2" t="str">
        <f>newreqtype!D6</f>
        <v>db-alert-static-route-missing-threshold</v>
      </c>
      <c r="Q35"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w.warehouseshortname='POR') and requesttypeid=(select rt.requesttypeid from app.requesttype rt where rt.description='db-alert-static-route-missing-threshold');</v>
      </c>
    </row>
    <row r="36" spans="1:17" ht="409.6" hidden="1" x14ac:dyDescent="0.2">
      <c r="A36" s="10" t="s">
        <v>111</v>
      </c>
      <c r="B36" s="3" t="s">
        <v>94</v>
      </c>
      <c r="C36" s="3" t="s">
        <v>95</v>
      </c>
      <c r="D36" s="6" t="s">
        <v>96</v>
      </c>
      <c r="E36" s="6" t="s">
        <v>97</v>
      </c>
      <c r="F36" s="6" t="s">
        <v>98</v>
      </c>
      <c r="G36" s="2" t="s">
        <v>99</v>
      </c>
      <c r="H36" s="2" t="s">
        <v>100</v>
      </c>
      <c r="I36" s="6" t="s">
        <v>101</v>
      </c>
      <c r="J36" s="6" t="s">
        <v>102</v>
      </c>
      <c r="M36" s="9" t="s">
        <v>104</v>
      </c>
      <c r="N36" s="2" t="s">
        <v>103</v>
      </c>
      <c r="O36"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6" s="2" t="str">
        <f>newreqtype!D6</f>
        <v>db-alert-static-route-missing-threshold</v>
      </c>
      <c r="Q36"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w.warehouseshortname='RNDC') and requesttypeid=(select rt.requesttypeid from app.requesttype rt where rt.description='db-alert-static-route-missing-threshold');</v>
      </c>
    </row>
    <row r="37" spans="1:17" ht="409.6" hidden="1" x14ac:dyDescent="0.2">
      <c r="A37" s="10" t="s">
        <v>76</v>
      </c>
      <c r="B37" s="3" t="s">
        <v>94</v>
      </c>
      <c r="C37" s="3" t="s">
        <v>95</v>
      </c>
      <c r="D37" s="6" t="s">
        <v>96</v>
      </c>
      <c r="E37" s="6" t="s">
        <v>97</v>
      </c>
      <c r="F37" s="6" t="s">
        <v>98</v>
      </c>
      <c r="G37" s="2" t="s">
        <v>99</v>
      </c>
      <c r="H37" s="2" t="s">
        <v>100</v>
      </c>
      <c r="I37" s="6" t="s">
        <v>101</v>
      </c>
      <c r="J37" s="6" t="s">
        <v>102</v>
      </c>
      <c r="M37" s="9" t="s">
        <v>104</v>
      </c>
      <c r="N37" s="2" t="s">
        <v>103</v>
      </c>
      <c r="O37"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7" s="2" t="str">
        <f>newreqtype!D6</f>
        <v>db-alert-static-route-missing-threshold</v>
      </c>
      <c r="Q37"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w.warehouseshortname='ROM') and requesttypeid=(select rt.requesttypeid from app.requesttype rt where rt.description='db-alert-static-route-missing-threshold');</v>
      </c>
    </row>
    <row r="38" spans="1:17" ht="409.6" hidden="1" x14ac:dyDescent="0.2">
      <c r="A38" s="10" t="s">
        <v>112</v>
      </c>
      <c r="B38" s="3" t="s">
        <v>94</v>
      </c>
      <c r="C38" s="3" t="s">
        <v>95</v>
      </c>
      <c r="D38" s="6" t="s">
        <v>96</v>
      </c>
      <c r="E38" s="6" t="s">
        <v>97</v>
      </c>
      <c r="F38" s="6" t="s">
        <v>98</v>
      </c>
      <c r="G38" s="2" t="s">
        <v>99</v>
      </c>
      <c r="H38" s="2" t="s">
        <v>100</v>
      </c>
      <c r="I38" s="6" t="s">
        <v>101</v>
      </c>
      <c r="J38" s="6" t="s">
        <v>102</v>
      </c>
      <c r="M38" s="9" t="s">
        <v>104</v>
      </c>
      <c r="N38" s="2" t="s">
        <v>103</v>
      </c>
      <c r="O38"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8" s="2" t="str">
        <f>newreqtype!D6</f>
        <v>db-alert-static-route-missing-threshold</v>
      </c>
      <c r="Q38"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w.warehouseshortname='RVR') and requesttypeid=(select rt.requesttypeid from app.requesttype rt where rt.description='db-alert-static-route-missing-threshold');</v>
      </c>
    </row>
    <row r="39" spans="1:17" ht="409.6" x14ac:dyDescent="0.2">
      <c r="A39" s="10" t="s">
        <v>77</v>
      </c>
      <c r="B39" s="3" t="s">
        <v>94</v>
      </c>
      <c r="C39" s="3" t="s">
        <v>95</v>
      </c>
      <c r="D39" s="6" t="s">
        <v>96</v>
      </c>
      <c r="E39" s="6" t="s">
        <v>97</v>
      </c>
      <c r="F39" s="6" t="s">
        <v>98</v>
      </c>
      <c r="G39" s="2" t="s">
        <v>99</v>
      </c>
      <c r="H39" s="2" t="s">
        <v>105</v>
      </c>
      <c r="I39" s="6" t="s">
        <v>101</v>
      </c>
      <c r="J39" s="6" t="s">
        <v>113</v>
      </c>
      <c r="K39" s="6" t="s">
        <v>107</v>
      </c>
      <c r="M39" s="9" t="s">
        <v>104</v>
      </c>
      <c r="N39" s="2" t="s">
        <v>103</v>
      </c>
      <c r="O39" s="2"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9" s="2" t="str">
        <f>newreqtype!D6</f>
        <v>db-alert-static-route-missing-threshold</v>
      </c>
      <c r="Q39"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w.warehouseshortname='SAA') and requesttypeid=(select rt.requesttypeid from app.requesttype rt where rt.description='db-alert-static-route-missing-threshold');</v>
      </c>
    </row>
    <row r="40" spans="1:17" ht="409.6" hidden="1" x14ac:dyDescent="0.2">
      <c r="A40" s="10" t="s">
        <v>78</v>
      </c>
      <c r="B40" s="3" t="s">
        <v>94</v>
      </c>
      <c r="C40" s="3" t="s">
        <v>95</v>
      </c>
      <c r="D40" s="6" t="s">
        <v>96</v>
      </c>
      <c r="E40" s="6" t="s">
        <v>97</v>
      </c>
      <c r="F40" s="6" t="s">
        <v>98</v>
      </c>
      <c r="G40" s="2" t="s">
        <v>99</v>
      </c>
      <c r="H40" s="2" t="s">
        <v>100</v>
      </c>
      <c r="I40" s="6" t="s">
        <v>101</v>
      </c>
      <c r="J40" s="6" t="s">
        <v>102</v>
      </c>
      <c r="M40" s="9" t="s">
        <v>104</v>
      </c>
      <c r="N40" s="2" t="s">
        <v>103</v>
      </c>
      <c r="O40"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0" s="2" t="str">
        <f>newreqtype!D6</f>
        <v>db-alert-static-route-missing-threshold</v>
      </c>
      <c r="Q40"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w.warehouseshortname='SIO') and requesttypeid=(select rt.requesttypeid from app.requesttype rt where rt.description='db-alert-static-route-missing-threshold');</v>
      </c>
    </row>
    <row r="41" spans="1:17" ht="409.6" hidden="1" x14ac:dyDescent="0.2">
      <c r="A41" s="10" t="s">
        <v>79</v>
      </c>
      <c r="B41" s="3" t="s">
        <v>94</v>
      </c>
      <c r="C41" s="3" t="s">
        <v>95</v>
      </c>
      <c r="D41" s="6" t="s">
        <v>96</v>
      </c>
      <c r="E41" s="6" t="s">
        <v>97</v>
      </c>
      <c r="F41" s="6" t="s">
        <v>98</v>
      </c>
      <c r="G41" s="2" t="s">
        <v>99</v>
      </c>
      <c r="H41" s="2" t="s">
        <v>100</v>
      </c>
      <c r="I41" s="6" t="s">
        <v>101</v>
      </c>
      <c r="J41" s="6" t="s">
        <v>102</v>
      </c>
      <c r="M41" s="9" t="s">
        <v>104</v>
      </c>
      <c r="N41" s="2" t="s">
        <v>103</v>
      </c>
      <c r="O41"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1" s="2" t="str">
        <f>newreqtype!D6</f>
        <v>db-alert-static-route-missing-threshold</v>
      </c>
      <c r="Q41"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w.warehouseshortname='TAM') and requesttypeid=(select rt.requesttypeid from app.requesttype rt where rt.description='db-alert-static-route-missing-threshold');</v>
      </c>
    </row>
    <row r="42" spans="1:17" ht="409.6" hidden="1" x14ac:dyDescent="0.2">
      <c r="A42" s="10" t="s">
        <v>80</v>
      </c>
      <c r="B42" s="3" t="s">
        <v>94</v>
      </c>
      <c r="C42" s="3" t="s">
        <v>95</v>
      </c>
      <c r="D42" s="6" t="s">
        <v>96</v>
      </c>
      <c r="E42" s="6" t="s">
        <v>97</v>
      </c>
      <c r="F42" s="6" t="s">
        <v>98</v>
      </c>
      <c r="G42" s="2" t="s">
        <v>99</v>
      </c>
      <c r="H42" s="2" t="s">
        <v>100</v>
      </c>
      <c r="I42" s="6" t="s">
        <v>101</v>
      </c>
      <c r="J42" s="6" t="s">
        <v>102</v>
      </c>
      <c r="M42" s="9" t="s">
        <v>104</v>
      </c>
      <c r="N42" s="2" t="s">
        <v>103</v>
      </c>
      <c r="O42"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2" s="2" t="str">
        <f>newreqtype!D6</f>
        <v>db-alert-static-route-missing-threshold</v>
      </c>
      <c r="Q42"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w.warehouseshortname='TOL') and requesttypeid=(select rt.requesttypeid from app.requesttype rt where rt.description='db-alert-static-route-missing-threshold');</v>
      </c>
    </row>
    <row r="43" spans="1:17" ht="409.6" hidden="1" x14ac:dyDescent="0.2">
      <c r="A43" s="10" t="s">
        <v>114</v>
      </c>
      <c r="B43" s="3" t="s">
        <v>94</v>
      </c>
      <c r="C43" s="3" t="s">
        <v>95</v>
      </c>
      <c r="D43" s="6" t="s">
        <v>96</v>
      </c>
      <c r="E43" s="6" t="s">
        <v>97</v>
      </c>
      <c r="F43" s="6" t="s">
        <v>98</v>
      </c>
      <c r="G43" s="2" t="s">
        <v>99</v>
      </c>
      <c r="H43" s="2" t="s">
        <v>100</v>
      </c>
      <c r="I43" s="6" t="s">
        <v>101</v>
      </c>
      <c r="J43" s="6" t="s">
        <v>102</v>
      </c>
      <c r="M43" s="9" t="s">
        <v>104</v>
      </c>
      <c r="N43" s="2" t="s">
        <v>103</v>
      </c>
      <c r="O43" s="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3" s="2" t="str">
        <f>newreqtype!D6</f>
        <v>db-alert-static-route-missing-threshold</v>
      </c>
      <c r="Q43"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w.warehouseshortname='TRN') and requesttypeid=(select rt.requesttypeid from app.requesttype rt where rt.description='db-alert-static-route-missing-threshold');</v>
      </c>
    </row>
    <row r="44" spans="1:17" ht="409.6" x14ac:dyDescent="0.2">
      <c r="A44" s="10" t="s">
        <v>81</v>
      </c>
      <c r="B44" s="3" t="s">
        <v>94</v>
      </c>
      <c r="C44" s="3" t="s">
        <v>95</v>
      </c>
      <c r="D44" s="6" t="s">
        <v>96</v>
      </c>
      <c r="E44" s="6" t="s">
        <v>97</v>
      </c>
      <c r="F44" s="6" t="s">
        <v>98</v>
      </c>
      <c r="G44" s="2" t="s">
        <v>99</v>
      </c>
      <c r="H44" s="2" t="s">
        <v>105</v>
      </c>
      <c r="I44" s="6" t="s">
        <v>101</v>
      </c>
      <c r="J44" s="6" t="s">
        <v>115</v>
      </c>
      <c r="K44" s="6" t="s">
        <v>107</v>
      </c>
      <c r="M44" s="9" t="s">
        <v>104</v>
      </c>
      <c r="N44" s="2" t="s">
        <v>103</v>
      </c>
      <c r="O44" s="2"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4" s="2" t="str">
        <f>newreqtype!D6</f>
        <v>db-alert-static-route-missing-threshold</v>
      </c>
      <c r="Q44" s="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w.warehouseshortname='WSD') and requesttypeid=(select rt.requesttypeid from app.requesttype rt where rt.description='db-alert-static-route-missing-threshold');</v>
      </c>
    </row>
  </sheetData>
  <autoFilter ref="A1:Q44" xr:uid="{A264B1A8-931C-4FF7-9256-08CB1ABCE7AC}">
    <filterColumn colId="0">
      <filters>
        <filter val="ABQ"/>
        <filter val="ASH"/>
        <filter val="PEN"/>
        <filter val="POR"/>
        <filter val="SAA"/>
        <filter val="WSD"/>
      </filters>
    </filterColumn>
  </autoFilter>
  <hyperlinks>
    <hyperlink ref="I4" r:id="rId1" xr:uid="{0C67993F-8383-4FF9-B58A-096592BC8282}"/>
    <hyperlink ref="J4" r:id="rId2" xr:uid="{4133C6FC-1FF7-4A9C-99AF-DE8F2159E49B}"/>
    <hyperlink ref="K4" r:id="rId3" xr:uid="{5D771A55-7763-4F6C-909D-7098BA376AC1}"/>
    <hyperlink ref="I2" r:id="rId4" xr:uid="{56428242-3366-4DA4-A9F5-38AA47667BC7}"/>
    <hyperlink ref="I3" r:id="rId5" xr:uid="{ED6969BD-A34B-4661-8D12-64FB00282A54}"/>
    <hyperlink ref="I5:I44" r:id="rId6" display="wms-tools-noreply@rndc-usa.com" xr:uid="{6E3C7661-E402-4817-8310-1211CB401D40}"/>
    <hyperlink ref="J35" r:id="rId7" xr:uid="{EA89353F-C1B3-4877-B3E6-F0BC019FC54F}"/>
    <hyperlink ref="J39" r:id="rId8" xr:uid="{67745CE7-B27C-4800-ACD3-C529F203834B}"/>
    <hyperlink ref="K39" r:id="rId9" xr:uid="{47C9AE94-7ED1-48BE-B0F7-BB03AB0664B9}"/>
    <hyperlink ref="K44" r:id="rId10" xr:uid="{3D928F70-B45F-4B13-A224-E182D13463CA}"/>
    <hyperlink ref="J44" r:id="rId11" xr:uid="{66C1E611-1994-4AA8-9535-A8A7938B4D2B}"/>
    <hyperlink ref="K33" r:id="rId12" xr:uid="{5F2575D2-B9DA-468D-94DC-36F1B327C335}"/>
    <hyperlink ref="J33" r:id="rId13" xr:uid="{4634F1D9-8E29-4A43-8554-FCBD21023314}"/>
    <hyperlink ref="J34" r:id="rId14" xr:uid="{6697AE33-1202-46FE-A5CF-73A59D564DAD}"/>
    <hyperlink ref="J5:J32" r:id="rId15" display="wmsinternal@RNDC-USA.COM, WMSMSPSupport@RNDC-USA.COM" xr:uid="{93F26D77-F921-41CD-B554-CD79788DCDA1}"/>
    <hyperlink ref="J3" r:id="rId16" xr:uid="{D98BED6D-BC19-47EE-B0B5-A052F0241AA9}"/>
    <hyperlink ref="J2" r:id="rId17" xr:uid="{2F86F590-1814-4D55-9DD2-7D93A9EAB2C9}"/>
    <hyperlink ref="J36:J38" r:id="rId18" display="wmsinternal@RNDC-USA.COM, WMSMSPSupport@RNDC-USA.COM" xr:uid="{CA7FD4C7-4DEE-4B06-8A82-344BF286AA71}"/>
    <hyperlink ref="J40:J43" r:id="rId19" display="wmsinternal@RNDC-USA.COM, WMSMSPSupport@RNDC-USA.COM" xr:uid="{D1268F9E-3CBE-4B0A-9C6D-D077F1C45E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D083-954B-43EE-97FA-3862FE40C970}">
  <dimension ref="A1"/>
  <sheetViews>
    <sheetView workbookViewId="0"/>
  </sheetViews>
  <sheetFormatPr baseColWidth="10" defaultColWidth="8.83203125"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46D5-4CB0-4AEE-BEFA-86B8E8C77356}">
  <dimension ref="A1:E173"/>
  <sheetViews>
    <sheetView zoomScale="214" zoomScaleNormal="214" workbookViewId="0">
      <pane xSplit="2" ySplit="1" topLeftCell="D2" activePane="bottomRight" state="frozen"/>
      <selection pane="topRight" activeCell="C1" sqref="C1"/>
      <selection pane="bottomLeft" activeCell="A2" sqref="A2"/>
      <selection pane="bottomRight" activeCell="B3" sqref="B3"/>
    </sheetView>
  </sheetViews>
  <sheetFormatPr baseColWidth="10" defaultColWidth="8.83203125" defaultRowHeight="15" x14ac:dyDescent="0.2"/>
  <cols>
    <col min="2" max="2" width="28.33203125" customWidth="1"/>
    <col min="3" max="3" width="105.5" customWidth="1"/>
    <col min="4" max="4" width="75.6640625" customWidth="1"/>
  </cols>
  <sheetData>
    <row r="1" spans="1:5" x14ac:dyDescent="0.2">
      <c r="A1" t="s">
        <v>23</v>
      </c>
      <c r="B1" t="s">
        <v>116</v>
      </c>
      <c r="C1" t="s">
        <v>35</v>
      </c>
      <c r="D1" t="s">
        <v>117</v>
      </c>
    </row>
    <row r="2" spans="1:5" x14ac:dyDescent="0.2">
      <c r="A2" t="s">
        <v>37</v>
      </c>
      <c r="B2" t="s">
        <v>118</v>
      </c>
      <c r="C2" s="1" t="s">
        <v>119</v>
      </c>
      <c r="D2" t="str">
        <f>"select '" &amp; B2 &amp; "' description, '" &amp; B2 &amp; "' longdescription, w.warehouseid, rt.requesttypeid, '" &amp; C2 &amp; "' payload from app.requesttype rt, app.warehouselocation w  where rt.description = '" &amp; B2 &amp; "' and w.warehouseshortname = '" &amp; A2 &amp; "'"
&amp; " and not exists (select 1 from app.warehouselocationdetail d, app.warehouselocation w2, app.requesttype rt2 where d.warehouseid = w2.warehouseid and d.requesttypeid = rt2.requesttypeid and w2.warehouseshortname = '" &amp; A2 &amp; "' and rt2.description = '" &amp; B2 &amp; "')"</f>
        <v>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c r="E2" t="str">
        <f>$D$1 &amp; " " &amp; D2</f>
        <v>insert into app.warehouselocationdetail(description, longdescription, warehouseid, requesttypeid, payload)  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row>
    <row r="3" spans="1:5" x14ac:dyDescent="0.2">
      <c r="A3" t="s">
        <v>37</v>
      </c>
      <c r="B3" t="s">
        <v>120</v>
      </c>
      <c r="C3" s="1" t="s">
        <v>121</v>
      </c>
      <c r="D3" t="str">
        <f t="shared" ref="D3:D66" si="0">"select '" &amp; B3 &amp; "', '" &amp; B3 &amp; "', w.warehouseid, rt.requesttypeid, '" &amp; C3 &amp; "' from app.requesttype rt, app.warehouselocation w  where rt.description = '" &amp; B3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B3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c r="E3" t="str">
        <f>$D$1 &amp; " " &amp; D3</f>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row>
    <row r="4" spans="1:5" x14ac:dyDescent="0.2">
      <c r="A4" t="s">
        <v>37</v>
      </c>
      <c r="B4" t="s">
        <v>122</v>
      </c>
      <c r="C4" t="s">
        <v>123</v>
      </c>
      <c r="D4" t="str">
        <f>"select '" &amp; B4 &amp; "' description, '" &amp; B4 &amp; "' longdescription, w.warehouseid, rt.requesttypeid, '" &amp; C4 &amp; "' from app.requesttype rt, app.warehouselocation w  where rt.description = '" &amp; B4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B4 &amp; "')"</f>
        <v>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c r="E4" t="str">
        <f t="shared" ref="E4:E67" si="1">$D$1 &amp; " " &amp; D4</f>
        <v>insert into app.warehouselocationdetail(description, longdescription, warehouseid, requesttypeid, payload)  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row>
    <row r="5" spans="1:5" x14ac:dyDescent="0.2">
      <c r="A5" t="s">
        <v>37</v>
      </c>
      <c r="B5" t="s">
        <v>124</v>
      </c>
      <c r="C5" s="1" t="s">
        <v>125</v>
      </c>
      <c r="D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c r="E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row>
    <row r="6" spans="1:5" x14ac:dyDescent="0.2">
      <c r="A6" t="s">
        <v>45</v>
      </c>
      <c r="B6" t="s">
        <v>118</v>
      </c>
      <c r="C6" s="1" t="s">
        <v>119</v>
      </c>
      <c r="D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E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7" spans="1:5" x14ac:dyDescent="0.2">
      <c r="A7" t="s">
        <v>45</v>
      </c>
      <c r="B7" t="s">
        <v>120</v>
      </c>
      <c r="C7" s="1" t="s">
        <v>121</v>
      </c>
      <c r="D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c r="E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row>
    <row r="8" spans="1:5" x14ac:dyDescent="0.2">
      <c r="A8" t="s">
        <v>45</v>
      </c>
      <c r="B8" t="s">
        <v>122</v>
      </c>
      <c r="C8" t="s">
        <v>123</v>
      </c>
      <c r="D8" t="str">
        <f t="shared" si="0"/>
        <v>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c r="E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row>
    <row r="9" spans="1:5" x14ac:dyDescent="0.2">
      <c r="A9" t="s">
        <v>45</v>
      </c>
      <c r="B9" t="s">
        <v>124</v>
      </c>
      <c r="C9" s="1" t="s">
        <v>125</v>
      </c>
      <c r="D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E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10" spans="1:5" x14ac:dyDescent="0.2">
      <c r="A10" t="s">
        <v>46</v>
      </c>
      <c r="B10" t="s">
        <v>118</v>
      </c>
      <c r="C10" s="1" t="s">
        <v>119</v>
      </c>
      <c r="D1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c r="E1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row>
    <row r="11" spans="1:5" x14ac:dyDescent="0.2">
      <c r="A11" t="s">
        <v>46</v>
      </c>
      <c r="B11" t="s">
        <v>120</v>
      </c>
      <c r="C11" s="1" t="s">
        <v>121</v>
      </c>
      <c r="D1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c r="E1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row>
    <row r="12" spans="1:5" x14ac:dyDescent="0.2">
      <c r="A12" t="s">
        <v>46</v>
      </c>
      <c r="B12" t="s">
        <v>122</v>
      </c>
      <c r="C12" t="s">
        <v>123</v>
      </c>
      <c r="D12" t="str">
        <f t="shared" si="0"/>
        <v>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c r="E1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row>
    <row r="13" spans="1:5" x14ac:dyDescent="0.2">
      <c r="A13" t="s">
        <v>46</v>
      </c>
      <c r="B13" t="s">
        <v>124</v>
      </c>
      <c r="C13" s="1" t="s">
        <v>125</v>
      </c>
      <c r="D1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c r="E1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row>
    <row r="14" spans="1:5" x14ac:dyDescent="0.2">
      <c r="A14" t="s">
        <v>47</v>
      </c>
      <c r="B14" t="s">
        <v>118</v>
      </c>
      <c r="C14" s="1" t="s">
        <v>119</v>
      </c>
      <c r="D1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c r="E1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row>
    <row r="15" spans="1:5" x14ac:dyDescent="0.2">
      <c r="A15" t="s">
        <v>47</v>
      </c>
      <c r="B15" t="s">
        <v>120</v>
      </c>
      <c r="C15" s="1" t="s">
        <v>121</v>
      </c>
      <c r="D1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c r="E1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row>
    <row r="16" spans="1:5" x14ac:dyDescent="0.2">
      <c r="A16" t="s">
        <v>47</v>
      </c>
      <c r="B16" t="s">
        <v>122</v>
      </c>
      <c r="C16" t="s">
        <v>123</v>
      </c>
      <c r="D16" t="str">
        <f t="shared" si="0"/>
        <v>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c r="E1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row>
    <row r="17" spans="1:5" x14ac:dyDescent="0.2">
      <c r="A17" t="s">
        <v>47</v>
      </c>
      <c r="B17" t="s">
        <v>124</v>
      </c>
      <c r="C17" s="1" t="s">
        <v>125</v>
      </c>
      <c r="D1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c r="E1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row>
    <row r="18" spans="1:5" x14ac:dyDescent="0.2">
      <c r="A18" t="s">
        <v>48</v>
      </c>
      <c r="B18" t="s">
        <v>118</v>
      </c>
      <c r="C18" s="1" t="s">
        <v>119</v>
      </c>
      <c r="D1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c r="E1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row>
    <row r="19" spans="1:5" x14ac:dyDescent="0.2">
      <c r="A19" t="s">
        <v>48</v>
      </c>
      <c r="B19" t="s">
        <v>120</v>
      </c>
      <c r="C19" s="1" t="s">
        <v>121</v>
      </c>
      <c r="D1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c r="E1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row>
    <row r="20" spans="1:5" x14ac:dyDescent="0.2">
      <c r="A20" t="s">
        <v>48</v>
      </c>
      <c r="B20" t="s">
        <v>122</v>
      </c>
      <c r="C20" t="s">
        <v>123</v>
      </c>
      <c r="D20" t="str">
        <f t="shared" si="0"/>
        <v>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c r="E2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row>
    <row r="21" spans="1:5" x14ac:dyDescent="0.2">
      <c r="A21" t="s">
        <v>48</v>
      </c>
      <c r="B21" t="s">
        <v>124</v>
      </c>
      <c r="C21" s="1" t="s">
        <v>125</v>
      </c>
      <c r="D2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c r="E2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row>
    <row r="22" spans="1:5" x14ac:dyDescent="0.2">
      <c r="A22" t="s">
        <v>108</v>
      </c>
      <c r="B22" t="s">
        <v>118</v>
      </c>
      <c r="C22" s="1" t="s">
        <v>119</v>
      </c>
      <c r="D2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c r="E2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row>
    <row r="23" spans="1:5" x14ac:dyDescent="0.2">
      <c r="A23" t="s">
        <v>108</v>
      </c>
      <c r="B23" t="s">
        <v>120</v>
      </c>
      <c r="C23" s="1" t="s">
        <v>121</v>
      </c>
      <c r="D2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c r="E2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row>
    <row r="24" spans="1:5" x14ac:dyDescent="0.2">
      <c r="A24" t="s">
        <v>108</v>
      </c>
      <c r="B24" t="s">
        <v>122</v>
      </c>
      <c r="C24" t="s">
        <v>123</v>
      </c>
      <c r="D24" t="str">
        <f t="shared" si="0"/>
        <v>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c r="E2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row>
    <row r="25" spans="1:5" x14ac:dyDescent="0.2">
      <c r="A25" t="s">
        <v>108</v>
      </c>
      <c r="B25" t="s">
        <v>124</v>
      </c>
      <c r="C25" s="1" t="s">
        <v>125</v>
      </c>
      <c r="D2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c r="E2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row>
    <row r="26" spans="1:5" x14ac:dyDescent="0.2">
      <c r="A26" t="s">
        <v>49</v>
      </c>
      <c r="B26" t="s">
        <v>118</v>
      </c>
      <c r="C26" s="1" t="s">
        <v>119</v>
      </c>
      <c r="D2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c r="E2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row>
    <row r="27" spans="1:5" x14ac:dyDescent="0.2">
      <c r="A27" t="s">
        <v>49</v>
      </c>
      <c r="B27" t="s">
        <v>120</v>
      </c>
      <c r="C27" s="1" t="s">
        <v>121</v>
      </c>
      <c r="D2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c r="E2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row>
    <row r="28" spans="1:5" x14ac:dyDescent="0.2">
      <c r="A28" t="s">
        <v>49</v>
      </c>
      <c r="B28" t="s">
        <v>122</v>
      </c>
      <c r="C28" t="s">
        <v>123</v>
      </c>
      <c r="D28" t="str">
        <f t="shared" si="0"/>
        <v>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c r="E2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row>
    <row r="29" spans="1:5" x14ac:dyDescent="0.2">
      <c r="A29" t="s">
        <v>49</v>
      </c>
      <c r="B29" t="s">
        <v>124</v>
      </c>
      <c r="C29" s="1" t="s">
        <v>125</v>
      </c>
      <c r="D2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E2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30" spans="1:5" x14ac:dyDescent="0.2">
      <c r="A30" t="s">
        <v>109</v>
      </c>
      <c r="B30" t="s">
        <v>118</v>
      </c>
      <c r="C30" s="1" t="s">
        <v>119</v>
      </c>
      <c r="D3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c r="E3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row>
    <row r="31" spans="1:5" x14ac:dyDescent="0.2">
      <c r="A31" t="s">
        <v>109</v>
      </c>
      <c r="B31" t="s">
        <v>120</v>
      </c>
      <c r="C31" s="1" t="s">
        <v>121</v>
      </c>
      <c r="D3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c r="E3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row>
    <row r="32" spans="1:5" x14ac:dyDescent="0.2">
      <c r="A32" t="s">
        <v>109</v>
      </c>
      <c r="B32" t="s">
        <v>122</v>
      </c>
      <c r="C32" t="s">
        <v>123</v>
      </c>
      <c r="D32" t="str">
        <f t="shared" si="0"/>
        <v>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c r="E3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row>
    <row r="33" spans="1:5" x14ac:dyDescent="0.2">
      <c r="A33" t="s">
        <v>109</v>
      </c>
      <c r="B33" t="s">
        <v>124</v>
      </c>
      <c r="C33" s="1" t="s">
        <v>125</v>
      </c>
      <c r="D3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c r="E3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row>
    <row r="34" spans="1:5" x14ac:dyDescent="0.2">
      <c r="A34" t="s">
        <v>50</v>
      </c>
      <c r="B34" t="s">
        <v>118</v>
      </c>
      <c r="C34" s="1" t="s">
        <v>119</v>
      </c>
      <c r="D3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c r="E3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row>
    <row r="35" spans="1:5" x14ac:dyDescent="0.2">
      <c r="A35" t="s">
        <v>50</v>
      </c>
      <c r="B35" t="s">
        <v>120</v>
      </c>
      <c r="C35" s="1" t="s">
        <v>121</v>
      </c>
      <c r="D3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c r="E3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row>
    <row r="36" spans="1:5" x14ac:dyDescent="0.2">
      <c r="A36" t="s">
        <v>50</v>
      </c>
      <c r="B36" t="s">
        <v>122</v>
      </c>
      <c r="C36" t="s">
        <v>123</v>
      </c>
      <c r="D36" t="str">
        <f t="shared" si="0"/>
        <v>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c r="E3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row>
    <row r="37" spans="1:5" x14ac:dyDescent="0.2">
      <c r="A37" t="s">
        <v>50</v>
      </c>
      <c r="B37" t="s">
        <v>124</v>
      </c>
      <c r="C37" s="1" t="s">
        <v>125</v>
      </c>
      <c r="D3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c r="E3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row>
    <row r="38" spans="1:5" x14ac:dyDescent="0.2">
      <c r="A38" t="s">
        <v>51</v>
      </c>
      <c r="B38" t="s">
        <v>118</v>
      </c>
      <c r="C38" s="1" t="s">
        <v>119</v>
      </c>
      <c r="D3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c r="E3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row>
    <row r="39" spans="1:5" x14ac:dyDescent="0.2">
      <c r="A39" t="s">
        <v>51</v>
      </c>
      <c r="B39" t="s">
        <v>120</v>
      </c>
      <c r="C39" s="1" t="s">
        <v>121</v>
      </c>
      <c r="D3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c r="E3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row>
    <row r="40" spans="1:5" x14ac:dyDescent="0.2">
      <c r="A40" t="s">
        <v>51</v>
      </c>
      <c r="B40" t="s">
        <v>122</v>
      </c>
      <c r="C40" t="s">
        <v>123</v>
      </c>
      <c r="D40" t="str">
        <f t="shared" si="0"/>
        <v>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c r="E4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row>
    <row r="41" spans="1:5" x14ac:dyDescent="0.2">
      <c r="A41" t="s">
        <v>51</v>
      </c>
      <c r="B41" t="s">
        <v>124</v>
      </c>
      <c r="C41" s="1" t="s">
        <v>125</v>
      </c>
      <c r="D4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c r="E4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row>
    <row r="42" spans="1:5" x14ac:dyDescent="0.2">
      <c r="A42" t="s">
        <v>52</v>
      </c>
      <c r="B42" t="s">
        <v>118</v>
      </c>
      <c r="C42" s="1" t="s">
        <v>119</v>
      </c>
      <c r="D4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c r="E4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row>
    <row r="43" spans="1:5" x14ac:dyDescent="0.2">
      <c r="A43" t="s">
        <v>52</v>
      </c>
      <c r="B43" t="s">
        <v>120</v>
      </c>
      <c r="C43" s="1" t="s">
        <v>121</v>
      </c>
      <c r="D4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c r="E4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row>
    <row r="44" spans="1:5" x14ac:dyDescent="0.2">
      <c r="A44" t="s">
        <v>52</v>
      </c>
      <c r="B44" t="s">
        <v>122</v>
      </c>
      <c r="C44" t="s">
        <v>123</v>
      </c>
      <c r="D44" t="str">
        <f t="shared" si="0"/>
        <v>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c r="E4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row>
    <row r="45" spans="1:5" x14ac:dyDescent="0.2">
      <c r="A45" t="s">
        <v>52</v>
      </c>
      <c r="B45" t="s">
        <v>124</v>
      </c>
      <c r="C45" s="1" t="s">
        <v>125</v>
      </c>
      <c r="D4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c r="E4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row>
    <row r="46" spans="1:5" x14ac:dyDescent="0.2">
      <c r="A46" t="s">
        <v>53</v>
      </c>
      <c r="B46" t="s">
        <v>118</v>
      </c>
      <c r="C46" s="1" t="s">
        <v>119</v>
      </c>
      <c r="D4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c r="E4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row>
    <row r="47" spans="1:5" x14ac:dyDescent="0.2">
      <c r="A47" t="s">
        <v>53</v>
      </c>
      <c r="B47" t="s">
        <v>120</v>
      </c>
      <c r="C47" s="1" t="s">
        <v>121</v>
      </c>
      <c r="D4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E4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48" spans="1:5" x14ac:dyDescent="0.2">
      <c r="A48" t="s">
        <v>53</v>
      </c>
      <c r="B48" t="s">
        <v>122</v>
      </c>
      <c r="C48" t="s">
        <v>123</v>
      </c>
      <c r="D48" t="str">
        <f t="shared" si="0"/>
        <v>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c r="E4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row>
    <row r="49" spans="1:5" x14ac:dyDescent="0.2">
      <c r="A49" t="s">
        <v>53</v>
      </c>
      <c r="B49" t="s">
        <v>124</v>
      </c>
      <c r="C49" s="1" t="s">
        <v>125</v>
      </c>
      <c r="D4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c r="E4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row>
    <row r="50" spans="1:5" x14ac:dyDescent="0.2">
      <c r="A50" t="s">
        <v>54</v>
      </c>
      <c r="B50" t="s">
        <v>118</v>
      </c>
      <c r="C50" s="1" t="s">
        <v>119</v>
      </c>
      <c r="D5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c r="E5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row>
    <row r="51" spans="1:5" x14ac:dyDescent="0.2">
      <c r="A51" t="s">
        <v>54</v>
      </c>
      <c r="B51" t="s">
        <v>120</v>
      </c>
      <c r="C51" s="1" t="s">
        <v>121</v>
      </c>
      <c r="D5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c r="E5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row>
    <row r="52" spans="1:5" x14ac:dyDescent="0.2">
      <c r="A52" t="s">
        <v>54</v>
      </c>
      <c r="B52" t="s">
        <v>122</v>
      </c>
      <c r="C52" t="s">
        <v>123</v>
      </c>
      <c r="D52" t="str">
        <f t="shared" si="0"/>
        <v>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c r="E5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row>
    <row r="53" spans="1:5" x14ac:dyDescent="0.2">
      <c r="A53" t="s">
        <v>54</v>
      </c>
      <c r="B53" t="s">
        <v>124</v>
      </c>
      <c r="C53" s="1" t="s">
        <v>125</v>
      </c>
      <c r="D5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c r="E5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row>
    <row r="54" spans="1:5" x14ac:dyDescent="0.2">
      <c r="A54" t="s">
        <v>55</v>
      </c>
      <c r="B54" t="s">
        <v>118</v>
      </c>
      <c r="C54" s="1" t="s">
        <v>119</v>
      </c>
      <c r="D5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c r="E5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row>
    <row r="55" spans="1:5" x14ac:dyDescent="0.2">
      <c r="A55" t="s">
        <v>55</v>
      </c>
      <c r="B55" t="s">
        <v>120</v>
      </c>
      <c r="C55" s="1" t="s">
        <v>121</v>
      </c>
      <c r="D5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E5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56" spans="1:5" x14ac:dyDescent="0.2">
      <c r="A56" t="s">
        <v>55</v>
      </c>
      <c r="B56" t="s">
        <v>122</v>
      </c>
      <c r="C56" t="s">
        <v>123</v>
      </c>
      <c r="D56" t="str">
        <f t="shared" si="0"/>
        <v>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c r="E5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row>
    <row r="57" spans="1:5" x14ac:dyDescent="0.2">
      <c r="A57" t="s">
        <v>55</v>
      </c>
      <c r="B57" t="s">
        <v>124</v>
      </c>
      <c r="C57" s="1" t="s">
        <v>125</v>
      </c>
      <c r="D5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E5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58" spans="1:5" x14ac:dyDescent="0.2">
      <c r="A58" t="s">
        <v>56</v>
      </c>
      <c r="B58" t="s">
        <v>118</v>
      </c>
      <c r="C58" s="1" t="s">
        <v>119</v>
      </c>
      <c r="D5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c r="E5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row>
    <row r="59" spans="1:5" x14ac:dyDescent="0.2">
      <c r="A59" t="s">
        <v>56</v>
      </c>
      <c r="B59" t="s">
        <v>120</v>
      </c>
      <c r="C59" s="1" t="s">
        <v>121</v>
      </c>
      <c r="D5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c r="E5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row>
    <row r="60" spans="1:5" x14ac:dyDescent="0.2">
      <c r="A60" t="s">
        <v>56</v>
      </c>
      <c r="B60" t="s">
        <v>122</v>
      </c>
      <c r="C60" t="s">
        <v>123</v>
      </c>
      <c r="D60" t="str">
        <f t="shared" si="0"/>
        <v>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c r="E6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row>
    <row r="61" spans="1:5" x14ac:dyDescent="0.2">
      <c r="A61" t="s">
        <v>56</v>
      </c>
      <c r="B61" t="s">
        <v>124</v>
      </c>
      <c r="C61" s="1" t="s">
        <v>125</v>
      </c>
      <c r="D6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E6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62" spans="1:5" x14ac:dyDescent="0.2">
      <c r="A62" t="s">
        <v>57</v>
      </c>
      <c r="B62" t="s">
        <v>118</v>
      </c>
      <c r="C62" s="1" t="s">
        <v>119</v>
      </c>
      <c r="D6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c r="E6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row>
    <row r="63" spans="1:5" x14ac:dyDescent="0.2">
      <c r="A63" t="s">
        <v>57</v>
      </c>
      <c r="B63" t="s">
        <v>120</v>
      </c>
      <c r="C63" s="1" t="s">
        <v>121</v>
      </c>
      <c r="D6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E6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64" spans="1:5" x14ac:dyDescent="0.2">
      <c r="A64" t="s">
        <v>57</v>
      </c>
      <c r="B64" t="s">
        <v>122</v>
      </c>
      <c r="C64" t="s">
        <v>123</v>
      </c>
      <c r="D64" t="str">
        <f t="shared" si="0"/>
        <v>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c r="E6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row>
    <row r="65" spans="1:5" x14ac:dyDescent="0.2">
      <c r="A65" t="s">
        <v>57</v>
      </c>
      <c r="B65" t="s">
        <v>124</v>
      </c>
      <c r="C65" s="1" t="s">
        <v>125</v>
      </c>
      <c r="D6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c r="E6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row>
    <row r="66" spans="1:5" x14ac:dyDescent="0.2">
      <c r="A66" t="s">
        <v>58</v>
      </c>
      <c r="B66" t="s">
        <v>118</v>
      </c>
      <c r="C66" s="1" t="s">
        <v>119</v>
      </c>
      <c r="D6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c r="E6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row>
    <row r="67" spans="1:5" x14ac:dyDescent="0.2">
      <c r="A67" t="s">
        <v>58</v>
      </c>
      <c r="B67" t="s">
        <v>120</v>
      </c>
      <c r="C67" s="1" t="s">
        <v>121</v>
      </c>
      <c r="D67" t="str">
        <f t="shared" ref="D67:D130" si="2">"select '" &amp; B67 &amp; "', '" &amp; B67 &amp; "', w.warehouseid, rt.requesttypeid, '" &amp; C67 &amp; "' from app.requesttype rt, app.warehouselocation w  where rt.description = '" &amp; B67 &amp; "' and w.warehouseshortname = '" &amp; A67 &amp; "'"
&amp; " and not exists (select 1 from app.warehouselocationdetail d, app.warehouselocation w2, app.requesttype rt2 where d.warehouseid = w2.warehouseid and d.requesttypeid = rt2.requesttypeid and w2.warehouseshortname = '" &amp; A67 &amp; "' and rt2.description = '" &amp; B67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c r="E6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row>
    <row r="68" spans="1:5" x14ac:dyDescent="0.2">
      <c r="A68" t="s">
        <v>58</v>
      </c>
      <c r="B68" t="s">
        <v>122</v>
      </c>
      <c r="C68" t="s">
        <v>123</v>
      </c>
      <c r="D68" t="str">
        <f t="shared" si="2"/>
        <v>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c r="E68" t="str">
        <f t="shared" ref="E68:E131" si="3">$D$1 &amp; " " &amp; D68</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row>
    <row r="69" spans="1:5" x14ac:dyDescent="0.2">
      <c r="A69" t="s">
        <v>58</v>
      </c>
      <c r="B69" t="s">
        <v>124</v>
      </c>
      <c r="C69" s="1" t="s">
        <v>125</v>
      </c>
      <c r="D6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c r="E6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row>
    <row r="70" spans="1:5" x14ac:dyDescent="0.2">
      <c r="A70" t="s">
        <v>59</v>
      </c>
      <c r="B70" t="s">
        <v>118</v>
      </c>
      <c r="C70" s="1" t="s">
        <v>119</v>
      </c>
      <c r="D7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c r="E7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row>
    <row r="71" spans="1:5" x14ac:dyDescent="0.2">
      <c r="A71" t="s">
        <v>59</v>
      </c>
      <c r="B71" t="s">
        <v>120</v>
      </c>
      <c r="C71" s="1" t="s">
        <v>121</v>
      </c>
      <c r="D7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c r="E7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row>
    <row r="72" spans="1:5" x14ac:dyDescent="0.2">
      <c r="A72" t="s">
        <v>59</v>
      </c>
      <c r="B72" t="s">
        <v>122</v>
      </c>
      <c r="C72" t="s">
        <v>123</v>
      </c>
      <c r="D72" t="str">
        <f t="shared" si="2"/>
        <v>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c r="E7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row>
    <row r="73" spans="1:5" x14ac:dyDescent="0.2">
      <c r="A73" t="s">
        <v>59</v>
      </c>
      <c r="B73" t="s">
        <v>124</v>
      </c>
      <c r="C73" s="1" t="s">
        <v>125</v>
      </c>
      <c r="D7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c r="E7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row>
    <row r="74" spans="1:5" x14ac:dyDescent="0.2">
      <c r="A74" t="s">
        <v>60</v>
      </c>
      <c r="B74" t="s">
        <v>118</v>
      </c>
      <c r="C74" s="1" t="s">
        <v>119</v>
      </c>
      <c r="D7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c r="E7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row>
    <row r="75" spans="1:5" x14ac:dyDescent="0.2">
      <c r="A75" t="s">
        <v>60</v>
      </c>
      <c r="B75" t="s">
        <v>120</v>
      </c>
      <c r="C75" s="1" t="s">
        <v>121</v>
      </c>
      <c r="D7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c r="E7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row>
    <row r="76" spans="1:5" x14ac:dyDescent="0.2">
      <c r="A76" t="s">
        <v>60</v>
      </c>
      <c r="B76" t="s">
        <v>122</v>
      </c>
      <c r="C76" t="s">
        <v>123</v>
      </c>
      <c r="D76" t="str">
        <f t="shared" si="2"/>
        <v>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c r="E7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row>
    <row r="77" spans="1:5" x14ac:dyDescent="0.2">
      <c r="A77" t="s">
        <v>60</v>
      </c>
      <c r="B77" t="s">
        <v>124</v>
      </c>
      <c r="C77" s="1" t="s">
        <v>125</v>
      </c>
      <c r="D7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c r="E7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row>
    <row r="78" spans="1:5" x14ac:dyDescent="0.2">
      <c r="A78" t="s">
        <v>61</v>
      </c>
      <c r="B78" t="s">
        <v>118</v>
      </c>
      <c r="C78" s="1" t="s">
        <v>119</v>
      </c>
      <c r="D7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c r="E7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row>
    <row r="79" spans="1:5" x14ac:dyDescent="0.2">
      <c r="A79" t="s">
        <v>61</v>
      </c>
      <c r="B79" t="s">
        <v>120</v>
      </c>
      <c r="C79" s="1" t="s">
        <v>121</v>
      </c>
      <c r="D7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c r="E7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row>
    <row r="80" spans="1:5" x14ac:dyDescent="0.2">
      <c r="A80" t="s">
        <v>61</v>
      </c>
      <c r="B80" t="s">
        <v>122</v>
      </c>
      <c r="C80" t="s">
        <v>123</v>
      </c>
      <c r="D80" t="str">
        <f t="shared" si="2"/>
        <v>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c r="E8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row>
    <row r="81" spans="1:5" x14ac:dyDescent="0.2">
      <c r="A81" t="s">
        <v>61</v>
      </c>
      <c r="B81" t="s">
        <v>124</v>
      </c>
      <c r="C81" s="1" t="s">
        <v>125</v>
      </c>
      <c r="D8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E8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2" spans="1:5" x14ac:dyDescent="0.2">
      <c r="A82" t="s">
        <v>62</v>
      </c>
      <c r="B82" t="s">
        <v>118</v>
      </c>
      <c r="C82" s="1" t="s">
        <v>119</v>
      </c>
      <c r="D8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c r="E8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row>
    <row r="83" spans="1:5" x14ac:dyDescent="0.2">
      <c r="A83" t="s">
        <v>62</v>
      </c>
      <c r="B83" t="s">
        <v>120</v>
      </c>
      <c r="C83" s="1" t="s">
        <v>121</v>
      </c>
      <c r="D8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c r="E8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row>
    <row r="84" spans="1:5" x14ac:dyDescent="0.2">
      <c r="A84" t="s">
        <v>62</v>
      </c>
      <c r="B84" t="s">
        <v>122</v>
      </c>
      <c r="C84" t="s">
        <v>123</v>
      </c>
      <c r="D84" t="str">
        <f t="shared" si="2"/>
        <v>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c r="E8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row>
    <row r="85" spans="1:5" x14ac:dyDescent="0.2">
      <c r="A85" t="s">
        <v>62</v>
      </c>
      <c r="B85" t="s">
        <v>124</v>
      </c>
      <c r="C85" s="1" t="s">
        <v>125</v>
      </c>
      <c r="D8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E8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86" spans="1:5" x14ac:dyDescent="0.2">
      <c r="A86" t="s">
        <v>63</v>
      </c>
      <c r="B86" t="s">
        <v>118</v>
      </c>
      <c r="C86" s="1" t="s">
        <v>119</v>
      </c>
      <c r="D8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c r="E8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row>
    <row r="87" spans="1:5" x14ac:dyDescent="0.2">
      <c r="A87" t="s">
        <v>63</v>
      </c>
      <c r="B87" t="s">
        <v>120</v>
      </c>
      <c r="C87" s="1" t="s">
        <v>121</v>
      </c>
      <c r="D8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c r="E8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row>
    <row r="88" spans="1:5" x14ac:dyDescent="0.2">
      <c r="A88" t="s">
        <v>63</v>
      </c>
      <c r="B88" t="s">
        <v>122</v>
      </c>
      <c r="C88" t="s">
        <v>123</v>
      </c>
      <c r="D88" t="str">
        <f t="shared" si="2"/>
        <v>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c r="E8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row>
    <row r="89" spans="1:5" x14ac:dyDescent="0.2">
      <c r="A89" t="s">
        <v>63</v>
      </c>
      <c r="B89" t="s">
        <v>124</v>
      </c>
      <c r="C89" s="1" t="s">
        <v>125</v>
      </c>
      <c r="D8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c r="E8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row>
    <row r="90" spans="1:5" x14ac:dyDescent="0.2">
      <c r="A90" t="s">
        <v>64</v>
      </c>
      <c r="B90" t="s">
        <v>118</v>
      </c>
      <c r="C90" s="1" t="s">
        <v>119</v>
      </c>
      <c r="D9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c r="E9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row>
    <row r="91" spans="1:5" x14ac:dyDescent="0.2">
      <c r="A91" t="s">
        <v>64</v>
      </c>
      <c r="B91" t="s">
        <v>120</v>
      </c>
      <c r="C91" s="1" t="s">
        <v>121</v>
      </c>
      <c r="D9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c r="E9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row>
    <row r="92" spans="1:5" x14ac:dyDescent="0.2">
      <c r="A92" t="s">
        <v>64</v>
      </c>
      <c r="B92" t="s">
        <v>122</v>
      </c>
      <c r="C92" t="s">
        <v>123</v>
      </c>
      <c r="D92" t="str">
        <f t="shared" si="2"/>
        <v>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c r="E9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row>
    <row r="93" spans="1:5" x14ac:dyDescent="0.2">
      <c r="A93" t="s">
        <v>64</v>
      </c>
      <c r="B93" t="s">
        <v>124</v>
      </c>
      <c r="C93" s="1" t="s">
        <v>125</v>
      </c>
      <c r="D9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E9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94" spans="1:5" x14ac:dyDescent="0.2">
      <c r="A94" t="s">
        <v>65</v>
      </c>
      <c r="B94" t="s">
        <v>118</v>
      </c>
      <c r="C94" s="1" t="s">
        <v>119</v>
      </c>
      <c r="D9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E9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row r="95" spans="1:5" x14ac:dyDescent="0.2">
      <c r="A95" t="s">
        <v>65</v>
      </c>
      <c r="B95" t="s">
        <v>120</v>
      </c>
      <c r="C95" s="1" t="s">
        <v>121</v>
      </c>
      <c r="D9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c r="E9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row>
    <row r="96" spans="1:5" x14ac:dyDescent="0.2">
      <c r="A96" t="s">
        <v>65</v>
      </c>
      <c r="B96" t="s">
        <v>122</v>
      </c>
      <c r="C96" t="s">
        <v>123</v>
      </c>
      <c r="D96" t="str">
        <f t="shared" si="2"/>
        <v>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c r="E9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row>
    <row r="97" spans="1:5" x14ac:dyDescent="0.2">
      <c r="A97" t="s">
        <v>65</v>
      </c>
      <c r="B97" t="s">
        <v>124</v>
      </c>
      <c r="C97" s="1" t="s">
        <v>125</v>
      </c>
      <c r="D9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E9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98" spans="1:5" x14ac:dyDescent="0.2">
      <c r="A98" t="s">
        <v>66</v>
      </c>
      <c r="B98" t="s">
        <v>118</v>
      </c>
      <c r="C98" s="1" t="s">
        <v>119</v>
      </c>
      <c r="D9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c r="E9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row>
    <row r="99" spans="1:5" x14ac:dyDescent="0.2">
      <c r="A99" t="s">
        <v>66</v>
      </c>
      <c r="B99" t="s">
        <v>120</v>
      </c>
      <c r="C99" s="1" t="s">
        <v>121</v>
      </c>
      <c r="D9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E9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100" spans="1:5" x14ac:dyDescent="0.2">
      <c r="A100" t="s">
        <v>66</v>
      </c>
      <c r="B100" t="s">
        <v>122</v>
      </c>
      <c r="C100" t="s">
        <v>123</v>
      </c>
      <c r="D100" t="str">
        <f t="shared" si="2"/>
        <v>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c r="E10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row>
    <row r="101" spans="1:5" x14ac:dyDescent="0.2">
      <c r="A101" t="s">
        <v>66</v>
      </c>
      <c r="B101" t="s">
        <v>124</v>
      </c>
      <c r="C101" s="1" t="s">
        <v>125</v>
      </c>
      <c r="D10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c r="E10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row>
    <row r="102" spans="1:5" x14ac:dyDescent="0.2">
      <c r="A102" t="s">
        <v>67</v>
      </c>
      <c r="B102" t="s">
        <v>118</v>
      </c>
      <c r="C102" s="1" t="s">
        <v>119</v>
      </c>
      <c r="D10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c r="E10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row>
    <row r="103" spans="1:5" x14ac:dyDescent="0.2">
      <c r="A103" t="s">
        <v>67</v>
      </c>
      <c r="B103" t="s">
        <v>120</v>
      </c>
      <c r="C103" s="1" t="s">
        <v>121</v>
      </c>
      <c r="D10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c r="E10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row>
    <row r="104" spans="1:5" x14ac:dyDescent="0.2">
      <c r="A104" t="s">
        <v>67</v>
      </c>
      <c r="B104" t="s">
        <v>122</v>
      </c>
      <c r="C104" t="s">
        <v>123</v>
      </c>
      <c r="D104" t="str">
        <f t="shared" si="2"/>
        <v>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c r="E10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row>
    <row r="105" spans="1:5" x14ac:dyDescent="0.2">
      <c r="A105" t="s">
        <v>67</v>
      </c>
      <c r="B105" t="s">
        <v>124</v>
      </c>
      <c r="C105" s="1" t="s">
        <v>125</v>
      </c>
      <c r="D10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E10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06" spans="1:5" x14ac:dyDescent="0.2">
      <c r="A106" t="s">
        <v>68</v>
      </c>
      <c r="B106" t="s">
        <v>118</v>
      </c>
      <c r="C106" s="1" t="s">
        <v>119</v>
      </c>
      <c r="D10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c r="E10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row>
    <row r="107" spans="1:5" x14ac:dyDescent="0.2">
      <c r="A107" t="s">
        <v>68</v>
      </c>
      <c r="B107" t="s">
        <v>120</v>
      </c>
      <c r="C107" s="1" t="s">
        <v>121</v>
      </c>
      <c r="D10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c r="E10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row>
    <row r="108" spans="1:5" x14ac:dyDescent="0.2">
      <c r="A108" t="s">
        <v>68</v>
      </c>
      <c r="B108" t="s">
        <v>122</v>
      </c>
      <c r="C108" t="s">
        <v>123</v>
      </c>
      <c r="D108" t="str">
        <f t="shared" si="2"/>
        <v>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c r="E10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row>
    <row r="109" spans="1:5" x14ac:dyDescent="0.2">
      <c r="A109" t="s">
        <v>68</v>
      </c>
      <c r="B109" t="s">
        <v>124</v>
      </c>
      <c r="C109" s="1" t="s">
        <v>125</v>
      </c>
      <c r="D10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c r="E10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row>
    <row r="110" spans="1:5" x14ac:dyDescent="0.2">
      <c r="A110" t="s">
        <v>69</v>
      </c>
      <c r="B110" t="s">
        <v>118</v>
      </c>
      <c r="C110" s="1" t="s">
        <v>119</v>
      </c>
      <c r="D11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c r="E11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row>
    <row r="111" spans="1:5" x14ac:dyDescent="0.2">
      <c r="A111" t="s">
        <v>69</v>
      </c>
      <c r="B111" t="s">
        <v>120</v>
      </c>
      <c r="C111" s="1" t="s">
        <v>121</v>
      </c>
      <c r="D11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c r="E11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row>
    <row r="112" spans="1:5" x14ac:dyDescent="0.2">
      <c r="A112" t="s">
        <v>69</v>
      </c>
      <c r="B112" t="s">
        <v>122</v>
      </c>
      <c r="C112" t="s">
        <v>123</v>
      </c>
      <c r="D112" t="str">
        <f t="shared" si="2"/>
        <v>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c r="E11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row>
    <row r="113" spans="1:5" x14ac:dyDescent="0.2">
      <c r="A113" t="s">
        <v>69</v>
      </c>
      <c r="B113" t="s">
        <v>124</v>
      </c>
      <c r="C113" s="1" t="s">
        <v>125</v>
      </c>
      <c r="D11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E11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14" spans="1:5" x14ac:dyDescent="0.2">
      <c r="A114" t="s">
        <v>70</v>
      </c>
      <c r="B114" t="s">
        <v>118</v>
      </c>
      <c r="C114" s="1" t="s">
        <v>119</v>
      </c>
      <c r="D11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c r="E11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row>
    <row r="115" spans="1:5" x14ac:dyDescent="0.2">
      <c r="A115" t="s">
        <v>70</v>
      </c>
      <c r="B115" t="s">
        <v>120</v>
      </c>
      <c r="C115" s="1" t="s">
        <v>121</v>
      </c>
      <c r="D11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c r="E11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row>
    <row r="116" spans="1:5" x14ac:dyDescent="0.2">
      <c r="A116" t="s">
        <v>70</v>
      </c>
      <c r="B116" t="s">
        <v>122</v>
      </c>
      <c r="C116" t="s">
        <v>123</v>
      </c>
      <c r="D116" t="str">
        <f t="shared" si="2"/>
        <v>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c r="E11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row>
    <row r="117" spans="1:5" x14ac:dyDescent="0.2">
      <c r="A117" t="s">
        <v>70</v>
      </c>
      <c r="B117" t="s">
        <v>124</v>
      </c>
      <c r="C117" s="1" t="s">
        <v>125</v>
      </c>
      <c r="D11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c r="E11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row>
    <row r="118" spans="1:5" x14ac:dyDescent="0.2">
      <c r="A118" t="s">
        <v>71</v>
      </c>
      <c r="B118" t="s">
        <v>118</v>
      </c>
      <c r="C118" s="1" t="s">
        <v>119</v>
      </c>
      <c r="D11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c r="E11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row>
    <row r="119" spans="1:5" x14ac:dyDescent="0.2">
      <c r="A119" t="s">
        <v>71</v>
      </c>
      <c r="B119" t="s">
        <v>120</v>
      </c>
      <c r="C119" s="1" t="s">
        <v>121</v>
      </c>
      <c r="D11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c r="E11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row>
    <row r="120" spans="1:5" x14ac:dyDescent="0.2">
      <c r="A120" t="s">
        <v>71</v>
      </c>
      <c r="B120" t="s">
        <v>122</v>
      </c>
      <c r="C120" t="s">
        <v>123</v>
      </c>
      <c r="D120" t="str">
        <f t="shared" si="2"/>
        <v>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c r="E12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row>
    <row r="121" spans="1:5" x14ac:dyDescent="0.2">
      <c r="A121" t="s">
        <v>71</v>
      </c>
      <c r="B121" t="s">
        <v>124</v>
      </c>
      <c r="C121" s="1" t="s">
        <v>125</v>
      </c>
      <c r="D12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c r="E12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row>
    <row r="122" spans="1:5" x14ac:dyDescent="0.2">
      <c r="A122" t="s">
        <v>72</v>
      </c>
      <c r="B122" t="s">
        <v>118</v>
      </c>
      <c r="C122" s="1" t="s">
        <v>119</v>
      </c>
      <c r="D12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c r="E12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row>
    <row r="123" spans="1:5" x14ac:dyDescent="0.2">
      <c r="A123" t="s">
        <v>72</v>
      </c>
      <c r="B123" t="s">
        <v>120</v>
      </c>
      <c r="C123" s="1" t="s">
        <v>121</v>
      </c>
      <c r="D12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c r="E12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row>
    <row r="124" spans="1:5" x14ac:dyDescent="0.2">
      <c r="A124" t="s">
        <v>72</v>
      </c>
      <c r="B124" t="s">
        <v>122</v>
      </c>
      <c r="C124" t="s">
        <v>123</v>
      </c>
      <c r="D124" t="str">
        <f t="shared" si="2"/>
        <v>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c r="E12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row>
    <row r="125" spans="1:5" x14ac:dyDescent="0.2">
      <c r="A125" t="s">
        <v>72</v>
      </c>
      <c r="B125" t="s">
        <v>124</v>
      </c>
      <c r="C125" s="1" t="s">
        <v>125</v>
      </c>
      <c r="D12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c r="E12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row>
    <row r="126" spans="1:5" x14ac:dyDescent="0.2">
      <c r="A126" t="s">
        <v>73</v>
      </c>
      <c r="B126" t="s">
        <v>118</v>
      </c>
      <c r="C126" s="1" t="s">
        <v>119</v>
      </c>
      <c r="D12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E12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127" spans="1:5" x14ac:dyDescent="0.2">
      <c r="A127" t="s">
        <v>73</v>
      </c>
      <c r="B127" t="s">
        <v>120</v>
      </c>
      <c r="C127" s="1" t="s">
        <v>121</v>
      </c>
      <c r="D12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c r="E12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row>
    <row r="128" spans="1:5" x14ac:dyDescent="0.2">
      <c r="A128" t="s">
        <v>73</v>
      </c>
      <c r="B128" t="s">
        <v>122</v>
      </c>
      <c r="C128" t="s">
        <v>123</v>
      </c>
      <c r="D128" t="str">
        <f t="shared" si="2"/>
        <v>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c r="E12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row>
    <row r="129" spans="1:5" x14ac:dyDescent="0.2">
      <c r="A129" t="s">
        <v>73</v>
      </c>
      <c r="B129" t="s">
        <v>124</v>
      </c>
      <c r="C129" s="1" t="s">
        <v>125</v>
      </c>
      <c r="D12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E12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30" spans="1:5" x14ac:dyDescent="0.2">
      <c r="A130" t="s">
        <v>74</v>
      </c>
      <c r="B130" t="s">
        <v>118</v>
      </c>
      <c r="C130" s="1" t="s">
        <v>119</v>
      </c>
      <c r="D13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c r="E13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row>
    <row r="131" spans="1:5" x14ac:dyDescent="0.2">
      <c r="A131" t="s">
        <v>74</v>
      </c>
      <c r="B131" t="s">
        <v>120</v>
      </c>
      <c r="C131" s="1" t="s">
        <v>121</v>
      </c>
      <c r="D131" t="str">
        <f t="shared" ref="D131:D173" si="4">"select '" &amp; B131 &amp; "', '" &amp; B131 &amp; "', w.warehouseid, rt.requesttypeid, '" &amp; C131 &amp; "' from app.requesttype rt, app.warehouselocation w  where rt.description = '" &amp; B131 &amp; "' and w.warehouseshortname = '" &amp; A131 &amp; "'"
&amp; " and not exists (select 1 from app.warehouselocationdetail d, app.warehouselocation w2, app.requesttype rt2 where d.warehouseid = w2.warehouseid and d.requesttypeid = rt2.requesttypeid and w2.warehouseshortname = '" &amp; A131 &amp; "' and rt2.description = '" &amp; B131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c r="E13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row>
    <row r="132" spans="1:5" x14ac:dyDescent="0.2">
      <c r="A132" t="s">
        <v>74</v>
      </c>
      <c r="B132" t="s">
        <v>122</v>
      </c>
      <c r="C132" t="s">
        <v>123</v>
      </c>
      <c r="D132" t="str">
        <f t="shared" si="4"/>
        <v>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c r="E132" t="str">
        <f t="shared" ref="E132:E173" si="5">$D$1 &amp; " " &amp; D132</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row>
    <row r="133" spans="1:5" x14ac:dyDescent="0.2">
      <c r="A133" t="s">
        <v>74</v>
      </c>
      <c r="B133" t="s">
        <v>124</v>
      </c>
      <c r="C133" s="1" t="s">
        <v>125</v>
      </c>
      <c r="D13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c r="E13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row>
    <row r="134" spans="1:5" x14ac:dyDescent="0.2">
      <c r="A134" t="s">
        <v>75</v>
      </c>
      <c r="B134" t="s">
        <v>118</v>
      </c>
      <c r="C134" s="1" t="s">
        <v>119</v>
      </c>
      <c r="D13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E13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135" spans="1:5" x14ac:dyDescent="0.2">
      <c r="A135" t="s">
        <v>75</v>
      </c>
      <c r="B135" t="s">
        <v>120</v>
      </c>
      <c r="C135" s="1" t="s">
        <v>121</v>
      </c>
      <c r="D13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c r="E13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row>
    <row r="136" spans="1:5" x14ac:dyDescent="0.2">
      <c r="A136" t="s">
        <v>75</v>
      </c>
      <c r="B136" t="s">
        <v>122</v>
      </c>
      <c r="C136" t="s">
        <v>123</v>
      </c>
      <c r="D136" t="str">
        <f t="shared" si="4"/>
        <v>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c r="E13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row>
    <row r="137" spans="1:5" x14ac:dyDescent="0.2">
      <c r="A137" t="s">
        <v>75</v>
      </c>
      <c r="B137" t="s">
        <v>124</v>
      </c>
      <c r="C137" s="1" t="s">
        <v>125</v>
      </c>
      <c r="D13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c r="E13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row>
    <row r="138" spans="1:5" x14ac:dyDescent="0.2">
      <c r="A138" t="s">
        <v>111</v>
      </c>
      <c r="B138" t="s">
        <v>118</v>
      </c>
      <c r="C138" s="1" t="s">
        <v>119</v>
      </c>
      <c r="D13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c r="E13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row>
    <row r="139" spans="1:5" x14ac:dyDescent="0.2">
      <c r="A139" t="s">
        <v>111</v>
      </c>
      <c r="B139" t="s">
        <v>120</v>
      </c>
      <c r="C139" s="1" t="s">
        <v>121</v>
      </c>
      <c r="D13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c r="E13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row>
    <row r="140" spans="1:5" x14ac:dyDescent="0.2">
      <c r="A140" t="s">
        <v>111</v>
      </c>
      <c r="B140" t="s">
        <v>122</v>
      </c>
      <c r="C140" t="s">
        <v>123</v>
      </c>
      <c r="D140" t="str">
        <f t="shared" si="4"/>
        <v>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c r="E14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row>
    <row r="141" spans="1:5" x14ac:dyDescent="0.2">
      <c r="A141" t="s">
        <v>111</v>
      </c>
      <c r="B141" t="s">
        <v>124</v>
      </c>
      <c r="C141" s="1" t="s">
        <v>125</v>
      </c>
      <c r="D14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c r="E14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row>
    <row r="142" spans="1:5" x14ac:dyDescent="0.2">
      <c r="A142" t="s">
        <v>76</v>
      </c>
      <c r="B142" t="s">
        <v>118</v>
      </c>
      <c r="C142" s="1" t="s">
        <v>119</v>
      </c>
      <c r="D14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c r="E14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row>
    <row r="143" spans="1:5" x14ac:dyDescent="0.2">
      <c r="A143" t="s">
        <v>76</v>
      </c>
      <c r="B143" t="s">
        <v>120</v>
      </c>
      <c r="C143" s="1" t="s">
        <v>121</v>
      </c>
      <c r="D14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c r="E14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row>
    <row r="144" spans="1:5" x14ac:dyDescent="0.2">
      <c r="A144" t="s">
        <v>76</v>
      </c>
      <c r="B144" t="s">
        <v>122</v>
      </c>
      <c r="C144" t="s">
        <v>123</v>
      </c>
      <c r="D144" t="str">
        <f t="shared" si="4"/>
        <v>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c r="E14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row>
    <row r="145" spans="1:5" x14ac:dyDescent="0.2">
      <c r="A145" t="s">
        <v>76</v>
      </c>
      <c r="B145" t="s">
        <v>124</v>
      </c>
      <c r="C145" s="1" t="s">
        <v>125</v>
      </c>
      <c r="D14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c r="E14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row>
    <row r="146" spans="1:5" x14ac:dyDescent="0.2">
      <c r="A146" t="s">
        <v>112</v>
      </c>
      <c r="B146" t="s">
        <v>118</v>
      </c>
      <c r="C146" s="1" t="s">
        <v>119</v>
      </c>
      <c r="D14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c r="E14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row>
    <row r="147" spans="1:5" x14ac:dyDescent="0.2">
      <c r="A147" t="s">
        <v>112</v>
      </c>
      <c r="B147" t="s">
        <v>120</v>
      </c>
      <c r="C147" s="1" t="s">
        <v>121</v>
      </c>
      <c r="D14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c r="E14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row>
    <row r="148" spans="1:5" x14ac:dyDescent="0.2">
      <c r="A148" t="s">
        <v>112</v>
      </c>
      <c r="B148" t="s">
        <v>122</v>
      </c>
      <c r="C148" t="s">
        <v>123</v>
      </c>
      <c r="D148" t="str">
        <f t="shared" si="4"/>
        <v>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c r="E14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row>
    <row r="149" spans="1:5" x14ac:dyDescent="0.2">
      <c r="A149" t="s">
        <v>112</v>
      </c>
      <c r="B149" t="s">
        <v>124</v>
      </c>
      <c r="C149" s="1" t="s">
        <v>125</v>
      </c>
      <c r="D14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c r="E14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row>
    <row r="150" spans="1:5" x14ac:dyDescent="0.2">
      <c r="A150" t="s">
        <v>77</v>
      </c>
      <c r="B150" t="s">
        <v>118</v>
      </c>
      <c r="C150" s="1" t="s">
        <v>119</v>
      </c>
      <c r="D15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c r="E15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row>
    <row r="151" spans="1:5" x14ac:dyDescent="0.2">
      <c r="A151" t="s">
        <v>77</v>
      </c>
      <c r="B151" t="s">
        <v>120</v>
      </c>
      <c r="C151" s="1" t="s">
        <v>121</v>
      </c>
      <c r="D15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E15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row r="152" spans="1:5" x14ac:dyDescent="0.2">
      <c r="A152" t="s">
        <v>77</v>
      </c>
      <c r="B152" t="s">
        <v>122</v>
      </c>
      <c r="C152" t="s">
        <v>123</v>
      </c>
      <c r="D152" t="str">
        <f t="shared" si="4"/>
        <v>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c r="E15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row>
    <row r="153" spans="1:5" x14ac:dyDescent="0.2">
      <c r="A153" t="s">
        <v>77</v>
      </c>
      <c r="B153" t="s">
        <v>124</v>
      </c>
      <c r="C153" s="1" t="s">
        <v>125</v>
      </c>
      <c r="D15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c r="E15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row>
    <row r="154" spans="1:5" x14ac:dyDescent="0.2">
      <c r="A154" t="s">
        <v>78</v>
      </c>
      <c r="B154" t="s">
        <v>118</v>
      </c>
      <c r="C154" s="1" t="s">
        <v>119</v>
      </c>
      <c r="D15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c r="E15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row>
    <row r="155" spans="1:5" x14ac:dyDescent="0.2">
      <c r="A155" t="s">
        <v>78</v>
      </c>
      <c r="B155" t="s">
        <v>120</v>
      </c>
      <c r="C155" s="1" t="s">
        <v>121</v>
      </c>
      <c r="D15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c r="E15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row>
    <row r="156" spans="1:5" x14ac:dyDescent="0.2">
      <c r="A156" t="s">
        <v>78</v>
      </c>
      <c r="B156" t="s">
        <v>122</v>
      </c>
      <c r="C156" t="s">
        <v>123</v>
      </c>
      <c r="D156" t="str">
        <f t="shared" si="4"/>
        <v>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c r="E15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row>
    <row r="157" spans="1:5" x14ac:dyDescent="0.2">
      <c r="A157" t="s">
        <v>78</v>
      </c>
      <c r="B157" t="s">
        <v>124</v>
      </c>
      <c r="C157" s="1" t="s">
        <v>125</v>
      </c>
      <c r="D15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E15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58" spans="1:5" x14ac:dyDescent="0.2">
      <c r="A158" t="s">
        <v>79</v>
      </c>
      <c r="B158" t="s">
        <v>118</v>
      </c>
      <c r="C158" s="1" t="s">
        <v>119</v>
      </c>
      <c r="D15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c r="E15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row>
    <row r="159" spans="1:5" x14ac:dyDescent="0.2">
      <c r="A159" t="s">
        <v>79</v>
      </c>
      <c r="B159" t="s">
        <v>120</v>
      </c>
      <c r="C159" s="1" t="s">
        <v>121</v>
      </c>
      <c r="D15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c r="E15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row>
    <row r="160" spans="1:5" x14ac:dyDescent="0.2">
      <c r="A160" t="s">
        <v>79</v>
      </c>
      <c r="B160" t="s">
        <v>122</v>
      </c>
      <c r="C160" t="s">
        <v>123</v>
      </c>
      <c r="D160" t="str">
        <f t="shared" si="4"/>
        <v>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c r="E16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row>
    <row r="161" spans="1:5" x14ac:dyDescent="0.2">
      <c r="A161" t="s">
        <v>79</v>
      </c>
      <c r="B161" t="s">
        <v>124</v>
      </c>
      <c r="C161" s="1" t="s">
        <v>125</v>
      </c>
      <c r="D16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c r="E16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row>
    <row r="162" spans="1:5" x14ac:dyDescent="0.2">
      <c r="A162" t="s">
        <v>80</v>
      </c>
      <c r="B162" t="s">
        <v>118</v>
      </c>
      <c r="C162" s="1" t="s">
        <v>119</v>
      </c>
      <c r="D16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c r="E16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row>
    <row r="163" spans="1:5" x14ac:dyDescent="0.2">
      <c r="A163" t="s">
        <v>80</v>
      </c>
      <c r="B163" t="s">
        <v>120</v>
      </c>
      <c r="C163" s="1" t="s">
        <v>121</v>
      </c>
      <c r="D16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c r="E16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row>
    <row r="164" spans="1:5" x14ac:dyDescent="0.2">
      <c r="A164" t="s">
        <v>80</v>
      </c>
      <c r="B164" t="s">
        <v>122</v>
      </c>
      <c r="C164" t="s">
        <v>123</v>
      </c>
      <c r="D164" t="str">
        <f t="shared" si="4"/>
        <v>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c r="E16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row>
    <row r="165" spans="1:5" x14ac:dyDescent="0.2">
      <c r="A165" t="s">
        <v>80</v>
      </c>
      <c r="B165" t="s">
        <v>124</v>
      </c>
      <c r="C165" s="1" t="s">
        <v>125</v>
      </c>
      <c r="D16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c r="E16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row>
    <row r="166" spans="1:5" x14ac:dyDescent="0.2">
      <c r="A166" t="s">
        <v>114</v>
      </c>
      <c r="B166" t="s">
        <v>118</v>
      </c>
      <c r="C166" s="1" t="s">
        <v>119</v>
      </c>
      <c r="D16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c r="E16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row>
    <row r="167" spans="1:5" x14ac:dyDescent="0.2">
      <c r="A167" t="s">
        <v>114</v>
      </c>
      <c r="B167" t="s">
        <v>120</v>
      </c>
      <c r="C167" s="1" t="s">
        <v>121</v>
      </c>
      <c r="D16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c r="E16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row>
    <row r="168" spans="1:5" x14ac:dyDescent="0.2">
      <c r="A168" t="s">
        <v>114</v>
      </c>
      <c r="B168" t="s">
        <v>122</v>
      </c>
      <c r="C168" t="s">
        <v>123</v>
      </c>
      <c r="D168" t="str">
        <f t="shared" si="4"/>
        <v>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c r="E16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row>
    <row r="169" spans="1:5" x14ac:dyDescent="0.2">
      <c r="A169" t="s">
        <v>114</v>
      </c>
      <c r="B169" t="s">
        <v>124</v>
      </c>
      <c r="C169" s="1" t="s">
        <v>125</v>
      </c>
      <c r="D16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c r="E16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row>
    <row r="170" spans="1:5" x14ac:dyDescent="0.2">
      <c r="A170" t="s">
        <v>81</v>
      </c>
      <c r="B170" t="s">
        <v>118</v>
      </c>
      <c r="C170" s="1" t="s">
        <v>119</v>
      </c>
      <c r="D17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c r="E17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row>
    <row r="171" spans="1:5" x14ac:dyDescent="0.2">
      <c r="A171" t="s">
        <v>81</v>
      </c>
      <c r="B171" t="s">
        <v>120</v>
      </c>
      <c r="C171" s="1" t="s">
        <v>121</v>
      </c>
      <c r="D17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c r="E17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row>
    <row r="172" spans="1:5" x14ac:dyDescent="0.2">
      <c r="A172" t="s">
        <v>81</v>
      </c>
      <c r="B172" t="s">
        <v>122</v>
      </c>
      <c r="C172" t="s">
        <v>123</v>
      </c>
      <c r="D172" t="str">
        <f t="shared" si="4"/>
        <v>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c r="E17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row>
    <row r="173" spans="1:5" x14ac:dyDescent="0.2">
      <c r="A173" t="s">
        <v>81</v>
      </c>
      <c r="B173" t="s">
        <v>124</v>
      </c>
      <c r="C173" s="1" t="s">
        <v>125</v>
      </c>
      <c r="D17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c r="E17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row>
  </sheetData>
  <autoFilter ref="A1:C173" xr:uid="{E34246D5-4CB0-4AEE-BEFA-86B8E8C773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E8FC-781F-47CE-ADB8-1430EE7A86C8}">
  <dimension ref="A1:B4"/>
  <sheetViews>
    <sheetView workbookViewId="0">
      <selection sqref="A1:A4"/>
    </sheetView>
  </sheetViews>
  <sheetFormatPr baseColWidth="10" defaultColWidth="8.83203125" defaultRowHeight="15" x14ac:dyDescent="0.2"/>
  <sheetData>
    <row r="1" spans="1:2" x14ac:dyDescent="0.2">
      <c r="A1" t="s">
        <v>126</v>
      </c>
    </row>
    <row r="2" spans="1:2" x14ac:dyDescent="0.2">
      <c r="A2" t="s">
        <v>127</v>
      </c>
    </row>
    <row r="3" spans="1:2" x14ac:dyDescent="0.2">
      <c r="A3" t="s">
        <v>128</v>
      </c>
    </row>
    <row r="4" spans="1:2" x14ac:dyDescent="0.2">
      <c r="B4" t="s">
        <v>129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35BE-FD0B-45F4-BAB1-1A84E3910F47}">
  <dimension ref="A1:D16"/>
  <sheetViews>
    <sheetView workbookViewId="0">
      <selection activeCell="C35" sqref="C35"/>
    </sheetView>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124</v>
      </c>
      <c r="D1" t="s">
        <v>130</v>
      </c>
    </row>
    <row r="2" spans="1:4" x14ac:dyDescent="0.2">
      <c r="A2" t="s">
        <v>23</v>
      </c>
      <c r="C2" t="s">
        <v>131</v>
      </c>
      <c r="D2" t="s">
        <v>132</v>
      </c>
    </row>
    <row r="3" spans="1:4" x14ac:dyDescent="0.2">
      <c r="A3" t="s">
        <v>45</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D3" t="str">
        <f t="shared" ref="D3:D16" si="0">$D$1 &amp; " " &amp; C3</f>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4" spans="1:4" x14ac:dyDescent="0.2">
      <c r="A4" t="s">
        <v>49</v>
      </c>
      <c r="C4" t="str">
        <f t="shared" ref="C4:C16" si="1">"select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D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5" spans="1:4" x14ac:dyDescent="0.2">
      <c r="A5" t="s">
        <v>55</v>
      </c>
      <c r="C5" t="str">
        <f t="shared" si="1"/>
        <v>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D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6" spans="1:4" x14ac:dyDescent="0.2">
      <c r="A6" t="s">
        <v>56</v>
      </c>
      <c r="C6" t="str">
        <f t="shared" si="1"/>
        <v>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D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7" spans="1:4" x14ac:dyDescent="0.2">
      <c r="A7" t="s">
        <v>61</v>
      </c>
      <c r="C7" t="str">
        <f t="shared" si="1"/>
        <v>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D7"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 spans="1:4" x14ac:dyDescent="0.2">
      <c r="A8" t="s">
        <v>62</v>
      </c>
      <c r="C8" t="str">
        <f t="shared" si="1"/>
        <v>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D8"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9" spans="1:4" x14ac:dyDescent="0.2">
      <c r="A9" t="s">
        <v>64</v>
      </c>
      <c r="C9"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9"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0" spans="1:4" x14ac:dyDescent="0.2">
      <c r="A10" t="s">
        <v>64</v>
      </c>
      <c r="C10"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10"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1" spans="1:4" x14ac:dyDescent="0.2">
      <c r="A11" t="s">
        <v>65</v>
      </c>
      <c r="C11" t="str">
        <f t="shared" si="1"/>
        <v>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D11"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12" spans="1:4" x14ac:dyDescent="0.2">
      <c r="A12" t="s">
        <v>67</v>
      </c>
      <c r="C12" t="str">
        <f t="shared" si="1"/>
        <v>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D12"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3" spans="1:4" x14ac:dyDescent="0.2">
      <c r="A13" t="s">
        <v>69</v>
      </c>
      <c r="C13" t="str">
        <f t="shared" si="1"/>
        <v>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D13"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4" spans="1:4" x14ac:dyDescent="0.2">
      <c r="A14" t="s">
        <v>73</v>
      </c>
      <c r="C14" t="str">
        <f t="shared" si="1"/>
        <v>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D1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5" spans="1:4" x14ac:dyDescent="0.2">
      <c r="A15" t="s">
        <v>78</v>
      </c>
      <c r="C15" t="str">
        <f t="shared" si="1"/>
        <v>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D1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6" spans="1:4" x14ac:dyDescent="0.2">
      <c r="A16" t="s">
        <v>133</v>
      </c>
      <c r="C16" t="str">
        <f t="shared" si="1"/>
        <v>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c r="D1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row>
  </sheetData>
  <sortState xmlns:xlrd2="http://schemas.microsoft.com/office/spreadsheetml/2017/richdata2" ref="A1:A16">
    <sortCondition ref="A3:A1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BC40-FDD9-49F7-A18F-1C674847FE54}">
  <dimension ref="A1:C40"/>
  <sheetViews>
    <sheetView workbookViewId="0">
      <selection activeCell="B50" sqref="A1:XFD1048576"/>
    </sheetView>
  </sheetViews>
  <sheetFormatPr baseColWidth="10" defaultColWidth="8.83203125" defaultRowHeight="15" x14ac:dyDescent="0.2"/>
  <cols>
    <col min="2" max="2" width="131" customWidth="1"/>
    <col min="3" max="3" width="64.6640625" customWidth="1"/>
  </cols>
  <sheetData>
    <row r="1" spans="1:3" x14ac:dyDescent="0.2">
      <c r="B1" t="s">
        <v>124</v>
      </c>
    </row>
    <row r="2" spans="1:3" x14ac:dyDescent="0.2">
      <c r="A2" t="s">
        <v>23</v>
      </c>
      <c r="B2" t="s">
        <v>35</v>
      </c>
      <c r="C2" t="s">
        <v>36</v>
      </c>
    </row>
    <row r="3" spans="1:3" ht="16" x14ac:dyDescent="0.2">
      <c r="A3" s="3" t="s">
        <v>37</v>
      </c>
      <c r="B3" t="s">
        <v>134</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w.warehouseshortname='ABQ') and requesttypeid=(select rt.requesttypeid from app.requesttype rt where rt.description='will-call-alert');</v>
      </c>
    </row>
    <row r="4" spans="1:3" ht="16" x14ac:dyDescent="0.2">
      <c r="A4" s="3" t="s">
        <v>45</v>
      </c>
      <c r="B4" t="s">
        <v>134</v>
      </c>
      <c r="C4" t="str">
        <f t="shared" ref="C4:C40"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w.warehouseshortname='ARK') and requesttypeid=(select rt.requesttypeid from app.requesttype rt where rt.description='will-call-alert');</v>
      </c>
    </row>
    <row r="5" spans="1:3" ht="16" x14ac:dyDescent="0.2">
      <c r="A5" s="3" t="s">
        <v>46</v>
      </c>
      <c r="B5" t="s">
        <v>134</v>
      </c>
      <c r="C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w.warehouseshortname='ASH') and requesttypeid=(select rt.requesttypeid from app.requesttype rt where rt.description='will-call-alert');</v>
      </c>
    </row>
    <row r="6" spans="1:3" ht="16" x14ac:dyDescent="0.2">
      <c r="A6" s="3" t="s">
        <v>47</v>
      </c>
      <c r="B6" t="s">
        <v>134</v>
      </c>
      <c r="C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w.warehouseshortname='ATL') and requesttypeid=(select rt.requesttypeid from app.requesttype rt where rt.description='will-call-alert');</v>
      </c>
    </row>
    <row r="7" spans="1:3" ht="16" x14ac:dyDescent="0.2">
      <c r="A7" s="3" t="s">
        <v>48</v>
      </c>
      <c r="B7" t="s">
        <v>134</v>
      </c>
      <c r="C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w.warehouseshortname='AUB') and requesttypeid=(select rt.requesttypeid from app.requesttype rt where rt.description='will-call-alert');</v>
      </c>
    </row>
    <row r="8" spans="1:3" ht="16" x14ac:dyDescent="0.2">
      <c r="A8" s="3" t="s">
        <v>49</v>
      </c>
      <c r="B8" t="s">
        <v>134</v>
      </c>
      <c r="C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w.warehouseshortname='CCR') and requesttypeid=(select rt.requesttypeid from app.requesttype rt where rt.description='will-call-alert');</v>
      </c>
    </row>
    <row r="9" spans="1:3" ht="16" x14ac:dyDescent="0.2">
      <c r="A9" s="3" t="s">
        <v>50</v>
      </c>
      <c r="B9" t="s">
        <v>134</v>
      </c>
      <c r="C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w.warehouseshortname='COL') and requesttypeid=(select rt.requesttypeid from app.requesttype rt where rt.description='will-call-alert');</v>
      </c>
    </row>
    <row r="10" spans="1:3" ht="16" x14ac:dyDescent="0.2">
      <c r="A10" s="3" t="s">
        <v>51</v>
      </c>
      <c r="B10" t="s">
        <v>134</v>
      </c>
      <c r="C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w.warehouseshortname='DEN') and requesttypeid=(select rt.requesttypeid from app.requesttype rt where rt.description='will-call-alert');</v>
      </c>
    </row>
    <row r="11" spans="1:3" ht="16" x14ac:dyDescent="0.2">
      <c r="A11" s="3" t="s">
        <v>52</v>
      </c>
      <c r="B11" t="s">
        <v>134</v>
      </c>
      <c r="C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w.warehouseshortname='DFB') and requesttypeid=(select rt.requesttypeid from app.requesttype rt where rt.description='will-call-alert');</v>
      </c>
    </row>
    <row r="12" spans="1:3" ht="16" x14ac:dyDescent="0.2">
      <c r="A12" s="3" t="s">
        <v>53</v>
      </c>
      <c r="B12" t="s">
        <v>134</v>
      </c>
      <c r="C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w.warehouseshortname='ELP') and requesttypeid=(select rt.requesttypeid from app.requesttype rt where rt.description='will-call-alert');</v>
      </c>
    </row>
    <row r="13" spans="1:3" ht="16" x14ac:dyDescent="0.2">
      <c r="A13" s="3" t="s">
        <v>54</v>
      </c>
      <c r="B13" t="s">
        <v>134</v>
      </c>
      <c r="C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w.warehouseshortname='FAR') and requesttypeid=(select rt.requesttypeid from app.requesttype rt where rt.description='will-call-alert');</v>
      </c>
    </row>
    <row r="14" spans="1:3" ht="16" x14ac:dyDescent="0.2">
      <c r="A14" s="3" t="s">
        <v>55</v>
      </c>
      <c r="B14" t="s">
        <v>134</v>
      </c>
      <c r="C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w.warehouseshortname='GRP') and requesttypeid=(select rt.requesttypeid from app.requesttype rt where rt.description='will-call-alert');</v>
      </c>
    </row>
    <row r="15" spans="1:3" ht="16" x14ac:dyDescent="0.2">
      <c r="A15" s="3" t="s">
        <v>56</v>
      </c>
      <c r="B15" t="s">
        <v>134</v>
      </c>
      <c r="C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w.warehouseshortname='HAW') and requesttypeid=(select rt.requesttypeid from app.requesttype rt where rt.description='will-call-alert');</v>
      </c>
    </row>
    <row r="16" spans="1:3" ht="16" x14ac:dyDescent="0.2">
      <c r="A16" s="3" t="s">
        <v>57</v>
      </c>
      <c r="B16" t="s">
        <v>134</v>
      </c>
      <c r="C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w.warehouseshortname='HOU') and requesttypeid=(select rt.requesttypeid from app.requesttype rt where rt.description='will-call-alert');</v>
      </c>
    </row>
    <row r="17" spans="1:3" ht="16" x14ac:dyDescent="0.2">
      <c r="A17" s="3" t="s">
        <v>58</v>
      </c>
      <c r="B17" t="s">
        <v>134</v>
      </c>
      <c r="C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w.warehouseshortname='IND') and requesttypeid=(select rt.requesttypeid from app.requesttype rt where rt.description='will-call-alert');</v>
      </c>
    </row>
    <row r="18" spans="1:3" ht="16" x14ac:dyDescent="0.2">
      <c r="A18" s="3" t="s">
        <v>59</v>
      </c>
      <c r="B18" t="s">
        <v>134</v>
      </c>
      <c r="C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w.warehouseshortname='JAC') and requesttypeid=(select rt.requesttypeid from app.requesttype rt where rt.description='will-call-alert');</v>
      </c>
    </row>
    <row r="19" spans="1:3" ht="16" x14ac:dyDescent="0.2">
      <c r="A19" s="3" t="s">
        <v>60</v>
      </c>
      <c r="B19" t="s">
        <v>134</v>
      </c>
      <c r="C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w.warehouseshortname='JES') and requesttypeid=(select rt.requesttypeid from app.requesttype rt where rt.description='will-call-alert');</v>
      </c>
    </row>
    <row r="20" spans="1:3" ht="16" x14ac:dyDescent="0.2">
      <c r="A20" s="3" t="s">
        <v>61</v>
      </c>
      <c r="B20" t="s">
        <v>134</v>
      </c>
      <c r="C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w.warehouseshortname='KAP') and requesttypeid=(select rt.requesttypeid from app.requesttype rt where rt.description='will-call-alert');</v>
      </c>
    </row>
    <row r="21" spans="1:3" ht="16" x14ac:dyDescent="0.2">
      <c r="A21" s="3" t="s">
        <v>62</v>
      </c>
      <c r="B21" t="s">
        <v>134</v>
      </c>
      <c r="C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w.warehouseshortname='KAU') and requesttypeid=(select rt.requesttypeid from app.requesttype rt where rt.description='will-call-alert');</v>
      </c>
    </row>
    <row r="22" spans="1:3" ht="16" x14ac:dyDescent="0.2">
      <c r="A22" s="3" t="s">
        <v>63</v>
      </c>
      <c r="B22" t="s">
        <v>134</v>
      </c>
      <c r="C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w.warehouseshortname='LAF') and requesttypeid=(select rt.requesttypeid from app.requesttype rt where rt.description='will-call-alert');</v>
      </c>
    </row>
    <row r="23" spans="1:3" ht="16" x14ac:dyDescent="0.2">
      <c r="A23" s="3" t="s">
        <v>64</v>
      </c>
      <c r="B23" t="s">
        <v>134</v>
      </c>
      <c r="C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w.warehouseshortname='LIV') and requesttypeid=(select rt.requesttypeid from app.requesttype rt where rt.description='will-call-alert');</v>
      </c>
    </row>
    <row r="24" spans="1:3" ht="16" x14ac:dyDescent="0.2">
      <c r="A24" s="3" t="s">
        <v>65</v>
      </c>
      <c r="B24" t="s">
        <v>134</v>
      </c>
      <c r="C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w.warehouseshortname='LOU') and requesttypeid=(select rt.requesttypeid from app.requesttype rt where rt.description='will-call-alert');</v>
      </c>
    </row>
    <row r="25" spans="1:3" ht="16" x14ac:dyDescent="0.2">
      <c r="A25" s="3" t="s">
        <v>66</v>
      </c>
      <c r="B25" t="s">
        <v>134</v>
      </c>
      <c r="C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w.warehouseshortname='LUB') and requesttypeid=(select rt.requesttypeid from app.requesttype rt where rt.description='will-call-alert');</v>
      </c>
    </row>
    <row r="26" spans="1:3" ht="16" x14ac:dyDescent="0.2">
      <c r="A26" s="3" t="s">
        <v>67</v>
      </c>
      <c r="B26" t="s">
        <v>134</v>
      </c>
      <c r="C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w.warehouseshortname='MAU') and requesttypeid=(select rt.requesttypeid from app.requesttype rt where rt.description='will-call-alert');</v>
      </c>
    </row>
    <row r="27" spans="1:3" ht="16" x14ac:dyDescent="0.2">
      <c r="A27" s="3" t="s">
        <v>68</v>
      </c>
      <c r="B27" t="s">
        <v>134</v>
      </c>
      <c r="C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w.warehouseshortname='NEW') and requesttypeid=(select rt.requesttypeid from app.requesttype rt where rt.description='will-call-alert');</v>
      </c>
    </row>
    <row r="28" spans="1:3" ht="16" x14ac:dyDescent="0.2">
      <c r="A28" s="3" t="s">
        <v>69</v>
      </c>
      <c r="B28" t="s">
        <v>134</v>
      </c>
      <c r="C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w.warehouseshortname='OAH') and requesttypeid=(select rt.requesttypeid from app.requesttype rt where rt.description='will-call-alert');</v>
      </c>
    </row>
    <row r="29" spans="1:3" ht="16" x14ac:dyDescent="0.2">
      <c r="A29" s="3" t="s">
        <v>70</v>
      </c>
      <c r="B29" t="s">
        <v>134</v>
      </c>
      <c r="C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w.warehouseshortname='OKL') and requesttypeid=(select rt.requesttypeid from app.requesttype rt where rt.description='will-call-alert');</v>
      </c>
    </row>
    <row r="30" spans="1:3" ht="16" x14ac:dyDescent="0.2">
      <c r="A30" s="3" t="s">
        <v>71</v>
      </c>
      <c r="B30" t="s">
        <v>134</v>
      </c>
      <c r="C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w.warehouseshortname='OMA') and requesttypeid=(select rt.requesttypeid from app.requesttype rt where rt.description='will-call-alert');</v>
      </c>
    </row>
    <row r="31" spans="1:3" ht="16" x14ac:dyDescent="0.2">
      <c r="A31" s="3" t="s">
        <v>72</v>
      </c>
      <c r="B31" t="s">
        <v>134</v>
      </c>
      <c r="C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w.warehouseshortname='ORL') and requesttypeid=(select rt.requesttypeid from app.requesttype rt where rt.description='will-call-alert');</v>
      </c>
    </row>
    <row r="32" spans="1:3" ht="16" x14ac:dyDescent="0.2">
      <c r="A32" s="3" t="s">
        <v>73</v>
      </c>
      <c r="B32" t="s">
        <v>134</v>
      </c>
      <c r="C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w.warehouseshortname='PEN') and requesttypeid=(select rt.requesttypeid from app.requesttype rt where rt.description='will-call-alert');</v>
      </c>
    </row>
    <row r="33" spans="1:3" ht="16" x14ac:dyDescent="0.2">
      <c r="A33" s="3" t="s">
        <v>74</v>
      </c>
      <c r="B33" t="s">
        <v>134</v>
      </c>
      <c r="C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w.warehouseshortname='PHO') and requesttypeid=(select rt.requesttypeid from app.requesttype rt where rt.description='will-call-alert');</v>
      </c>
    </row>
    <row r="34" spans="1:3" ht="16" x14ac:dyDescent="0.2">
      <c r="A34" s="3" t="s">
        <v>75</v>
      </c>
      <c r="B34" t="s">
        <v>134</v>
      </c>
      <c r="C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w.warehouseshortname='POR') and requesttypeid=(select rt.requesttypeid from app.requesttype rt where rt.description='will-call-alert');</v>
      </c>
    </row>
    <row r="35" spans="1:3" ht="16" x14ac:dyDescent="0.2">
      <c r="A35" s="3" t="s">
        <v>76</v>
      </c>
      <c r="B35" t="s">
        <v>134</v>
      </c>
      <c r="C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w.warehouseshortname='ROM') and requesttypeid=(select rt.requesttypeid from app.requesttype rt where rt.description='will-call-alert');</v>
      </c>
    </row>
    <row r="36" spans="1:3" ht="16" x14ac:dyDescent="0.2">
      <c r="A36" s="3" t="s">
        <v>77</v>
      </c>
      <c r="B36" t="s">
        <v>134</v>
      </c>
      <c r="C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w.warehouseshortname='SAA') and requesttypeid=(select rt.requesttypeid from app.requesttype rt where rt.description='will-call-alert');</v>
      </c>
    </row>
    <row r="37" spans="1:3" ht="16" x14ac:dyDescent="0.2">
      <c r="A37" s="3" t="s">
        <v>78</v>
      </c>
      <c r="B37" t="s">
        <v>134</v>
      </c>
      <c r="C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w.warehouseshortname='SIO') and requesttypeid=(select rt.requesttypeid from app.requesttype rt where rt.description='will-call-alert');</v>
      </c>
    </row>
    <row r="38" spans="1:3" ht="16" x14ac:dyDescent="0.2">
      <c r="A38" s="3" t="s">
        <v>79</v>
      </c>
      <c r="B38" t="s">
        <v>134</v>
      </c>
      <c r="C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w.warehouseshortname='TAM') and requesttypeid=(select rt.requesttypeid from app.requesttype rt where rt.description='will-call-alert');</v>
      </c>
    </row>
    <row r="39" spans="1:3" ht="16" x14ac:dyDescent="0.2">
      <c r="A39" s="3" t="s">
        <v>80</v>
      </c>
      <c r="B39" t="s">
        <v>134</v>
      </c>
      <c r="C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w.warehouseshortname='TOL') and requesttypeid=(select rt.requesttypeid from app.requesttype rt where rt.description='will-call-alert');</v>
      </c>
    </row>
    <row r="40" spans="1:3" ht="16" x14ac:dyDescent="0.2">
      <c r="A40" s="3" t="s">
        <v>81</v>
      </c>
      <c r="B40" t="s">
        <v>134</v>
      </c>
      <c r="C4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w.warehouseshortname='WSD') and requesttypeid=(select rt.requesttypeid from app.requesttype rt where rt.description='will-call-alert');</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41C3-8BCE-4B11-BF52-543B3CB4FADD}">
  <dimension ref="A1"/>
  <sheetViews>
    <sheetView workbookViewId="0">
      <selection sqref="A1:XFD1048576"/>
    </sheetView>
  </sheetViews>
  <sheetFormatPr baseColWidth="10" defaultColWidth="8.83203125" defaultRowHeight="1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AF82-EF0D-426B-BFDF-564E5BA8A02A}">
  <dimension ref="A1:D7"/>
  <sheetViews>
    <sheetView workbookViewId="0">
      <selection activeCell="C3" sqref="C3"/>
    </sheetView>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120</v>
      </c>
      <c r="D1" t="s">
        <v>130</v>
      </c>
    </row>
    <row r="2" spans="1:4" x14ac:dyDescent="0.2">
      <c r="A2" t="s">
        <v>23</v>
      </c>
      <c r="C2" t="s">
        <v>131</v>
      </c>
      <c r="D2" t="s">
        <v>132</v>
      </c>
    </row>
    <row r="3" spans="1:4" ht="64" x14ac:dyDescent="0.2">
      <c r="A3" t="s">
        <v>55</v>
      </c>
      <c r="C3" s="2"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D3" t="str">
        <f>$D$1 &amp; " " &amp; C3</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4" spans="1:4" x14ac:dyDescent="0.2">
      <c r="A4" t="s">
        <v>57</v>
      </c>
      <c r="C4" t="str">
        <f t="shared" ref="C4:C7"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D4" t="str">
        <f>$D$1 &amp; " " &amp; C4</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5" spans="1:4" x14ac:dyDescent="0.2">
      <c r="A5" t="s">
        <v>66</v>
      </c>
      <c r="C5" t="str">
        <f t="shared" si="0"/>
        <v>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D5" t="str">
        <f>$D$1 &amp; " " &amp; C5</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6" spans="1:4" x14ac:dyDescent="0.2">
      <c r="A6" t="s">
        <v>53</v>
      </c>
      <c r="C6" t="str">
        <f t="shared" si="0"/>
        <v>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D6" t="str">
        <f>$D$1 &amp; " " &amp; C6</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7" spans="1:4" x14ac:dyDescent="0.2">
      <c r="A7" t="s">
        <v>77</v>
      </c>
      <c r="C7" t="str">
        <f t="shared" si="0"/>
        <v>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D7" t="str">
        <f>$D$1 &amp; " " &amp; C7</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0D64-C385-4B1F-AE4C-02C0C888AB9F}">
  <dimension ref="A1:C41"/>
  <sheetViews>
    <sheetView workbookViewId="0">
      <selection activeCell="B4" sqref="B4"/>
    </sheetView>
  </sheetViews>
  <sheetFormatPr baseColWidth="10" defaultColWidth="8.83203125" defaultRowHeight="15" x14ac:dyDescent="0.2"/>
  <cols>
    <col min="2" max="2" width="49.83203125" customWidth="1"/>
    <col min="3" max="3" width="64.6640625" customWidth="1"/>
  </cols>
  <sheetData>
    <row r="1" spans="1:3" x14ac:dyDescent="0.2">
      <c r="B1" t="s">
        <v>120</v>
      </c>
    </row>
    <row r="2" spans="1:3" x14ac:dyDescent="0.2">
      <c r="A2" t="s">
        <v>23</v>
      </c>
      <c r="B2" t="s">
        <v>35</v>
      </c>
      <c r="C2" t="s">
        <v>36</v>
      </c>
    </row>
    <row r="3" spans="1:3" x14ac:dyDescent="0.2">
      <c r="A3" t="s">
        <v>55</v>
      </c>
      <c r="B3" t="s">
        <v>135</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w.warehouseshortname='GRP') and requesttypeid=(select rt.requesttypeid from app.requesttype rt where rt.description='fs-asw-asn-error');</v>
      </c>
    </row>
    <row r="4" spans="1:3" x14ac:dyDescent="0.2">
      <c r="A4" t="s">
        <v>57</v>
      </c>
      <c r="B4" t="s">
        <v>136</v>
      </c>
      <c r="C4" t="str">
        <f t="shared" ref="C4:C41"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w.warehouseshortname='HOU') and requesttypeid=(select rt.requesttypeid from app.requesttype rt where rt.description='fs-asw-asn-error');</v>
      </c>
    </row>
    <row r="5" spans="1:3" x14ac:dyDescent="0.2">
      <c r="A5" t="s">
        <v>66</v>
      </c>
      <c r="B5" t="s">
        <v>137</v>
      </c>
      <c r="C5" t="str">
        <f t="shared" si="0"/>
        <v>update app.warehouselocationdetail set payload = '{"emailContent":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w.warehouseshortname='LUB') and requesttypeid=(select rt.requesttypeid from app.requesttype rt where rt.description='fs-asw-asn-error');</v>
      </c>
    </row>
    <row r="6" spans="1:3" x14ac:dyDescent="0.2">
      <c r="A6" t="s">
        <v>53</v>
      </c>
      <c r="B6" t="s">
        <v>138</v>
      </c>
      <c r="C6" t="str">
        <f t="shared" si="0"/>
        <v>update app.warehouselocationdetail set payload = '{"emailContent":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 where warehouseid = (select w.warehouseid from app.warehouselocation w where w.warehouseshortname='ELP') and requesttypeid=(select rt.requesttypeid from app.requesttype rt where rt.description='fs-asw-asn-error');</v>
      </c>
    </row>
    <row r="7" spans="1:3" x14ac:dyDescent="0.2">
      <c r="A7" t="s">
        <v>77</v>
      </c>
      <c r="B7" s="1" t="s">
        <v>139</v>
      </c>
      <c r="C7" t="str">
        <f t="shared" si="0"/>
        <v>update app.warehouselocationdetail set payload = '{"emailContent":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 where warehouseid = (select w.warehouseid from app.warehouselocation w where w.warehouseshortname='SAA') and requesttypeid=(select rt.requesttypeid from app.requesttype rt where rt.description='fs-asw-asn-error');</v>
      </c>
    </row>
    <row r="8" spans="1:3" x14ac:dyDescent="0.2">
      <c r="B8" s="1"/>
    </row>
    <row r="9" spans="1:3" ht="16" x14ac:dyDescent="0.2">
      <c r="A9" s="3" t="s">
        <v>37</v>
      </c>
      <c r="B9" s="1" t="s">
        <v>140</v>
      </c>
      <c r="C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w.warehouseshortname='ABQ') and requesttypeid=(select rt.requesttypeid from app.requesttype rt where rt.description='fs-asw-asn-error');</v>
      </c>
    </row>
    <row r="10" spans="1:3" ht="16" x14ac:dyDescent="0.2">
      <c r="A10" s="3" t="s">
        <v>45</v>
      </c>
      <c r="B10" s="1" t="s">
        <v>140</v>
      </c>
      <c r="C1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w.warehouseshortname='ARK') and requesttypeid=(select rt.requesttypeid from app.requesttype rt where rt.description='fs-asw-asn-error');</v>
      </c>
    </row>
    <row r="11" spans="1:3" ht="16" x14ac:dyDescent="0.2">
      <c r="A11" s="3" t="s">
        <v>46</v>
      </c>
      <c r="B11" s="1" t="s">
        <v>140</v>
      </c>
      <c r="C1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w.warehouseshortname='ASH') and requesttypeid=(select rt.requesttypeid from app.requesttype rt where rt.description='fs-asw-asn-error');</v>
      </c>
    </row>
    <row r="12" spans="1:3" ht="16" x14ac:dyDescent="0.2">
      <c r="A12" s="3" t="s">
        <v>47</v>
      </c>
      <c r="B12" s="1" t="s">
        <v>140</v>
      </c>
      <c r="C1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w.warehouseshortname='ATL') and requesttypeid=(select rt.requesttypeid from app.requesttype rt where rt.description='fs-asw-asn-error');</v>
      </c>
    </row>
    <row r="13" spans="1:3" ht="16" x14ac:dyDescent="0.2">
      <c r="A13" s="3" t="s">
        <v>48</v>
      </c>
      <c r="B13" s="1" t="s">
        <v>140</v>
      </c>
      <c r="C1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w.warehouseshortname='AUB') and requesttypeid=(select rt.requesttypeid from app.requesttype rt where rt.description='fs-asw-asn-error');</v>
      </c>
    </row>
    <row r="14" spans="1:3" ht="16" x14ac:dyDescent="0.2">
      <c r="A14" s="3" t="s">
        <v>49</v>
      </c>
      <c r="B14" s="1" t="s">
        <v>140</v>
      </c>
      <c r="C1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w.warehouseshortname='CCR') and requesttypeid=(select rt.requesttypeid from app.requesttype rt where rt.description='fs-asw-asn-error');</v>
      </c>
    </row>
    <row r="15" spans="1:3" ht="16" x14ac:dyDescent="0.2">
      <c r="A15" s="3" t="s">
        <v>50</v>
      </c>
      <c r="B15" s="1" t="s">
        <v>140</v>
      </c>
      <c r="C1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w.warehouseshortname='COL') and requesttypeid=(select rt.requesttypeid from app.requesttype rt where rt.description='fs-asw-asn-error');</v>
      </c>
    </row>
    <row r="16" spans="1:3" ht="16" x14ac:dyDescent="0.2">
      <c r="A16" s="3" t="s">
        <v>51</v>
      </c>
      <c r="B16" s="1" t="s">
        <v>140</v>
      </c>
      <c r="C1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w.warehouseshortname='DEN') and requesttypeid=(select rt.requesttypeid from app.requesttype rt where rt.description='fs-asw-asn-error');</v>
      </c>
    </row>
    <row r="17" spans="1:3" ht="16" x14ac:dyDescent="0.2">
      <c r="A17" s="3" t="s">
        <v>52</v>
      </c>
      <c r="B17" s="1" t="s">
        <v>140</v>
      </c>
      <c r="C1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w.warehouseshortname='DFB') and requesttypeid=(select rt.requesttypeid from app.requesttype rt where rt.description='fs-asw-asn-error');</v>
      </c>
    </row>
    <row r="18" spans="1:3" ht="16" x14ac:dyDescent="0.2">
      <c r="A18" s="3" t="s">
        <v>54</v>
      </c>
      <c r="B18" s="1" t="s">
        <v>140</v>
      </c>
      <c r="C1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w.warehouseshortname='FAR') and requesttypeid=(select rt.requesttypeid from app.requesttype rt where rt.description='fs-asw-asn-error');</v>
      </c>
    </row>
    <row r="19" spans="1:3" ht="16" x14ac:dyDescent="0.2">
      <c r="A19" s="3" t="s">
        <v>56</v>
      </c>
      <c r="B19" s="1" t="s">
        <v>140</v>
      </c>
      <c r="C1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w.warehouseshortname='HAW') and requesttypeid=(select rt.requesttypeid from app.requesttype rt where rt.description='fs-asw-asn-error');</v>
      </c>
    </row>
    <row r="20" spans="1:3" ht="16" x14ac:dyDescent="0.2">
      <c r="A20" s="3" t="s">
        <v>58</v>
      </c>
      <c r="B20" s="1" t="s">
        <v>140</v>
      </c>
      <c r="C2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w.warehouseshortname='IND') and requesttypeid=(select rt.requesttypeid from app.requesttype rt where rt.description='fs-asw-asn-error');</v>
      </c>
    </row>
    <row r="21" spans="1:3" ht="16" x14ac:dyDescent="0.2">
      <c r="A21" s="3" t="s">
        <v>59</v>
      </c>
      <c r="B21" s="1" t="s">
        <v>140</v>
      </c>
      <c r="C2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w.warehouseshortname='JAC') and requesttypeid=(select rt.requesttypeid from app.requesttype rt where rt.description='fs-asw-asn-error');</v>
      </c>
    </row>
    <row r="22" spans="1:3" ht="16" x14ac:dyDescent="0.2">
      <c r="A22" s="3" t="s">
        <v>60</v>
      </c>
      <c r="B22" s="1" t="s">
        <v>140</v>
      </c>
      <c r="C2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w.warehouseshortname='JES') and requesttypeid=(select rt.requesttypeid from app.requesttype rt where rt.description='fs-asw-asn-error');</v>
      </c>
    </row>
    <row r="23" spans="1:3" ht="16" x14ac:dyDescent="0.2">
      <c r="A23" s="3" t="s">
        <v>61</v>
      </c>
      <c r="B23" s="1" t="s">
        <v>140</v>
      </c>
      <c r="C2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w.warehouseshortname='KAP') and requesttypeid=(select rt.requesttypeid from app.requesttype rt where rt.description='fs-asw-asn-error');</v>
      </c>
    </row>
    <row r="24" spans="1:3" ht="16" x14ac:dyDescent="0.2">
      <c r="A24" s="3" t="s">
        <v>62</v>
      </c>
      <c r="B24" s="1" t="s">
        <v>140</v>
      </c>
      <c r="C2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w.warehouseshortname='KAU') and requesttypeid=(select rt.requesttypeid from app.requesttype rt where rt.description='fs-asw-asn-error');</v>
      </c>
    </row>
    <row r="25" spans="1:3" ht="16" x14ac:dyDescent="0.2">
      <c r="A25" s="3" t="s">
        <v>63</v>
      </c>
      <c r="B25" s="1" t="s">
        <v>140</v>
      </c>
      <c r="C2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w.warehouseshortname='LAF') and requesttypeid=(select rt.requesttypeid from app.requesttype rt where rt.description='fs-asw-asn-error');</v>
      </c>
    </row>
    <row r="26" spans="1:3" ht="16" x14ac:dyDescent="0.2">
      <c r="A26" s="3" t="s">
        <v>64</v>
      </c>
      <c r="B26" s="1" t="s">
        <v>140</v>
      </c>
      <c r="C2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w.warehouseshortname='LIV') and requesttypeid=(select rt.requesttypeid from app.requesttype rt where rt.description='fs-asw-asn-error');</v>
      </c>
    </row>
    <row r="27" spans="1:3" ht="16" x14ac:dyDescent="0.2">
      <c r="A27" s="3" t="s">
        <v>66</v>
      </c>
      <c r="B27" s="1" t="s">
        <v>140</v>
      </c>
      <c r="C2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w.warehouseshortname='LUB') and requesttypeid=(select rt.requesttypeid from app.requesttype rt where rt.description='fs-asw-asn-error');</v>
      </c>
    </row>
    <row r="28" spans="1:3" ht="16" x14ac:dyDescent="0.2">
      <c r="A28" s="3" t="s">
        <v>67</v>
      </c>
      <c r="B28" s="1" t="s">
        <v>140</v>
      </c>
      <c r="C2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w.warehouseshortname='MAU') and requesttypeid=(select rt.requesttypeid from app.requesttype rt where rt.description='fs-asw-asn-error');</v>
      </c>
    </row>
    <row r="29" spans="1:3" ht="16" x14ac:dyDescent="0.2">
      <c r="A29" s="3" t="s">
        <v>68</v>
      </c>
      <c r="B29" s="1" t="s">
        <v>140</v>
      </c>
      <c r="C2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w.warehouseshortname='NEW') and requesttypeid=(select rt.requesttypeid from app.requesttype rt where rt.description='fs-asw-asn-error');</v>
      </c>
    </row>
    <row r="30" spans="1:3" ht="16" x14ac:dyDescent="0.2">
      <c r="A30" s="3" t="s">
        <v>69</v>
      </c>
      <c r="B30" s="1" t="s">
        <v>140</v>
      </c>
      <c r="C3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w.warehouseshortname='OAH') and requesttypeid=(select rt.requesttypeid from app.requesttype rt where rt.description='fs-asw-asn-error');</v>
      </c>
    </row>
    <row r="31" spans="1:3" ht="16" x14ac:dyDescent="0.2">
      <c r="A31" s="3" t="s">
        <v>70</v>
      </c>
      <c r="B31" s="1" t="s">
        <v>140</v>
      </c>
      <c r="C3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w.warehouseshortname='OKL') and requesttypeid=(select rt.requesttypeid from app.requesttype rt where rt.description='fs-asw-asn-error');</v>
      </c>
    </row>
    <row r="32" spans="1:3" ht="16" x14ac:dyDescent="0.2">
      <c r="A32" s="3" t="s">
        <v>71</v>
      </c>
      <c r="B32" s="1" t="s">
        <v>140</v>
      </c>
      <c r="C3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w.warehouseshortname='OMA') and requesttypeid=(select rt.requesttypeid from app.requesttype rt where rt.description='fs-asw-asn-error');</v>
      </c>
    </row>
    <row r="33" spans="1:3" ht="16" x14ac:dyDescent="0.2">
      <c r="A33" s="3" t="s">
        <v>72</v>
      </c>
      <c r="B33" s="1" t="s">
        <v>140</v>
      </c>
      <c r="C3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w.warehouseshortname='ORL') and requesttypeid=(select rt.requesttypeid from app.requesttype rt where rt.description='fs-asw-asn-error');</v>
      </c>
    </row>
    <row r="34" spans="1:3" ht="16" x14ac:dyDescent="0.2">
      <c r="A34" s="3" t="s">
        <v>73</v>
      </c>
      <c r="B34" s="1" t="s">
        <v>140</v>
      </c>
      <c r="C3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w.warehouseshortname='PEN') and requesttypeid=(select rt.requesttypeid from app.requesttype rt where rt.description='fs-asw-asn-error');</v>
      </c>
    </row>
    <row r="35" spans="1:3" ht="16" x14ac:dyDescent="0.2">
      <c r="A35" s="3" t="s">
        <v>74</v>
      </c>
      <c r="B35" s="1" t="s">
        <v>140</v>
      </c>
      <c r="C3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w.warehouseshortname='PHO') and requesttypeid=(select rt.requesttypeid from app.requesttype rt where rt.description='fs-asw-asn-error');</v>
      </c>
    </row>
    <row r="36" spans="1:3" ht="16" x14ac:dyDescent="0.2">
      <c r="A36" s="3" t="s">
        <v>75</v>
      </c>
      <c r="B36" s="1" t="s">
        <v>140</v>
      </c>
      <c r="C3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w.warehouseshortname='POR') and requesttypeid=(select rt.requesttypeid from app.requesttype rt where rt.description='fs-asw-asn-error');</v>
      </c>
    </row>
    <row r="37" spans="1:3" ht="16" x14ac:dyDescent="0.2">
      <c r="A37" s="3" t="s">
        <v>76</v>
      </c>
      <c r="B37" s="1" t="s">
        <v>140</v>
      </c>
      <c r="C3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w.warehouseshortname='ROM') and requesttypeid=(select rt.requesttypeid from app.requesttype rt where rt.description='fs-asw-asn-error');</v>
      </c>
    </row>
    <row r="38" spans="1:3" ht="16" x14ac:dyDescent="0.2">
      <c r="A38" s="3" t="s">
        <v>78</v>
      </c>
      <c r="B38" s="1" t="s">
        <v>140</v>
      </c>
      <c r="C3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w.warehouseshortname='SIO') and requesttypeid=(select rt.requesttypeid from app.requesttype rt where rt.description='fs-asw-asn-error');</v>
      </c>
    </row>
    <row r="39" spans="1:3" ht="16" x14ac:dyDescent="0.2">
      <c r="A39" s="3" t="s">
        <v>79</v>
      </c>
      <c r="B39" s="1" t="s">
        <v>140</v>
      </c>
      <c r="C3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w.warehouseshortname='TAM') and requesttypeid=(select rt.requesttypeid from app.requesttype rt where rt.description='fs-asw-asn-error');</v>
      </c>
    </row>
    <row r="40" spans="1:3" ht="16" x14ac:dyDescent="0.2">
      <c r="A40" s="3" t="s">
        <v>80</v>
      </c>
      <c r="B40" s="1" t="s">
        <v>140</v>
      </c>
      <c r="C4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w.warehouseshortname='TOL') and requesttypeid=(select rt.requesttypeid from app.requesttype rt where rt.description='fs-asw-asn-error');</v>
      </c>
    </row>
    <row r="41" spans="1:3" ht="16" x14ac:dyDescent="0.2">
      <c r="A41" s="3" t="s">
        <v>81</v>
      </c>
      <c r="B41" s="1" t="s">
        <v>140</v>
      </c>
      <c r="C4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w.warehouseshortname='WSD') and requesttypeid=(select rt.requesttypeid from app.requesttype rt where rt.description='fs-asw-asn-error');</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D9F4-522B-408F-AA20-A0CEAA353649}">
  <dimension ref="A1:D6"/>
  <sheetViews>
    <sheetView workbookViewId="0"/>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118</v>
      </c>
      <c r="D1" t="s">
        <v>130</v>
      </c>
    </row>
    <row r="2" spans="1:4" x14ac:dyDescent="0.2">
      <c r="A2" t="s">
        <v>23</v>
      </c>
      <c r="C2" t="s">
        <v>131</v>
      </c>
      <c r="D2" t="s">
        <v>132</v>
      </c>
    </row>
    <row r="3" spans="1:4" ht="16" x14ac:dyDescent="0.2">
      <c r="A3" s="2" t="s">
        <v>73</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D3" t="str">
        <f>$D$1 &amp; " " &amp; C3</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4" spans="1:4" ht="16" x14ac:dyDescent="0.2">
      <c r="A4" s="2" t="s">
        <v>75</v>
      </c>
      <c r="C4" t="str">
        <f t="shared" ref="C4:C6"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D4" t="str">
        <f>$D$1 &amp; " " &amp; C4</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5" spans="1:4" ht="16" x14ac:dyDescent="0.2">
      <c r="A5" s="2" t="s">
        <v>45</v>
      </c>
      <c r="C5" t="str">
        <f t="shared" si="0"/>
        <v>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D5" t="str">
        <f>$D$1 &amp; " " &amp; C5</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6" spans="1:4" ht="16" x14ac:dyDescent="0.2">
      <c r="A6" s="2" t="s">
        <v>65</v>
      </c>
      <c r="C6" t="str">
        <f t="shared" si="0"/>
        <v>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D6" t="str">
        <f>$D$1 &amp; " " &amp; C6</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98CB-5204-4258-91C2-82BF85173C7E}">
  <dimension ref="A1:C41"/>
  <sheetViews>
    <sheetView workbookViewId="0">
      <selection activeCell="C3" sqref="C3"/>
    </sheetView>
  </sheetViews>
  <sheetFormatPr baseColWidth="10" defaultColWidth="8.83203125" defaultRowHeight="15" x14ac:dyDescent="0.2"/>
  <cols>
    <col min="2" max="2" width="156" customWidth="1"/>
    <col min="3" max="3" width="44.83203125" customWidth="1"/>
  </cols>
  <sheetData>
    <row r="1" spans="1:3" x14ac:dyDescent="0.2">
      <c r="B1" t="s">
        <v>118</v>
      </c>
    </row>
    <row r="2" spans="1:3" x14ac:dyDescent="0.2">
      <c r="A2" t="s">
        <v>23</v>
      </c>
      <c r="B2" t="s">
        <v>35</v>
      </c>
      <c r="C2" t="s">
        <v>36</v>
      </c>
    </row>
    <row r="3" spans="1:3" ht="16" x14ac:dyDescent="0.2">
      <c r="A3" s="2" t="s">
        <v>73</v>
      </c>
      <c r="B3" s="1" t="s">
        <v>141</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w.warehouseshortname='PEN') and requesttypeid=(select rt.requesttypeid from app.requesttype rt where rt.description='db-alert-lia-pack-uom');</v>
      </c>
    </row>
    <row r="4" spans="1:3" ht="16" x14ac:dyDescent="0.2">
      <c r="A4" s="2" t="s">
        <v>75</v>
      </c>
      <c r="B4" s="1" t="s">
        <v>142</v>
      </c>
      <c r="C4" t="str">
        <f t="shared" ref="C4:C6"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w.warehouseshortname='POR') and requesttypeid=(select rt.requesttypeid from app.requesttype rt where rt.description='db-alert-lia-pack-uom');</v>
      </c>
    </row>
    <row r="5" spans="1:3" ht="16" x14ac:dyDescent="0.2">
      <c r="A5" s="2" t="s">
        <v>45</v>
      </c>
      <c r="B5" s="1" t="s">
        <v>143</v>
      </c>
      <c r="C5" t="str">
        <f t="shared" si="0"/>
        <v>update app.warehouselocationdetail set payload = '{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w.warehouseshortname='ARK') and requesttypeid=(select rt.requesttypeid from app.requesttype rt where rt.description='db-alert-lia-pack-uom');</v>
      </c>
    </row>
    <row r="6" spans="1:3" ht="16" x14ac:dyDescent="0.2">
      <c r="A6" s="2" t="s">
        <v>65</v>
      </c>
      <c r="B6" s="1" t="s">
        <v>144</v>
      </c>
      <c r="C6" t="str">
        <f t="shared" si="0"/>
        <v>update app.warehouselocationdetail set payload = '{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w.warehouseshortname='LOU') and requesttypeid=(select rt.requesttypeid from app.requesttype rt where rt.description='db-alert-lia-pack-uom');</v>
      </c>
    </row>
    <row r="7" spans="1:3" x14ac:dyDescent="0.2">
      <c r="A7" s="2"/>
      <c r="B7" s="1"/>
    </row>
    <row r="8" spans="1:3" ht="16" x14ac:dyDescent="0.2">
      <c r="A8" s="3" t="s">
        <v>37</v>
      </c>
      <c r="B8" s="1" t="s">
        <v>145</v>
      </c>
      <c r="C8" t="str">
        <f>"update app.warehouselocationdetail set payload = '" &amp; B8 &amp; "' where warehouseid = (select w.warehouseid from app.warehouselocation w where w.warehouseshortname='"&amp;A8&amp;"')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w.warehouseshortname='ABQ') and requesttypeid=(select rt.requesttypeid from app.requesttype rt where rt.description='db-alert-lia-pack-uom');</v>
      </c>
    </row>
    <row r="9" spans="1:3" ht="16" x14ac:dyDescent="0.2">
      <c r="A9" s="3" t="s">
        <v>46</v>
      </c>
      <c r="B9" s="1" t="s">
        <v>145</v>
      </c>
      <c r="C9" t="str">
        <f t="shared" ref="C9:C41" si="1">"update app.warehouselocationdetail set payload = '" &amp; B9 &amp; "' where warehouseid = (select w.warehouseid from app.warehouselocation w where w.warehouseshortname='"&amp;A9&amp;"')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w.warehouseshortname='ASH') and requesttypeid=(select rt.requesttypeid from app.requesttype rt where rt.description='db-alert-lia-pack-uom');</v>
      </c>
    </row>
    <row r="10" spans="1:3" ht="16" x14ac:dyDescent="0.2">
      <c r="A10" s="3" t="s">
        <v>47</v>
      </c>
      <c r="B10" s="1" t="s">
        <v>145</v>
      </c>
      <c r="C1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w.warehouseshortname='ATL') and requesttypeid=(select rt.requesttypeid from app.requesttype rt where rt.description='db-alert-lia-pack-uom');</v>
      </c>
    </row>
    <row r="11" spans="1:3" ht="16" x14ac:dyDescent="0.2">
      <c r="A11" s="3" t="s">
        <v>48</v>
      </c>
      <c r="B11" s="1" t="s">
        <v>145</v>
      </c>
      <c r="C1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w.warehouseshortname='AUB') and requesttypeid=(select rt.requesttypeid from app.requesttype rt where rt.description='db-alert-lia-pack-uom');</v>
      </c>
    </row>
    <row r="12" spans="1:3" ht="16" x14ac:dyDescent="0.2">
      <c r="A12" s="3" t="s">
        <v>49</v>
      </c>
      <c r="B12" s="1" t="s">
        <v>145</v>
      </c>
      <c r="C1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w.warehouseshortname='CCR') and requesttypeid=(select rt.requesttypeid from app.requesttype rt where rt.description='db-alert-lia-pack-uom');</v>
      </c>
    </row>
    <row r="13" spans="1:3" ht="16" x14ac:dyDescent="0.2">
      <c r="A13" s="3" t="s">
        <v>50</v>
      </c>
      <c r="B13" s="1" t="s">
        <v>145</v>
      </c>
      <c r="C1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w.warehouseshortname='COL') and requesttypeid=(select rt.requesttypeid from app.requesttype rt where rt.description='db-alert-lia-pack-uom');</v>
      </c>
    </row>
    <row r="14" spans="1:3" ht="16" x14ac:dyDescent="0.2">
      <c r="A14" s="3" t="s">
        <v>51</v>
      </c>
      <c r="B14" s="1" t="s">
        <v>145</v>
      </c>
      <c r="C1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w.warehouseshortname='DEN') and requesttypeid=(select rt.requesttypeid from app.requesttype rt where rt.description='db-alert-lia-pack-uom');</v>
      </c>
    </row>
    <row r="15" spans="1:3" ht="16" x14ac:dyDescent="0.2">
      <c r="A15" s="3" t="s">
        <v>52</v>
      </c>
      <c r="B15" s="1" t="s">
        <v>145</v>
      </c>
      <c r="C1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w.warehouseshortname='DFB') and requesttypeid=(select rt.requesttypeid from app.requesttype rt where rt.description='db-alert-lia-pack-uom');</v>
      </c>
    </row>
    <row r="16" spans="1:3" ht="16" x14ac:dyDescent="0.2">
      <c r="A16" s="3" t="s">
        <v>53</v>
      </c>
      <c r="B16" s="1" t="s">
        <v>145</v>
      </c>
      <c r="C1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w.warehouseshortname='ELP') and requesttypeid=(select rt.requesttypeid from app.requesttype rt where rt.description='db-alert-lia-pack-uom');</v>
      </c>
    </row>
    <row r="17" spans="1:3" ht="16" x14ac:dyDescent="0.2">
      <c r="A17" s="3" t="s">
        <v>54</v>
      </c>
      <c r="B17" s="1" t="s">
        <v>145</v>
      </c>
      <c r="C1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w.warehouseshortname='FAR') and requesttypeid=(select rt.requesttypeid from app.requesttype rt where rt.description='db-alert-lia-pack-uom');</v>
      </c>
    </row>
    <row r="18" spans="1:3" ht="16" x14ac:dyDescent="0.2">
      <c r="A18" s="3" t="s">
        <v>55</v>
      </c>
      <c r="B18" s="1" t="s">
        <v>145</v>
      </c>
      <c r="C1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w.warehouseshortname='GRP') and requesttypeid=(select rt.requesttypeid from app.requesttype rt where rt.description='db-alert-lia-pack-uom');</v>
      </c>
    </row>
    <row r="19" spans="1:3" ht="16" x14ac:dyDescent="0.2">
      <c r="A19" s="3" t="s">
        <v>56</v>
      </c>
      <c r="B19" s="1" t="s">
        <v>145</v>
      </c>
      <c r="C1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w.warehouseshortname='HAW') and requesttypeid=(select rt.requesttypeid from app.requesttype rt where rt.description='db-alert-lia-pack-uom');</v>
      </c>
    </row>
    <row r="20" spans="1:3" ht="16" x14ac:dyDescent="0.2">
      <c r="A20" s="3" t="s">
        <v>57</v>
      </c>
      <c r="B20" s="1" t="s">
        <v>145</v>
      </c>
      <c r="C2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w.warehouseshortname='HOU') and requesttypeid=(select rt.requesttypeid from app.requesttype rt where rt.description='db-alert-lia-pack-uom');</v>
      </c>
    </row>
    <row r="21" spans="1:3" ht="16" x14ac:dyDescent="0.2">
      <c r="A21" s="3" t="s">
        <v>58</v>
      </c>
      <c r="B21" s="1" t="s">
        <v>145</v>
      </c>
      <c r="C2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w.warehouseshortname='IND') and requesttypeid=(select rt.requesttypeid from app.requesttype rt where rt.description='db-alert-lia-pack-uom');</v>
      </c>
    </row>
    <row r="22" spans="1:3" ht="16" x14ac:dyDescent="0.2">
      <c r="A22" s="3" t="s">
        <v>59</v>
      </c>
      <c r="B22" s="1" t="s">
        <v>145</v>
      </c>
      <c r="C2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w.warehouseshortname='JAC') and requesttypeid=(select rt.requesttypeid from app.requesttype rt where rt.description='db-alert-lia-pack-uom');</v>
      </c>
    </row>
    <row r="23" spans="1:3" ht="16" x14ac:dyDescent="0.2">
      <c r="A23" s="3" t="s">
        <v>60</v>
      </c>
      <c r="B23" s="1" t="s">
        <v>145</v>
      </c>
      <c r="C2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w.warehouseshortname='JES') and requesttypeid=(select rt.requesttypeid from app.requesttype rt where rt.description='db-alert-lia-pack-uom');</v>
      </c>
    </row>
    <row r="24" spans="1:3" ht="16" x14ac:dyDescent="0.2">
      <c r="A24" s="3" t="s">
        <v>61</v>
      </c>
      <c r="B24" s="1" t="s">
        <v>145</v>
      </c>
      <c r="C2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w.warehouseshortname='KAP') and requesttypeid=(select rt.requesttypeid from app.requesttype rt where rt.description='db-alert-lia-pack-uom');</v>
      </c>
    </row>
    <row r="25" spans="1:3" ht="16" x14ac:dyDescent="0.2">
      <c r="A25" s="3" t="s">
        <v>62</v>
      </c>
      <c r="B25" s="1" t="s">
        <v>145</v>
      </c>
      <c r="C2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w.warehouseshortname='KAU') and requesttypeid=(select rt.requesttypeid from app.requesttype rt where rt.description='db-alert-lia-pack-uom');</v>
      </c>
    </row>
    <row r="26" spans="1:3" ht="16" x14ac:dyDescent="0.2">
      <c r="A26" s="3" t="s">
        <v>63</v>
      </c>
      <c r="B26" s="1" t="s">
        <v>145</v>
      </c>
      <c r="C2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w.warehouseshortname='LAF') and requesttypeid=(select rt.requesttypeid from app.requesttype rt where rt.description='db-alert-lia-pack-uom');</v>
      </c>
    </row>
    <row r="27" spans="1:3" ht="16" x14ac:dyDescent="0.2">
      <c r="A27" s="3" t="s">
        <v>64</v>
      </c>
      <c r="B27" s="1" t="s">
        <v>145</v>
      </c>
      <c r="C2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w.warehouseshortname='LIV') and requesttypeid=(select rt.requesttypeid from app.requesttype rt where rt.description='db-alert-lia-pack-uom');</v>
      </c>
    </row>
    <row r="28" spans="1:3" ht="16" x14ac:dyDescent="0.2">
      <c r="A28" s="3" t="s">
        <v>66</v>
      </c>
      <c r="B28" s="1" t="s">
        <v>145</v>
      </c>
      <c r="C2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w.warehouseshortname='LUB') and requesttypeid=(select rt.requesttypeid from app.requesttype rt where rt.description='db-alert-lia-pack-uom');</v>
      </c>
    </row>
    <row r="29" spans="1:3" ht="16" x14ac:dyDescent="0.2">
      <c r="A29" s="3" t="s">
        <v>67</v>
      </c>
      <c r="B29" s="1" t="s">
        <v>145</v>
      </c>
      <c r="C2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w.warehouseshortname='MAU') and requesttypeid=(select rt.requesttypeid from app.requesttype rt where rt.description='db-alert-lia-pack-uom');</v>
      </c>
    </row>
    <row r="30" spans="1:3" ht="16" x14ac:dyDescent="0.2">
      <c r="A30" s="3" t="s">
        <v>68</v>
      </c>
      <c r="B30" s="1" t="s">
        <v>145</v>
      </c>
      <c r="C3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w.warehouseshortname='NEW') and requesttypeid=(select rt.requesttypeid from app.requesttype rt where rt.description='db-alert-lia-pack-uom');</v>
      </c>
    </row>
    <row r="31" spans="1:3" ht="16" x14ac:dyDescent="0.2">
      <c r="A31" s="3" t="s">
        <v>69</v>
      </c>
      <c r="B31" s="1" t="s">
        <v>145</v>
      </c>
      <c r="C3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w.warehouseshortname='OAH') and requesttypeid=(select rt.requesttypeid from app.requesttype rt where rt.description='db-alert-lia-pack-uom');</v>
      </c>
    </row>
    <row r="32" spans="1:3" ht="16" x14ac:dyDescent="0.2">
      <c r="A32" s="3" t="s">
        <v>70</v>
      </c>
      <c r="B32" s="1" t="s">
        <v>145</v>
      </c>
      <c r="C3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w.warehouseshortname='OKL') and requesttypeid=(select rt.requesttypeid from app.requesttype rt where rt.description='db-alert-lia-pack-uom');</v>
      </c>
    </row>
    <row r="33" spans="1:3" ht="16" x14ac:dyDescent="0.2">
      <c r="A33" s="3" t="s">
        <v>71</v>
      </c>
      <c r="B33" s="1" t="s">
        <v>145</v>
      </c>
      <c r="C3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w.warehouseshortname='OMA') and requesttypeid=(select rt.requesttypeid from app.requesttype rt where rt.description='db-alert-lia-pack-uom');</v>
      </c>
    </row>
    <row r="34" spans="1:3" ht="16" x14ac:dyDescent="0.2">
      <c r="A34" s="3" t="s">
        <v>72</v>
      </c>
      <c r="B34" s="1" t="s">
        <v>145</v>
      </c>
      <c r="C3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w.warehouseshortname='ORL') and requesttypeid=(select rt.requesttypeid from app.requesttype rt where rt.description='db-alert-lia-pack-uom');</v>
      </c>
    </row>
    <row r="35" spans="1:3" ht="16" x14ac:dyDescent="0.2">
      <c r="A35" s="3" t="s">
        <v>74</v>
      </c>
      <c r="B35" s="1" t="s">
        <v>145</v>
      </c>
      <c r="C3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w.warehouseshortname='PHO') and requesttypeid=(select rt.requesttypeid from app.requesttype rt where rt.description='db-alert-lia-pack-uom');</v>
      </c>
    </row>
    <row r="36" spans="1:3" ht="16" x14ac:dyDescent="0.2">
      <c r="A36" s="3" t="s">
        <v>76</v>
      </c>
      <c r="B36" s="1" t="s">
        <v>145</v>
      </c>
      <c r="C3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w.warehouseshortname='ROM') and requesttypeid=(select rt.requesttypeid from app.requesttype rt where rt.description='db-alert-lia-pack-uom');</v>
      </c>
    </row>
    <row r="37" spans="1:3" ht="16" x14ac:dyDescent="0.2">
      <c r="A37" s="3" t="s">
        <v>77</v>
      </c>
      <c r="B37" s="1" t="s">
        <v>145</v>
      </c>
      <c r="C3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w.warehouseshortname='SAA') and requesttypeid=(select rt.requesttypeid from app.requesttype rt where rt.description='db-alert-lia-pack-uom');</v>
      </c>
    </row>
    <row r="38" spans="1:3" ht="16" x14ac:dyDescent="0.2">
      <c r="A38" s="3" t="s">
        <v>78</v>
      </c>
      <c r="B38" s="1" t="s">
        <v>145</v>
      </c>
      <c r="C3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w.warehouseshortname='SIO') and requesttypeid=(select rt.requesttypeid from app.requesttype rt where rt.description='db-alert-lia-pack-uom');</v>
      </c>
    </row>
    <row r="39" spans="1:3" ht="16" x14ac:dyDescent="0.2">
      <c r="A39" s="3" t="s">
        <v>79</v>
      </c>
      <c r="B39" s="1" t="s">
        <v>145</v>
      </c>
      <c r="C3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w.warehouseshortname='TAM') and requesttypeid=(select rt.requesttypeid from app.requesttype rt where rt.description='db-alert-lia-pack-uom');</v>
      </c>
    </row>
    <row r="40" spans="1:3" ht="16" x14ac:dyDescent="0.2">
      <c r="A40" s="3" t="s">
        <v>80</v>
      </c>
      <c r="B40" s="1" t="s">
        <v>145</v>
      </c>
      <c r="C4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w.warehouseshortname='TOL') and requesttypeid=(select rt.requesttypeid from app.requesttype rt where rt.description='db-alert-lia-pack-uom');</v>
      </c>
    </row>
    <row r="41" spans="1:3" ht="16" x14ac:dyDescent="0.2">
      <c r="A41" s="3" t="s">
        <v>81</v>
      </c>
      <c r="B41" s="1" t="s">
        <v>145</v>
      </c>
      <c r="C4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w.warehouseshortname='WSD') and requesttypeid=(select rt.requesttypeid from app.requesttype rt where rt.description='db-alert-lia-pack-uom');</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DBF6-D891-4E9E-B2B9-A9600D5ACF4B}">
  <dimension ref="A1:D41"/>
  <sheetViews>
    <sheetView workbookViewId="0">
      <pane xSplit="1" ySplit="8" topLeftCell="B9" activePane="bottomRight" state="frozen"/>
      <selection pane="topRight" activeCell="B1" sqref="B1"/>
      <selection pane="bottomLeft" activeCell="A3" sqref="A3"/>
      <selection pane="bottomRight" activeCell="B7" sqref="B7"/>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146</v>
      </c>
      <c r="B1" t="s">
        <v>147</v>
      </c>
    </row>
    <row r="2" spans="1:4" x14ac:dyDescent="0.2">
      <c r="A2" t="s">
        <v>26</v>
      </c>
      <c r="B2" t="s">
        <v>148</v>
      </c>
    </row>
    <row r="3" spans="1:4" ht="48" x14ac:dyDescent="0.2">
      <c r="A3" t="s">
        <v>149</v>
      </c>
      <c r="B3" s="2" t="s">
        <v>150</v>
      </c>
    </row>
    <row r="4" spans="1:4" x14ac:dyDescent="0.2">
      <c r="A4" t="s">
        <v>35</v>
      </c>
      <c r="B4" t="s">
        <v>151</v>
      </c>
    </row>
    <row r="5" spans="1:4" x14ac:dyDescent="0.2">
      <c r="B5" t="s">
        <v>152</v>
      </c>
    </row>
    <row r="6" spans="1:4" x14ac:dyDescent="0.2">
      <c r="B6" t="s">
        <v>153</v>
      </c>
    </row>
    <row r="7" spans="1:4" x14ac:dyDescent="0.2">
      <c r="B7" t="s">
        <v>154</v>
      </c>
    </row>
    <row r="8" spans="1:4" x14ac:dyDescent="0.2">
      <c r="A8" t="s">
        <v>155</v>
      </c>
      <c r="B8" t="s">
        <v>156</v>
      </c>
    </row>
    <row r="9" spans="1:4" ht="144" x14ac:dyDescent="0.2">
      <c r="A9" t="s">
        <v>37</v>
      </c>
      <c r="B9" t="s">
        <v>157</v>
      </c>
      <c r="C9" s="2" t="str">
        <f>$B$4 &amp; $B$2 &amp; $B$5 &amp; " " &amp; $B$2 &amp; " " &amp; $B$6 &amp; B9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9" t="str">
        <f>"update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w.warehouseshortname='ABQ') and requesttypeid=(select rt.requesttypeid from app.requesttype rt where rt.description='au01-failure-10-min');</v>
      </c>
    </row>
    <row r="10" spans="1:4" x14ac:dyDescent="0.2">
      <c r="A10" t="s">
        <v>45</v>
      </c>
      <c r="B10" t="s">
        <v>158</v>
      </c>
      <c r="C10" t="str">
        <f t="shared" ref="C10:C41" si="0">$B$4 &amp; $B$2 &amp; $B$5 &amp; " " &amp; $B$2 &amp; " " &amp; $B$6 &amp; B10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0" t="str">
        <f>"update app.warehouselocationdetail set payload = '" &amp; C10 &amp; "' where warehouseid = (select w.warehouseid from app.warehouselocation w where w.warehouseshortname='"&amp;A10&amp;"')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w.warehouseshortname='ARK') and requesttypeid=(select rt.requesttypeid from app.requesttype rt where rt.description='au01-failure-10-min');</v>
      </c>
    </row>
    <row r="11" spans="1:4" x14ac:dyDescent="0.2">
      <c r="A11" t="s">
        <v>47</v>
      </c>
      <c r="B11" t="s">
        <v>159</v>
      </c>
      <c r="C1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1" t="str">
        <f t="shared" ref="D11:D41" si="1">"update app.warehouselocationdetail set payload = '" &amp; C11 &amp; "' where warehouseid = (select w.warehouseid from app.warehouselocation w where w.warehouseshortname='"&amp;A11&amp;"')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w.warehouseshortname='ATL') and requesttypeid=(select rt.requesttypeid from app.requesttype rt where rt.description='au01-failure-10-min');</v>
      </c>
    </row>
    <row r="12" spans="1:4" x14ac:dyDescent="0.2">
      <c r="A12" t="s">
        <v>48</v>
      </c>
      <c r="B12" t="s">
        <v>160</v>
      </c>
      <c r="C1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w.warehouseshortname='AUB') and requesttypeid=(select rt.requesttypeid from app.requesttype rt where rt.description='au01-failure-10-min');</v>
      </c>
    </row>
    <row r="13" spans="1:4" x14ac:dyDescent="0.2">
      <c r="A13" t="s">
        <v>49</v>
      </c>
      <c r="B13" t="s">
        <v>161</v>
      </c>
      <c r="C1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w.warehouseshortname='CCR') and requesttypeid=(select rt.requesttypeid from app.requesttype rt where rt.description='au01-failure-10-min');</v>
      </c>
    </row>
    <row r="14" spans="1:4" x14ac:dyDescent="0.2">
      <c r="A14" t="s">
        <v>50</v>
      </c>
      <c r="B14" t="s">
        <v>162</v>
      </c>
      <c r="C1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w.warehouseshortname='COL') and requesttypeid=(select rt.requesttypeid from app.requesttype rt where rt.description='au01-failure-10-min');</v>
      </c>
    </row>
    <row r="15" spans="1:4" x14ac:dyDescent="0.2">
      <c r="A15" t="s">
        <v>51</v>
      </c>
      <c r="B15" t="s">
        <v>163</v>
      </c>
      <c r="C1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w.warehouseshortname='DEN') and requesttypeid=(select rt.requesttypeid from app.requesttype rt where rt.description='au01-failure-10-min');</v>
      </c>
    </row>
    <row r="16" spans="1:4" x14ac:dyDescent="0.2">
      <c r="A16" t="s">
        <v>53</v>
      </c>
      <c r="B16" t="s">
        <v>161</v>
      </c>
      <c r="C1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w.warehouseshortname='ELP') and requesttypeid=(select rt.requesttypeid from app.requesttype rt where rt.description='au01-failure-10-min');</v>
      </c>
    </row>
    <row r="17" spans="1:4" x14ac:dyDescent="0.2">
      <c r="A17" t="s">
        <v>54</v>
      </c>
      <c r="B17" t="s">
        <v>164</v>
      </c>
      <c r="C1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w.warehouseshortname='FAR') and requesttypeid=(select rt.requesttypeid from app.requesttype rt where rt.description='au01-failure-10-min');</v>
      </c>
    </row>
    <row r="18" spans="1:4" x14ac:dyDescent="0.2">
      <c r="A18" t="s">
        <v>55</v>
      </c>
      <c r="B18" t="s">
        <v>165</v>
      </c>
      <c r="C1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w.warehouseshortname='GRP') and requesttypeid=(select rt.requesttypeid from app.requesttype rt where rt.description='au01-failure-10-min');</v>
      </c>
    </row>
    <row r="19" spans="1:4" x14ac:dyDescent="0.2">
      <c r="A19" t="s">
        <v>56</v>
      </c>
      <c r="B19" t="s">
        <v>157</v>
      </c>
      <c r="C1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w.warehouseshortname='HAW') and requesttypeid=(select rt.requesttypeid from app.requesttype rt where rt.description='au01-failure-10-min');</v>
      </c>
    </row>
    <row r="20" spans="1:4" x14ac:dyDescent="0.2">
      <c r="A20" t="s">
        <v>57</v>
      </c>
      <c r="B20" t="s">
        <v>166</v>
      </c>
      <c r="C2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w.warehouseshortname='HOU') and requesttypeid=(select rt.requesttypeid from app.requesttype rt where rt.description='au01-failure-10-min');</v>
      </c>
    </row>
    <row r="21" spans="1:4" x14ac:dyDescent="0.2">
      <c r="A21" t="s">
        <v>58</v>
      </c>
      <c r="B21" t="s">
        <v>167</v>
      </c>
      <c r="C2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w.warehouseshortname='IND') and requesttypeid=(select rt.requesttypeid from app.requesttype rt where rt.description='au01-failure-10-min');</v>
      </c>
    </row>
    <row r="22" spans="1:4" x14ac:dyDescent="0.2">
      <c r="A22" t="s">
        <v>60</v>
      </c>
      <c r="B22" t="s">
        <v>168</v>
      </c>
      <c r="C2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w.warehouseshortname='JES') and requesttypeid=(select rt.requesttypeid from app.requesttype rt where rt.description='au01-failure-10-min');</v>
      </c>
    </row>
    <row r="23" spans="1:4" x14ac:dyDescent="0.2">
      <c r="A23" t="s">
        <v>61</v>
      </c>
      <c r="B23" t="s">
        <v>159</v>
      </c>
      <c r="C2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w.warehouseshortname='KAP') and requesttypeid=(select rt.requesttypeid from app.requesttype rt where rt.description='au01-failure-10-min');</v>
      </c>
    </row>
    <row r="24" spans="1:4" x14ac:dyDescent="0.2">
      <c r="A24" t="s">
        <v>62</v>
      </c>
      <c r="B24" t="s">
        <v>159</v>
      </c>
      <c r="C2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w.warehouseshortname='KAU') and requesttypeid=(select rt.requesttypeid from app.requesttype rt where rt.description='au01-failure-10-min');</v>
      </c>
    </row>
    <row r="25" spans="1:4" x14ac:dyDescent="0.2">
      <c r="A25" t="s">
        <v>63</v>
      </c>
      <c r="B25" t="s">
        <v>169</v>
      </c>
      <c r="C2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w.warehouseshortname='LAF') and requesttypeid=(select rt.requesttypeid from app.requesttype rt where rt.description='au01-failure-10-min');</v>
      </c>
    </row>
    <row r="26" spans="1:4" x14ac:dyDescent="0.2">
      <c r="A26" t="s">
        <v>64</v>
      </c>
      <c r="B26" t="s">
        <v>170</v>
      </c>
      <c r="C2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w.warehouseshortname='LIV') and requesttypeid=(select rt.requesttypeid from app.requesttype rt where rt.description='au01-failure-10-min');</v>
      </c>
    </row>
    <row r="27" spans="1:4" x14ac:dyDescent="0.2">
      <c r="A27" t="s">
        <v>65</v>
      </c>
      <c r="B27" t="s">
        <v>171</v>
      </c>
      <c r="C2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w.warehouseshortname='LOU') and requesttypeid=(select rt.requesttypeid from app.requesttype rt where rt.description='au01-failure-10-min');</v>
      </c>
    </row>
    <row r="28" spans="1:4" x14ac:dyDescent="0.2">
      <c r="A28" t="s">
        <v>66</v>
      </c>
      <c r="B28" t="s">
        <v>172</v>
      </c>
      <c r="C2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w.warehouseshortname='LUB') and requesttypeid=(select rt.requesttypeid from app.requesttype rt where rt.description='au01-failure-10-min');</v>
      </c>
    </row>
    <row r="29" spans="1:4" x14ac:dyDescent="0.2">
      <c r="A29" t="s">
        <v>173</v>
      </c>
      <c r="B29" t="s">
        <v>159</v>
      </c>
      <c r="C2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w.warehouseshortname='MOU') and requesttypeid=(select rt.requesttypeid from app.requesttype rt where rt.description='au01-failure-10-min');</v>
      </c>
    </row>
    <row r="30" spans="1:4" x14ac:dyDescent="0.2">
      <c r="A30" t="s">
        <v>68</v>
      </c>
      <c r="B30" t="s">
        <v>174</v>
      </c>
      <c r="C3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w.warehouseshortname='NEW') and requesttypeid=(select rt.requesttypeid from app.requesttype rt where rt.description='au01-failure-10-min');</v>
      </c>
    </row>
    <row r="31" spans="1:4" x14ac:dyDescent="0.2">
      <c r="A31" t="s">
        <v>69</v>
      </c>
      <c r="B31" t="s">
        <v>159</v>
      </c>
      <c r="C3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w.warehouseshortname='OAH') and requesttypeid=(select rt.requesttypeid from app.requesttype rt where rt.description='au01-failure-10-min');</v>
      </c>
    </row>
    <row r="32" spans="1:4" x14ac:dyDescent="0.2">
      <c r="A32" t="s">
        <v>70</v>
      </c>
      <c r="B32" t="s">
        <v>175</v>
      </c>
      <c r="C3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w.warehouseshortname='OKL') and requesttypeid=(select rt.requesttypeid from app.requesttype rt where rt.description='au01-failure-10-min');</v>
      </c>
    </row>
    <row r="33" spans="1:4" x14ac:dyDescent="0.2">
      <c r="A33" t="s">
        <v>71</v>
      </c>
      <c r="B33" t="s">
        <v>176</v>
      </c>
      <c r="C3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w.warehouseshortname='OMA') and requesttypeid=(select rt.requesttypeid from app.requesttype rt where rt.description='au01-failure-10-min');</v>
      </c>
    </row>
    <row r="34" spans="1:4" x14ac:dyDescent="0.2">
      <c r="A34" t="s">
        <v>177</v>
      </c>
      <c r="B34" t="s">
        <v>178</v>
      </c>
      <c r="C3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w.warehouseshortname='ORD') and requesttypeid=(select rt.requesttypeid from app.requesttype rt where rt.description='au01-failure-10-min');</v>
      </c>
    </row>
    <row r="35" spans="1:4" x14ac:dyDescent="0.2">
      <c r="A35" t="s">
        <v>73</v>
      </c>
      <c r="B35" t="s">
        <v>179</v>
      </c>
      <c r="C3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w.warehouseshortname='PEN') and requesttypeid=(select rt.requesttypeid from app.requesttype rt where rt.description='au01-failure-10-min');</v>
      </c>
    </row>
    <row r="36" spans="1:4" x14ac:dyDescent="0.2">
      <c r="A36" t="s">
        <v>75</v>
      </c>
      <c r="B36" t="s">
        <v>180</v>
      </c>
      <c r="C3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w.warehouseshortname='POR') and requesttypeid=(select rt.requesttypeid from app.requesttype rt where rt.description='au01-failure-10-min');</v>
      </c>
    </row>
    <row r="37" spans="1:4" x14ac:dyDescent="0.2">
      <c r="A37" t="s">
        <v>76</v>
      </c>
      <c r="B37" t="s">
        <v>157</v>
      </c>
      <c r="C3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w.warehouseshortname='ROM') and requesttypeid=(select rt.requesttypeid from app.requesttype rt where rt.description='au01-failure-10-min');</v>
      </c>
    </row>
    <row r="38" spans="1:4" x14ac:dyDescent="0.2">
      <c r="A38" t="s">
        <v>77</v>
      </c>
      <c r="B38" t="s">
        <v>181</v>
      </c>
      <c r="C3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w.warehouseshortname='SAA') and requesttypeid=(select rt.requesttypeid from app.requesttype rt where rt.description='au01-failure-10-min');</v>
      </c>
    </row>
    <row r="39" spans="1:4" x14ac:dyDescent="0.2">
      <c r="A39" t="s">
        <v>78</v>
      </c>
      <c r="B39" t="s">
        <v>182</v>
      </c>
      <c r="C3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w.warehouseshortname='SIO') and requesttypeid=(select rt.requesttypeid from app.requesttype rt where rt.description='au01-failure-10-min');</v>
      </c>
    </row>
    <row r="40" spans="1:4" x14ac:dyDescent="0.2">
      <c r="A40" t="s">
        <v>79</v>
      </c>
      <c r="B40" t="s">
        <v>183</v>
      </c>
      <c r="C4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w.warehouseshortname='TAM') and requesttypeid=(select rt.requesttypeid from app.requesttype rt where rt.description='au01-failure-10-min');</v>
      </c>
    </row>
    <row r="41" spans="1:4" x14ac:dyDescent="0.2">
      <c r="A41" t="s">
        <v>81</v>
      </c>
      <c r="B41" t="s">
        <v>184</v>
      </c>
      <c r="C4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w.warehouseshortname='WSD') and requesttypeid=(select rt.requesttypeid from app.requesttype rt where rt.description='au01-failure-10-min');</v>
      </c>
    </row>
  </sheetData>
  <sortState xmlns:xlrd2="http://schemas.microsoft.com/office/spreadsheetml/2017/richdata2" ref="A9:B41">
    <sortCondition ref="A9:A41"/>
  </sortSt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D3B3-BC2C-424D-AC6F-9E47F497AFC2}">
  <dimension ref="A1:D13"/>
  <sheetViews>
    <sheetView workbookViewId="0">
      <selection activeCell="B5" sqref="B5"/>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146</v>
      </c>
      <c r="B1" t="s">
        <v>185</v>
      </c>
      <c r="C1" t="s">
        <v>186</v>
      </c>
    </row>
    <row r="2" spans="1:4" x14ac:dyDescent="0.2">
      <c r="A2" t="s">
        <v>26</v>
      </c>
      <c r="B2" t="s">
        <v>187</v>
      </c>
    </row>
    <row r="3" spans="1:4" x14ac:dyDescent="0.2">
      <c r="A3" t="s">
        <v>149</v>
      </c>
      <c r="B3" t="s">
        <v>188</v>
      </c>
    </row>
    <row r="4" spans="1:4" x14ac:dyDescent="0.2">
      <c r="A4" t="s">
        <v>35</v>
      </c>
      <c r="B4" t="s">
        <v>189</v>
      </c>
    </row>
    <row r="5" spans="1:4" x14ac:dyDescent="0.2">
      <c r="B5" t="s">
        <v>190</v>
      </c>
    </row>
    <row r="6" spans="1:4" x14ac:dyDescent="0.2">
      <c r="B6" t="s">
        <v>153</v>
      </c>
    </row>
    <row r="7" spans="1:4" x14ac:dyDescent="0.2">
      <c r="B7" t="s">
        <v>154</v>
      </c>
    </row>
    <row r="8" spans="1:4" x14ac:dyDescent="0.2">
      <c r="A8" t="s">
        <v>155</v>
      </c>
      <c r="B8" t="s">
        <v>156</v>
      </c>
    </row>
    <row r="9" spans="1:4" ht="117.75" customHeight="1" x14ac:dyDescent="0.2">
      <c r="A9" t="s">
        <v>56</v>
      </c>
      <c r="B9" t="s">
        <v>191</v>
      </c>
      <c r="C9" s="2" t="str">
        <f>$B$4 &amp; $B$2 &amp; $B$5 &amp; " " &amp; $B$2 &amp; " " &amp; $B$6 &amp; B9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9" t="str">
        <f t="shared" ref="D9:D13"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w.warehouseshortname='HAW') and requesttypeid=(select rt.requesttypeid from app.requesttype rt where rt.description='in_transit_rma_asn_7_days');</v>
      </c>
    </row>
    <row r="10" spans="1:4" ht="96" x14ac:dyDescent="0.2">
      <c r="A10" t="s">
        <v>61</v>
      </c>
      <c r="B10" t="s">
        <v>192</v>
      </c>
      <c r="C10" s="2" t="str">
        <f t="shared" ref="C10:C13" si="1">$B$4 &amp; $B$2 &amp; $B$5 &amp; " " &amp; $B$2 &amp; " " &amp; $B$6 &amp; B10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0"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w.warehouseshortname='KAP') and requesttypeid=(select rt.requesttypeid from app.requesttype rt where rt.description='in_transit_rma_asn_7_days');</v>
      </c>
    </row>
    <row r="11" spans="1:4" ht="96" x14ac:dyDescent="0.2">
      <c r="A11" t="s">
        <v>62</v>
      </c>
      <c r="B11" t="s">
        <v>193</v>
      </c>
      <c r="C11"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1"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w.warehouseshortname='KAU') and requesttypeid=(select rt.requesttypeid from app.requesttype rt where rt.description='in_transit_rma_asn_7_days');</v>
      </c>
    </row>
    <row r="12" spans="1:4" ht="96" x14ac:dyDescent="0.2">
      <c r="A12" t="s">
        <v>67</v>
      </c>
      <c r="B12" t="s">
        <v>194</v>
      </c>
      <c r="C12"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2"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w.warehouseshortname='MAU') and requesttypeid=(select rt.requesttypeid from app.requesttype rt where rt.description='in_transit_rma_asn_7_days');</v>
      </c>
    </row>
    <row r="13" spans="1:4" ht="96" x14ac:dyDescent="0.2">
      <c r="A13" t="s">
        <v>69</v>
      </c>
      <c r="B13" t="s">
        <v>195</v>
      </c>
      <c r="C13"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3"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w.warehouseshortname='OAH') and requesttypeid=(select rt.requesttypeid from app.requesttype rt where rt.description='in_transit_rma_asn_7_days');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2C86-1C2A-4BF0-BBB0-AEEC352246D9}">
  <dimension ref="A1:D9"/>
  <sheetViews>
    <sheetView workbookViewId="0">
      <selection activeCell="C9" sqref="C9"/>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146</v>
      </c>
      <c r="B1" t="s">
        <v>196</v>
      </c>
    </row>
    <row r="2" spans="1:4" x14ac:dyDescent="0.2">
      <c r="A2" t="s">
        <v>26</v>
      </c>
      <c r="B2" t="s">
        <v>197</v>
      </c>
    </row>
    <row r="3" spans="1:4" x14ac:dyDescent="0.2">
      <c r="A3" t="s">
        <v>149</v>
      </c>
      <c r="B3" t="s">
        <v>198</v>
      </c>
    </row>
    <row r="4" spans="1:4" x14ac:dyDescent="0.2">
      <c r="A4" t="s">
        <v>35</v>
      </c>
      <c r="B4" t="s">
        <v>199</v>
      </c>
    </row>
    <row r="5" spans="1:4" x14ac:dyDescent="0.2">
      <c r="B5" t="s">
        <v>152</v>
      </c>
    </row>
    <row r="6" spans="1:4" x14ac:dyDescent="0.2">
      <c r="B6" t="s">
        <v>153</v>
      </c>
    </row>
    <row r="7" spans="1:4" x14ac:dyDescent="0.2">
      <c r="B7" t="s">
        <v>154</v>
      </c>
    </row>
    <row r="8" spans="1:4" x14ac:dyDescent="0.2">
      <c r="A8" t="s">
        <v>155</v>
      </c>
      <c r="B8" t="s">
        <v>156</v>
      </c>
    </row>
    <row r="9" spans="1:4" ht="102" customHeight="1" x14ac:dyDescent="0.2">
      <c r="A9" t="s">
        <v>47</v>
      </c>
      <c r="B9" t="s">
        <v>176</v>
      </c>
      <c r="C9" s="2" t="str">
        <f>$B$4 &amp; $B$2 &amp; $B$5 &amp; " " &amp; $B$2 &amp; " " &amp;$B$6 &amp; B9 &amp; $B$7 &amp; $B$3 &amp; """}"</f>
        <v>{"allOption":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v>
      </c>
      <c r="D9" t="str">
        <f t="shared" ref="D9"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 where warehouseid = (select w.warehouseid from app.warehouselocation w where w.warehouseshortname='ATL') and requesttypeid=(select rt.requesttypeid from app.requesttype rt where rt.description='in_transit_rma_asn_30_days');</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1CD8-8788-4C8A-83FE-DF5472B4ECA3}">
  <dimension ref="A1:A14"/>
  <sheetViews>
    <sheetView workbookViewId="0">
      <selection sqref="A1:A14"/>
    </sheetView>
  </sheetViews>
  <sheetFormatPr baseColWidth="10" defaultColWidth="8.83203125" defaultRowHeight="15" x14ac:dyDescent="0.2"/>
  <sheetData>
    <row r="1" spans="1:1" x14ac:dyDescent="0.2">
      <c r="A1" t="s">
        <v>200</v>
      </c>
    </row>
    <row r="2" spans="1:1" x14ac:dyDescent="0.2">
      <c r="A2" t="s">
        <v>200</v>
      </c>
    </row>
    <row r="3" spans="1:1" x14ac:dyDescent="0.2">
      <c r="A3" t="s">
        <v>200</v>
      </c>
    </row>
    <row r="4" spans="1:1" x14ac:dyDescent="0.2">
      <c r="A4" t="s">
        <v>200</v>
      </c>
    </row>
    <row r="5" spans="1:1" x14ac:dyDescent="0.2">
      <c r="A5" t="s">
        <v>200</v>
      </c>
    </row>
    <row r="6" spans="1:1" x14ac:dyDescent="0.2">
      <c r="A6" t="s">
        <v>200</v>
      </c>
    </row>
    <row r="7" spans="1:1" x14ac:dyDescent="0.2">
      <c r="A7" t="s">
        <v>200</v>
      </c>
    </row>
    <row r="8" spans="1:1" x14ac:dyDescent="0.2">
      <c r="A8" t="s">
        <v>200</v>
      </c>
    </row>
    <row r="9" spans="1:1" x14ac:dyDescent="0.2">
      <c r="A9" t="s">
        <v>200</v>
      </c>
    </row>
    <row r="10" spans="1:1" x14ac:dyDescent="0.2">
      <c r="A10" t="s">
        <v>200</v>
      </c>
    </row>
    <row r="11" spans="1:1" x14ac:dyDescent="0.2">
      <c r="A11" t="s">
        <v>200</v>
      </c>
    </row>
    <row r="12" spans="1:1" x14ac:dyDescent="0.2">
      <c r="A12" t="s">
        <v>200</v>
      </c>
    </row>
    <row r="13" spans="1:1" x14ac:dyDescent="0.2">
      <c r="A13" t="s">
        <v>200</v>
      </c>
    </row>
    <row r="14" spans="1:1" x14ac:dyDescent="0.2">
      <c r="A14" t="s">
        <v>200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A26B-1806-4C61-94D5-90CB4D01FE8B}">
  <dimension ref="A1:A4"/>
  <sheetViews>
    <sheetView workbookViewId="0">
      <selection activeCell="A6" sqref="A6"/>
    </sheetView>
  </sheetViews>
  <sheetFormatPr baseColWidth="10" defaultColWidth="8.83203125" defaultRowHeight="15" x14ac:dyDescent="0.2"/>
  <cols>
    <col min="1" max="1" width="112.6640625" customWidth="1"/>
  </cols>
  <sheetData>
    <row r="1" spans="1:1" x14ac:dyDescent="0.2">
      <c r="A1" s="1" t="s">
        <v>201</v>
      </c>
    </row>
    <row r="2" spans="1:1" x14ac:dyDescent="0.2">
      <c r="A2" s="1" t="s">
        <v>202</v>
      </c>
    </row>
    <row r="3" spans="1:1" x14ac:dyDescent="0.2">
      <c r="A3" s="1" t="s">
        <v>203</v>
      </c>
    </row>
    <row r="4" spans="1:1" x14ac:dyDescent="0.2">
      <c r="A4" s="1" t="s">
        <v>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C08607-069E-4F4C-B126-2D6687115C76}">
  <ds:schemaRefs>
    <ds:schemaRef ds:uri="http://schemas.microsoft.com/office/2006/metadata/properties"/>
    <ds:schemaRef ds:uri="http://schemas.microsoft.com/office/infopath/2007/PartnerControls"/>
    <ds:schemaRef ds:uri="f4b65c1a-daac-4fd9-ba72-b6c84fe15ed4"/>
    <ds:schemaRef ds:uri="bda85dd2-6cbf-49e9-8f64-78faf376eb43"/>
  </ds:schemaRefs>
</ds:datastoreItem>
</file>

<file path=customXml/itemProps2.xml><?xml version="1.0" encoding="utf-8"?>
<ds:datastoreItem xmlns:ds="http://schemas.openxmlformats.org/officeDocument/2006/customXml" ds:itemID="{20FF921C-E933-4A20-9549-E01119A8719D}">
  <ds:schemaRefs>
    <ds:schemaRef ds:uri="http://schemas.microsoft.com/sharepoint/v3/contenttype/forms"/>
  </ds:schemaRefs>
</ds:datastoreItem>
</file>

<file path=customXml/itemProps3.xml><?xml version="1.0" encoding="utf-8"?>
<ds:datastoreItem xmlns:ds="http://schemas.openxmlformats.org/officeDocument/2006/customXml" ds:itemID="{9CDCB0B6-F2F2-43AA-A730-25E257D63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newreqtype</vt:lpstr>
      <vt:lpstr>createdetail</vt:lpstr>
      <vt:lpstr>updatedetail</vt:lpstr>
      <vt:lpstr>createdetaildbalert</vt:lpstr>
      <vt:lpstr>updatedetaildbalert</vt:lpstr>
      <vt:lpstr>Sheet1</vt:lpstr>
      <vt:lpstr>all-global-ins</vt:lpstr>
      <vt:lpstr>will-call-alert-insert</vt:lpstr>
      <vt:lpstr>will-call-alert-upd</vt:lpstr>
      <vt:lpstr>Sheet2</vt:lpstr>
      <vt:lpstr>fsaleart-ins</vt:lpstr>
      <vt:lpstr>fsalert-upd</vt:lpstr>
      <vt:lpstr>dbalert-ins</vt:lpstr>
      <vt:lpstr>dbalert-upd</vt:lpstr>
      <vt:lpstr>AU01</vt:lpstr>
      <vt:lpstr>rma_asn_7_days</vt:lpstr>
      <vt:lpstr>rma_asn_30_days</vt:lpstr>
      <vt:lpstr>sheet11</vt:lpstr>
      <vt:lpstr>Sheet12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Yuen, Thomas</dc:creator>
  <cp:keywords/>
  <dc:description/>
  <cp:lastModifiedBy>Kok, Weijin</cp:lastModifiedBy>
  <cp:revision/>
  <dcterms:created xsi:type="dcterms:W3CDTF">2026-03-02T19:27:00Z</dcterms:created>
  <dcterms:modified xsi:type="dcterms:W3CDTF">2026-04-03T18:34:20Z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0x0101005977094627AF1147A308E96CD6855572</vt:lpwstr>
  </property>
  <property fmtid="{D5CDD505-2E9C-101B-9397-08002B2CF9AE}" pid="3" name="MediaServiceImageTags">
    <vt:lpwstr/>
  </property>
</Properties>
</file>