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ownloads/"/>
    </mc:Choice>
  </mc:AlternateContent>
  <xr:revisionPtr revIDLastSave="0" documentId="13_ncr:1_{725DD915-EF4E-BC49-8120-305D155798FC}" xr6:coauthVersionLast="47" xr6:coauthVersionMax="47" xr10:uidLastSave="{00000000-0000-0000-0000-000000000000}"/>
  <bookViews>
    <workbookView xWindow="0" yWindow="760" windowWidth="34560" windowHeight="20480" xr2:uid="{48A1E424-6096-42F1-9A26-CB6E3964BB35}"/>
  </bookViews>
  <sheets>
    <sheet name="newreqtype" sheetId="18" r:id="rId1"/>
    <sheet name="createdetail" sheetId="19" r:id="rId2"/>
    <sheet name="updatedetail" sheetId="17" r:id="rId3"/>
    <sheet name="createdetaildbalert" sheetId="21" r:id="rId4"/>
    <sheet name="updatedetaildbalert" sheetId="20" r:id="rId5"/>
    <sheet name="Sheet1" sheetId="1" r:id="rId6"/>
    <sheet name="all-global-ins" sheetId="10" r:id="rId7"/>
    <sheet name="will-call-alert-insert" sheetId="2" r:id="rId8"/>
    <sheet name="will-call-alert-upd" sheetId="6" r:id="rId9"/>
    <sheet name="Sheet2" sheetId="15" r:id="rId10"/>
    <sheet name="fsaleart-ins" sheetId="9" r:id="rId11"/>
    <sheet name="fsalert-upd" sheetId="5" r:id="rId12"/>
    <sheet name="dbalert-ins" sheetId="11" r:id="rId13"/>
    <sheet name="dbalert-upd" sheetId="4" r:id="rId14"/>
    <sheet name="AU01" sheetId="13" r:id="rId15"/>
    <sheet name="rma_asn_7_days" sheetId="8" r:id="rId16"/>
    <sheet name="rma_asn_30_days" sheetId="14" r:id="rId17"/>
    <sheet name="sheet11" sheetId="7" r:id="rId18"/>
    <sheet name="Sheet12" sheetId="12" r:id="rId19"/>
  </sheets>
  <definedNames>
    <definedName name="_xlnm._FilterDatabase" localSheetId="3" hidden="1">createdetaildbalert!$A$1:$S$1</definedName>
    <definedName name="_xlnm._FilterDatabase" localSheetId="5" hidden="1">Sheet1!$A$1:$C$173</definedName>
    <definedName name="_xlnm._FilterDatabase" localSheetId="4" hidden="1">updatedetaildbalert!$A$1:$S$1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8" l="1"/>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2" i="18"/>
  <c r="K3" i="18" a="1"/>
  <c r="K3" i="18" s="1"/>
  <c r="K4" i="18" a="1"/>
  <c r="K4" i="18" s="1"/>
  <c r="K5" i="18" a="1"/>
  <c r="K5" i="18" s="1"/>
  <c r="K6" i="18" a="1"/>
  <c r="K6" i="18" s="1"/>
  <c r="K7" i="18" a="1"/>
  <c r="K7" i="18" s="1"/>
  <c r="K8" i="18" a="1"/>
  <c r="K8" i="18"/>
  <c r="K9" i="18" a="1"/>
  <c r="K9" i="18"/>
  <c r="K10" i="18" a="1"/>
  <c r="K10" i="18" s="1"/>
  <c r="K11" i="18" a="1"/>
  <c r="K11" i="18"/>
  <c r="K12" i="18" a="1"/>
  <c r="K12" i="18"/>
  <c r="K13" i="18" a="1"/>
  <c r="K13" i="18" s="1"/>
  <c r="K14" i="18" a="1"/>
  <c r="K14" i="18"/>
  <c r="K15" i="18" a="1"/>
  <c r="K15" i="18"/>
  <c r="K16" i="18" a="1"/>
  <c r="K16" i="18"/>
  <c r="K17" i="18" a="1"/>
  <c r="K17" i="18" s="1"/>
  <c r="K18" i="18" a="1"/>
  <c r="K18" i="18"/>
  <c r="K19" i="18" a="1"/>
  <c r="K19" i="18"/>
  <c r="K20" i="18" a="1"/>
  <c r="K20" i="18" s="1"/>
  <c r="K21" i="18" a="1"/>
  <c r="K21" i="18"/>
  <c r="K22" i="18" a="1"/>
  <c r="K22" i="18"/>
  <c r="K23" i="18" a="1"/>
  <c r="K23" i="18"/>
  <c r="K24" i="18" a="1"/>
  <c r="K24" i="18" s="1"/>
  <c r="K25" i="18" a="1"/>
  <c r="K25" i="18"/>
  <c r="K26" i="18" a="1"/>
  <c r="K26" i="18"/>
  <c r="K27" i="18" a="1"/>
  <c r="K27" i="18" s="1"/>
  <c r="K28" i="18" a="1"/>
  <c r="K28" i="18"/>
  <c r="K29" i="18" a="1"/>
  <c r="K29" i="18"/>
  <c r="K30" i="18" a="1"/>
  <c r="K30" i="18"/>
  <c r="K31" i="18" a="1"/>
  <c r="K31" i="18" s="1"/>
  <c r="K32" i="18" a="1"/>
  <c r="K32" i="18"/>
  <c r="K33" i="18" a="1"/>
  <c r="K33" i="18"/>
  <c r="K34" i="18" a="1"/>
  <c r="K34" i="18" s="1"/>
  <c r="K35" i="18" a="1"/>
  <c r="K35" i="18"/>
  <c r="K36" i="18" a="1"/>
  <c r="K36" i="18"/>
  <c r="K37" i="18" a="1"/>
  <c r="K37" i="18"/>
  <c r="K38" i="18" a="1"/>
  <c r="K38" i="18" s="1"/>
  <c r="K39" i="18" a="1"/>
  <c r="K39" i="18"/>
  <c r="K40" i="18" a="1"/>
  <c r="K40" i="18"/>
  <c r="K41" i="18" a="1"/>
  <c r="K41" i="18" s="1"/>
  <c r="K42" i="18" a="1"/>
  <c r="K42" i="18"/>
  <c r="K43" i="18" a="1"/>
  <c r="K43" i="18"/>
  <c r="K44" i="18" a="1"/>
  <c r="K44" i="18"/>
  <c r="K45" i="18" a="1"/>
  <c r="K45" i="18" s="1"/>
  <c r="K46" i="18" a="1"/>
  <c r="K46" i="18"/>
  <c r="K47" i="18" a="1"/>
  <c r="K47" i="18"/>
  <c r="K48" i="18" a="1"/>
  <c r="K48" i="18" s="1"/>
  <c r="K49" i="18" a="1"/>
  <c r="K49" i="18"/>
  <c r="K50" i="18" a="1"/>
  <c r="K50" i="18"/>
  <c r="K51" i="18" a="1"/>
  <c r="K51" i="18"/>
  <c r="K52" i="18" a="1"/>
  <c r="K52" i="18" s="1"/>
  <c r="K53" i="18" a="1"/>
  <c r="K53" i="18" s="1"/>
  <c r="K54" i="18" a="1"/>
  <c r="K54" i="18"/>
  <c r="K55" i="18" a="1"/>
  <c r="K55" i="18" s="1"/>
  <c r="K56" i="18" a="1"/>
  <c r="K56" i="18"/>
  <c r="K57" i="18" a="1"/>
  <c r="K57" i="18"/>
  <c r="K58" i="18" a="1"/>
  <c r="K58" i="18"/>
  <c r="K59" i="18" a="1"/>
  <c r="K59" i="18" s="1"/>
  <c r="K60" i="18" a="1"/>
  <c r="K60" i="18"/>
  <c r="K61" i="18" a="1"/>
  <c r="K61" i="18"/>
  <c r="K62" i="18" a="1"/>
  <c r="K62" i="18" s="1"/>
  <c r="K63" i="18" a="1"/>
  <c r="K63" i="18"/>
  <c r="K64" i="18" a="1"/>
  <c r="K64" i="18"/>
  <c r="K65" i="18" a="1"/>
  <c r="K65" i="18"/>
  <c r="K66" i="18" a="1"/>
  <c r="K66" i="18" s="1"/>
  <c r="K67" i="18" a="1"/>
  <c r="K67" i="18" s="1"/>
  <c r="K68" i="18" a="1"/>
  <c r="K68" i="18"/>
  <c r="K69" i="18" a="1"/>
  <c r="K69" i="18" s="1"/>
  <c r="K70" i="18" a="1"/>
  <c r="K70" i="18"/>
  <c r="K71" i="18" a="1"/>
  <c r="K71" i="18"/>
  <c r="K72" i="18" a="1"/>
  <c r="K72" i="18"/>
  <c r="K73" i="18" a="1"/>
  <c r="K73" i="18" s="1"/>
  <c r="K74" i="18" a="1"/>
  <c r="K74" i="18" s="1"/>
  <c r="K2" i="18" a="1"/>
  <c r="K2" i="18" s="1"/>
  <c r="D35" i="17"/>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B46" i="20"/>
  <c r="B47" i="20" s="1"/>
  <c r="B48" i="20" s="1"/>
  <c r="B49" i="20" s="1"/>
  <c r="B50" i="20" s="1"/>
  <c r="B51" i="20" s="1"/>
  <c r="B52" i="20" s="1"/>
  <c r="B53" i="20" s="1"/>
  <c r="B54" i="20" s="1"/>
  <c r="B55" i="20" s="1"/>
  <c r="B56" i="20" s="1"/>
  <c r="B57" i="20" s="1"/>
  <c r="B58" i="20" s="1"/>
  <c r="B59" i="20" s="1"/>
  <c r="B60" i="20" s="1"/>
  <c r="B61" i="20" s="1"/>
  <c r="B62" i="20" s="1"/>
  <c r="B63" i="20" s="1"/>
  <c r="B64" i="20" s="1"/>
  <c r="B65" i="20" s="1"/>
  <c r="B66" i="20" s="1"/>
  <c r="B67" i="20" s="1"/>
  <c r="B68" i="20" s="1"/>
  <c r="B69" i="20" s="1"/>
  <c r="B70" i="20" s="1"/>
  <c r="B71" i="20" s="1"/>
  <c r="B72" i="20" s="1"/>
  <c r="B73" i="20" s="1"/>
  <c r="B74" i="20" s="1"/>
  <c r="B75" i="20" s="1"/>
  <c r="B76" i="20" s="1"/>
  <c r="B77" i="20" s="1"/>
  <c r="B78" i="20" s="1"/>
  <c r="B79" i="20" s="1"/>
  <c r="B80" i="20" s="1"/>
  <c r="B81" i="20" s="1"/>
  <c r="B82" i="20" s="1"/>
  <c r="B83" i="20" s="1"/>
  <c r="B84" i="20" s="1"/>
  <c r="B85" i="20" s="1"/>
  <c r="B86" i="20" s="1"/>
  <c r="B87" i="20" s="1"/>
  <c r="B3" i="20"/>
  <c r="B4" i="20" s="1"/>
  <c r="B13" i="18"/>
  <c r="I13" i="18" s="1"/>
  <c r="B14" i="18"/>
  <c r="I14" i="18" s="1"/>
  <c r="B15" i="18"/>
  <c r="I15" i="18" s="1"/>
  <c r="B16" i="18"/>
  <c r="I16" i="18" s="1"/>
  <c r="B17" i="18"/>
  <c r="I17" i="18" s="1"/>
  <c r="B18" i="18"/>
  <c r="I18" i="18" s="1"/>
  <c r="B19" i="18"/>
  <c r="I19" i="18" s="1"/>
  <c r="B20" i="18"/>
  <c r="I20" i="18" s="1"/>
  <c r="B21" i="18"/>
  <c r="I21" i="18" s="1"/>
  <c r="B22" i="18"/>
  <c r="I22" i="18" s="1"/>
  <c r="B23" i="18"/>
  <c r="I23" i="18" s="1"/>
  <c r="B24" i="18"/>
  <c r="I24" i="18" s="1"/>
  <c r="B25" i="18"/>
  <c r="I25" i="18" s="1"/>
  <c r="B26" i="18"/>
  <c r="I26" i="18" s="1"/>
  <c r="B27" i="18"/>
  <c r="I27" i="18" s="1"/>
  <c r="B28" i="18"/>
  <c r="I28" i="18" s="1"/>
  <c r="B29" i="18"/>
  <c r="I29" i="18" s="1"/>
  <c r="B30" i="18"/>
  <c r="I30" i="18" s="1"/>
  <c r="B31" i="18"/>
  <c r="I31" i="18" s="1"/>
  <c r="B32" i="18"/>
  <c r="I32" i="18" s="1"/>
  <c r="B33" i="18"/>
  <c r="I33" i="18" s="1"/>
  <c r="B34" i="18"/>
  <c r="I34" i="18" s="1"/>
  <c r="B35" i="18"/>
  <c r="I35" i="18" s="1"/>
  <c r="B36" i="18"/>
  <c r="I36" i="18" s="1"/>
  <c r="B37" i="18"/>
  <c r="I37" i="18" s="1"/>
  <c r="B38" i="18"/>
  <c r="I38" i="18" s="1"/>
  <c r="B39" i="18"/>
  <c r="I39" i="18" s="1"/>
  <c r="B40" i="18"/>
  <c r="I40" i="18" s="1"/>
  <c r="B41" i="18"/>
  <c r="I41" i="18" s="1"/>
  <c r="B42" i="18"/>
  <c r="I42" i="18" s="1"/>
  <c r="B43" i="18"/>
  <c r="I43" i="18" s="1"/>
  <c r="B44" i="18"/>
  <c r="I44" i="18" s="1"/>
  <c r="B45" i="18"/>
  <c r="I45" i="18" s="1"/>
  <c r="B46" i="18"/>
  <c r="I46" i="18" s="1"/>
  <c r="B47" i="18"/>
  <c r="I47" i="18" s="1"/>
  <c r="B48" i="18"/>
  <c r="I48" i="18" s="1"/>
  <c r="B49" i="18"/>
  <c r="I49" i="18" s="1"/>
  <c r="B50" i="18"/>
  <c r="I50" i="18" s="1"/>
  <c r="B51" i="18"/>
  <c r="I51" i="18" s="1"/>
  <c r="B52" i="18"/>
  <c r="I52" i="18" s="1"/>
  <c r="B53" i="18"/>
  <c r="I53" i="18" s="1"/>
  <c r="B54" i="18"/>
  <c r="I54" i="18" s="1"/>
  <c r="B55" i="18"/>
  <c r="I55" i="18" s="1"/>
  <c r="B56" i="18"/>
  <c r="I56" i="18" s="1"/>
  <c r="B57" i="18"/>
  <c r="I57" i="18" s="1"/>
  <c r="B58" i="18"/>
  <c r="I58" i="18" s="1"/>
  <c r="B59" i="18"/>
  <c r="I59" i="18" s="1"/>
  <c r="B60" i="18"/>
  <c r="I60" i="18" s="1"/>
  <c r="B61" i="18"/>
  <c r="I61" i="18" s="1"/>
  <c r="B62" i="18"/>
  <c r="I62" i="18" s="1"/>
  <c r="B63" i="18"/>
  <c r="I63" i="18" s="1"/>
  <c r="B64" i="18"/>
  <c r="I64" i="18" s="1"/>
  <c r="B65" i="18"/>
  <c r="I65" i="18" s="1"/>
  <c r="B66" i="18"/>
  <c r="I66" i="18" s="1"/>
  <c r="B67" i="18"/>
  <c r="I67" i="18" s="1"/>
  <c r="B68" i="18"/>
  <c r="I68" i="18" s="1"/>
  <c r="B69" i="18"/>
  <c r="I69" i="18" s="1"/>
  <c r="B70" i="18"/>
  <c r="I70" i="18" s="1"/>
  <c r="B71" i="18"/>
  <c r="I71" i="18" s="1"/>
  <c r="B72" i="18"/>
  <c r="I72" i="18" s="1"/>
  <c r="B73" i="18"/>
  <c r="I73" i="18" s="1"/>
  <c r="B74" i="18"/>
  <c r="I74" i="18" s="1"/>
  <c r="B12" i="18"/>
  <c r="I12" i="18" s="1"/>
  <c r="B11" i="18"/>
  <c r="I11" i="18" s="1"/>
  <c r="B10" i="18"/>
  <c r="I10" i="18" s="1"/>
  <c r="B9" i="18"/>
  <c r="I9" i="18" s="1"/>
  <c r="B8" i="18"/>
  <c r="I8" i="18" s="1"/>
  <c r="B7" i="18"/>
  <c r="I7" i="18" s="1"/>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 i="18"/>
  <c r="A40" i="19"/>
  <c r="B40" i="19" s="1"/>
  <c r="A41" i="19"/>
  <c r="B41" i="19" s="1"/>
  <c r="A42" i="19"/>
  <c r="B42" i="19" s="1"/>
  <c r="A43" i="19"/>
  <c r="B43" i="19" s="1"/>
  <c r="A44" i="19"/>
  <c r="B44" i="19" s="1"/>
  <c r="A45" i="19"/>
  <c r="B45" i="19" s="1"/>
  <c r="A46" i="19"/>
  <c r="B46" i="19" s="1"/>
  <c r="A47" i="19"/>
  <c r="B47" i="19" s="1"/>
  <c r="A48" i="19"/>
  <c r="B48" i="19" s="1"/>
  <c r="A49" i="19"/>
  <c r="B49" i="19" s="1"/>
  <c r="A50" i="19"/>
  <c r="B50" i="19" s="1"/>
  <c r="A51" i="19"/>
  <c r="B51" i="19" s="1"/>
  <c r="A52" i="19"/>
  <c r="B52" i="19" s="1"/>
  <c r="A53" i="19"/>
  <c r="B53" i="19" s="1"/>
  <c r="A54" i="19"/>
  <c r="B54" i="19" s="1"/>
  <c r="A55" i="19"/>
  <c r="B55" i="19" s="1"/>
  <c r="A56" i="19"/>
  <c r="B56" i="19" s="1"/>
  <c r="A57" i="19"/>
  <c r="B57" i="19" s="1"/>
  <c r="A58" i="19"/>
  <c r="B58" i="19" s="1"/>
  <c r="A59" i="19"/>
  <c r="B59" i="19" s="1"/>
  <c r="A60" i="19"/>
  <c r="B60" i="19" s="1"/>
  <c r="A61" i="19"/>
  <c r="B61" i="19" s="1"/>
  <c r="A62" i="19"/>
  <c r="B62" i="19" s="1"/>
  <c r="A63" i="19"/>
  <c r="B63" i="19" s="1"/>
  <c r="A64" i="19"/>
  <c r="B64" i="19" s="1"/>
  <c r="A65" i="19"/>
  <c r="B65" i="19" s="1"/>
  <c r="A66" i="19"/>
  <c r="B66" i="19" s="1"/>
  <c r="A67" i="19"/>
  <c r="B67" i="19" s="1"/>
  <c r="A68" i="19"/>
  <c r="B68" i="19" s="1"/>
  <c r="A69" i="19"/>
  <c r="B69" i="19" s="1"/>
  <c r="A70" i="19"/>
  <c r="B70" i="19" s="1"/>
  <c r="A71" i="19"/>
  <c r="B71" i="19" s="1"/>
  <c r="A72" i="19"/>
  <c r="B72" i="19" s="1"/>
  <c r="A73" i="19"/>
  <c r="B73" i="19" s="1"/>
  <c r="A74" i="19"/>
  <c r="B74" i="19" s="1"/>
  <c r="A75" i="19"/>
  <c r="B75" i="19" s="1"/>
  <c r="A15" i="19"/>
  <c r="B15" i="19" s="1"/>
  <c r="A16" i="19"/>
  <c r="B16" i="19" s="1"/>
  <c r="A17" i="19"/>
  <c r="B17" i="19" s="1"/>
  <c r="A18" i="19"/>
  <c r="B18" i="19" s="1"/>
  <c r="A19" i="19"/>
  <c r="B19" i="19" s="1"/>
  <c r="A20" i="19"/>
  <c r="B20" i="19" s="1"/>
  <c r="A21" i="19"/>
  <c r="B21" i="19" s="1"/>
  <c r="A22" i="19"/>
  <c r="B22" i="19" s="1"/>
  <c r="A23" i="19"/>
  <c r="B23" i="19" s="1"/>
  <c r="A24" i="19"/>
  <c r="B24" i="19" s="1"/>
  <c r="A25" i="19"/>
  <c r="B25" i="19" s="1"/>
  <c r="A26" i="19"/>
  <c r="B26" i="19" s="1"/>
  <c r="A27" i="19"/>
  <c r="B27" i="19" s="1"/>
  <c r="A28" i="19"/>
  <c r="B28" i="19" s="1"/>
  <c r="A29" i="19"/>
  <c r="B29" i="19" s="1"/>
  <c r="A30" i="19"/>
  <c r="B30" i="19" s="1"/>
  <c r="A31" i="19"/>
  <c r="B31" i="19" s="1"/>
  <c r="A32" i="19"/>
  <c r="B32" i="19" s="1"/>
  <c r="A33" i="19"/>
  <c r="B33" i="19" s="1"/>
  <c r="A34" i="19"/>
  <c r="B34" i="19" s="1"/>
  <c r="A35" i="19"/>
  <c r="B35" i="19" s="1"/>
  <c r="A36" i="19"/>
  <c r="B36" i="19" s="1"/>
  <c r="A37" i="19"/>
  <c r="B37" i="19" s="1"/>
  <c r="A38" i="19"/>
  <c r="B38" i="19" s="1"/>
  <c r="A39" i="19"/>
  <c r="B39" i="19" s="1"/>
  <c r="A9" i="19"/>
  <c r="B9" i="19" s="1"/>
  <c r="A10" i="19"/>
  <c r="B10" i="19" s="1"/>
  <c r="A11" i="19"/>
  <c r="B11" i="19" s="1"/>
  <c r="A12" i="19"/>
  <c r="B12" i="19" s="1"/>
  <c r="A13" i="19"/>
  <c r="B13" i="19" s="1"/>
  <c r="A14" i="19"/>
  <c r="B14" i="19" s="1"/>
  <c r="A8" i="19"/>
  <c r="B8" i="19" s="1"/>
  <c r="A7" i="19"/>
  <c r="B7" i="19" s="1"/>
  <c r="A6" i="19"/>
  <c r="B6" i="19" s="1"/>
  <c r="A5" i="19"/>
  <c r="B5" i="19" s="1"/>
  <c r="A4" i="19"/>
  <c r="B4" i="19" s="1"/>
  <c r="A3" i="19"/>
  <c r="B3" i="19" s="1"/>
  <c r="H5" i="18"/>
  <c r="J3" i="18"/>
  <c r="H3" i="18"/>
  <c r="C3" i="9"/>
  <c r="O2" i="20"/>
  <c r="P23" i="20"/>
  <c r="P4" i="20"/>
  <c r="P5" i="20"/>
  <c r="P6" i="20"/>
  <c r="P8" i="20"/>
  <c r="P9" i="20"/>
  <c r="P10" i="20"/>
  <c r="P11" i="20"/>
  <c r="P12" i="20"/>
  <c r="P13" i="20"/>
  <c r="P14" i="20"/>
  <c r="P15" i="20"/>
  <c r="P16" i="20"/>
  <c r="P17" i="20"/>
  <c r="P18" i="20"/>
  <c r="P19" i="20"/>
  <c r="P20" i="20"/>
  <c r="P21" i="20"/>
  <c r="P22" i="20"/>
  <c r="P24" i="20"/>
  <c r="P25" i="20"/>
  <c r="P26" i="20"/>
  <c r="P27" i="20"/>
  <c r="P28" i="20"/>
  <c r="P29" i="20"/>
  <c r="P30" i="20"/>
  <c r="P31" i="20"/>
  <c r="P32" i="20"/>
  <c r="P33" i="20"/>
  <c r="P34" i="20"/>
  <c r="P35" i="20"/>
  <c r="P36" i="20"/>
  <c r="P37" i="20"/>
  <c r="P38" i="20"/>
  <c r="P39" i="20"/>
  <c r="P40" i="20"/>
  <c r="P41" i="20"/>
  <c r="P42" i="20"/>
  <c r="P43" i="20"/>
  <c r="P44" i="20"/>
  <c r="P7" i="20"/>
  <c r="P3" i="20"/>
  <c r="P2" i="20"/>
  <c r="Q2" i="20" s="1"/>
  <c r="H4" i="18"/>
  <c r="H6" i="18"/>
  <c r="B6" i="18"/>
  <c r="I6" i="18" s="1"/>
  <c r="B3" i="18"/>
  <c r="I3" i="18" s="1"/>
  <c r="B4" i="18"/>
  <c r="I4" i="18" s="1"/>
  <c r="B5" i="18"/>
  <c r="I5" i="18" s="1"/>
  <c r="N2" i="17"/>
  <c r="O4" i="20" l="1"/>
  <c r="B5" i="20"/>
  <c r="O3" i="20"/>
  <c r="Q3" i="20" s="1"/>
  <c r="D39" i="17"/>
  <c r="D38" i="17"/>
  <c r="D37" i="17"/>
  <c r="D36"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H2" i="18"/>
  <c r="B2" i="18"/>
  <c r="I1" i="18"/>
  <c r="B1" i="18"/>
  <c r="K39" i="17"/>
  <c r="K38" i="17"/>
  <c r="K37" i="17"/>
  <c r="K36" i="17"/>
  <c r="K35" i="17"/>
  <c r="K34" i="17"/>
  <c r="N34" i="17" s="1"/>
  <c r="K33" i="17"/>
  <c r="K32" i="17"/>
  <c r="N32" i="17" s="1"/>
  <c r="K31" i="17"/>
  <c r="K30" i="17"/>
  <c r="K29" i="17"/>
  <c r="N29" i="17" s="1"/>
  <c r="K28" i="17"/>
  <c r="N28" i="17" s="1"/>
  <c r="K27" i="17"/>
  <c r="K26" i="17"/>
  <c r="K25" i="17"/>
  <c r="K24" i="17"/>
  <c r="K23" i="17"/>
  <c r="K22" i="17"/>
  <c r="K21" i="17"/>
  <c r="K20" i="17"/>
  <c r="K19" i="17"/>
  <c r="K18" i="17"/>
  <c r="N18" i="17" s="1"/>
  <c r="K17" i="17"/>
  <c r="K16" i="17"/>
  <c r="K15" i="17"/>
  <c r="K14" i="17"/>
  <c r="K13" i="17"/>
  <c r="K12" i="17"/>
  <c r="N12" i="17" s="1"/>
  <c r="K11" i="17"/>
  <c r="K10" i="17"/>
  <c r="K9" i="17"/>
  <c r="N9" i="17" s="1"/>
  <c r="K8" i="17"/>
  <c r="N8" i="17" s="1"/>
  <c r="K7" i="17"/>
  <c r="N7" i="17" s="1"/>
  <c r="K6" i="17"/>
  <c r="N6" i="17" s="1"/>
  <c r="K5" i="17"/>
  <c r="K4" i="17"/>
  <c r="K3" i="17"/>
  <c r="K2" i="17"/>
  <c r="C13" i="8"/>
  <c r="D13" i="8" s="1"/>
  <c r="C12" i="8"/>
  <c r="D12" i="8" s="1"/>
  <c r="C11" i="8"/>
  <c r="D11" i="8" s="1"/>
  <c r="C10" i="8"/>
  <c r="D10" i="8" s="1"/>
  <c r="C9" i="8"/>
  <c r="C9" i="14"/>
  <c r="D9" i="14"/>
  <c r="C9" i="13"/>
  <c r="C41" i="13"/>
  <c r="D41" i="13" s="1"/>
  <c r="C40" i="13"/>
  <c r="D40" i="13" s="1"/>
  <c r="C39" i="13"/>
  <c r="C38" i="13"/>
  <c r="D38" i="13" s="1"/>
  <c r="C37" i="13"/>
  <c r="D37" i="13" s="1"/>
  <c r="C36" i="13"/>
  <c r="D36" i="13" s="1"/>
  <c r="C35" i="13"/>
  <c r="D35" i="13" s="1"/>
  <c r="C34" i="13"/>
  <c r="C33" i="13"/>
  <c r="D33" i="13" s="1"/>
  <c r="C32" i="13"/>
  <c r="D32" i="13" s="1"/>
  <c r="C31" i="13"/>
  <c r="D31" i="13" s="1"/>
  <c r="C30" i="13"/>
  <c r="D30" i="13" s="1"/>
  <c r="C29" i="13"/>
  <c r="D29" i="13" s="1"/>
  <c r="C28" i="13"/>
  <c r="D28" i="13" s="1"/>
  <c r="C27" i="13"/>
  <c r="D27" i="13" s="1"/>
  <c r="C26" i="13"/>
  <c r="D26" i="13" s="1"/>
  <c r="C25" i="13"/>
  <c r="D25" i="13" s="1"/>
  <c r="C24" i="13"/>
  <c r="D24" i="13" s="1"/>
  <c r="C23" i="13"/>
  <c r="D23" i="13" s="1"/>
  <c r="C22" i="13"/>
  <c r="D22" i="13" s="1"/>
  <c r="C21" i="13"/>
  <c r="D21" i="13" s="1"/>
  <c r="C20" i="13"/>
  <c r="D20" i="13" s="1"/>
  <c r="C19" i="13"/>
  <c r="D19" i="13" s="1"/>
  <c r="C18" i="13"/>
  <c r="D18" i="13" s="1"/>
  <c r="C17" i="13"/>
  <c r="D17" i="13" s="1"/>
  <c r="C16" i="13"/>
  <c r="D16" i="13" s="1"/>
  <c r="C15" i="13"/>
  <c r="C14" i="13"/>
  <c r="D14" i="13" s="1"/>
  <c r="C13" i="13"/>
  <c r="C12" i="13"/>
  <c r="C11" i="13"/>
  <c r="D11" i="13" s="1"/>
  <c r="C10" i="13"/>
  <c r="D10" i="13" s="1"/>
  <c r="D15" i="13"/>
  <c r="D34" i="13"/>
  <c r="D13" i="13"/>
  <c r="D12" i="13"/>
  <c r="D9" i="13"/>
  <c r="D39" i="13"/>
  <c r="D9" i="8"/>
  <c r="C6" i="4"/>
  <c r="C5" i="4"/>
  <c r="C4" i="4"/>
  <c r="C3"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7" i="5"/>
  <c r="C6" i="5"/>
  <c r="C5" i="5"/>
  <c r="C4" i="5"/>
  <c r="C3" i="5"/>
  <c r="C6" i="11"/>
  <c r="D6" i="11" s="1"/>
  <c r="C5" i="11"/>
  <c r="D5" i="11" s="1"/>
  <c r="C4" i="11"/>
  <c r="D4" i="11" s="1"/>
  <c r="C3" i="11"/>
  <c r="D3" i="11" s="1"/>
  <c r="C7" i="9"/>
  <c r="D7" i="9" s="1"/>
  <c r="C6" i="9"/>
  <c r="D6" i="9" s="1"/>
  <c r="C5" i="9"/>
  <c r="D5" i="9" s="1"/>
  <c r="C4" i="9"/>
  <c r="D4" i="9" s="1"/>
  <c r="D3" i="9"/>
  <c r="C16" i="2"/>
  <c r="D16" i="2" s="1"/>
  <c r="C15" i="2"/>
  <c r="D15" i="2" s="1"/>
  <c r="C14" i="2"/>
  <c r="C13" i="2"/>
  <c r="C12" i="2"/>
  <c r="C11" i="2"/>
  <c r="C10" i="2"/>
  <c r="C9" i="2"/>
  <c r="C8" i="2"/>
  <c r="C7" i="2"/>
  <c r="C6" i="2"/>
  <c r="C5" i="2"/>
  <c r="C4" i="2"/>
  <c r="C3" i="2"/>
  <c r="D3" i="2" s="1"/>
  <c r="D14" i="2"/>
  <c r="D13" i="2"/>
  <c r="D12" i="2"/>
  <c r="D11" i="2"/>
  <c r="D10" i="2"/>
  <c r="D9" i="2"/>
  <c r="D8" i="2"/>
  <c r="D7" i="2"/>
  <c r="D6" i="2"/>
  <c r="D5" i="2"/>
  <c r="D4" i="2"/>
  <c r="D2" i="1"/>
  <c r="E2" i="1" s="1"/>
  <c r="D4" i="1"/>
  <c r="E114" i="1"/>
  <c r="D173" i="1"/>
  <c r="E173" i="1" s="1"/>
  <c r="D172" i="1"/>
  <c r="E172" i="1" s="1"/>
  <c r="D171" i="1"/>
  <c r="E171" i="1" s="1"/>
  <c r="D170" i="1"/>
  <c r="E170" i="1" s="1"/>
  <c r="D169" i="1"/>
  <c r="E169" i="1" s="1"/>
  <c r="D168" i="1"/>
  <c r="E168" i="1" s="1"/>
  <c r="D167" i="1"/>
  <c r="E167" i="1" s="1"/>
  <c r="D166" i="1"/>
  <c r="E166" i="1" s="1"/>
  <c r="D165" i="1"/>
  <c r="E165" i="1" s="1"/>
  <c r="D164" i="1"/>
  <c r="E164" i="1" s="1"/>
  <c r="D163" i="1"/>
  <c r="E163" i="1" s="1"/>
  <c r="D162" i="1"/>
  <c r="E162" i="1" s="1"/>
  <c r="D161" i="1"/>
  <c r="E161" i="1" s="1"/>
  <c r="D160" i="1"/>
  <c r="E160" i="1" s="1"/>
  <c r="D159" i="1"/>
  <c r="E159" i="1" s="1"/>
  <c r="D158" i="1"/>
  <c r="E158" i="1" s="1"/>
  <c r="D157" i="1"/>
  <c r="E157" i="1" s="1"/>
  <c r="D156" i="1"/>
  <c r="E156" i="1" s="1"/>
  <c r="D155" i="1"/>
  <c r="E155" i="1" s="1"/>
  <c r="D154" i="1"/>
  <c r="E154" i="1" s="1"/>
  <c r="D153" i="1"/>
  <c r="E153" i="1" s="1"/>
  <c r="D152" i="1"/>
  <c r="E152" i="1" s="1"/>
  <c r="D151" i="1"/>
  <c r="E151" i="1" s="1"/>
  <c r="D150" i="1"/>
  <c r="E150" i="1" s="1"/>
  <c r="D149" i="1"/>
  <c r="E149" i="1" s="1"/>
  <c r="D148" i="1"/>
  <c r="E148" i="1" s="1"/>
  <c r="D147" i="1"/>
  <c r="E147" i="1" s="1"/>
  <c r="D146" i="1"/>
  <c r="E146" i="1" s="1"/>
  <c r="D145" i="1"/>
  <c r="E145" i="1" s="1"/>
  <c r="D144" i="1"/>
  <c r="E144" i="1" s="1"/>
  <c r="D143" i="1"/>
  <c r="E143" i="1" s="1"/>
  <c r="D142" i="1"/>
  <c r="E142" i="1" s="1"/>
  <c r="D141" i="1"/>
  <c r="E141" i="1" s="1"/>
  <c r="D140" i="1"/>
  <c r="E140" i="1" s="1"/>
  <c r="D139" i="1"/>
  <c r="E139" i="1" s="1"/>
  <c r="D138" i="1"/>
  <c r="E138" i="1" s="1"/>
  <c r="D137" i="1"/>
  <c r="E137" i="1" s="1"/>
  <c r="D136" i="1"/>
  <c r="E136" i="1" s="1"/>
  <c r="D135" i="1"/>
  <c r="E135" i="1" s="1"/>
  <c r="D134" i="1"/>
  <c r="E134" i="1" s="1"/>
  <c r="D133" i="1"/>
  <c r="E133" i="1" s="1"/>
  <c r="D132" i="1"/>
  <c r="E132" i="1" s="1"/>
  <c r="D131" i="1"/>
  <c r="E131" i="1" s="1"/>
  <c r="D130" i="1"/>
  <c r="E130" i="1" s="1"/>
  <c r="D129" i="1"/>
  <c r="E129" i="1" s="1"/>
  <c r="D128" i="1"/>
  <c r="E128" i="1" s="1"/>
  <c r="D127" i="1"/>
  <c r="E127" i="1" s="1"/>
  <c r="D126" i="1"/>
  <c r="E126" i="1" s="1"/>
  <c r="D125" i="1"/>
  <c r="E125" i="1" s="1"/>
  <c r="D124" i="1"/>
  <c r="E124" i="1" s="1"/>
  <c r="D123" i="1"/>
  <c r="E123" i="1" s="1"/>
  <c r="D122" i="1"/>
  <c r="E122" i="1" s="1"/>
  <c r="D121" i="1"/>
  <c r="E121" i="1" s="1"/>
  <c r="D120" i="1"/>
  <c r="E120" i="1" s="1"/>
  <c r="D119" i="1"/>
  <c r="E119" i="1" s="1"/>
  <c r="D118" i="1"/>
  <c r="E118" i="1" s="1"/>
  <c r="D117" i="1"/>
  <c r="E117" i="1" s="1"/>
  <c r="D116" i="1"/>
  <c r="E116" i="1" s="1"/>
  <c r="D115" i="1"/>
  <c r="E115" i="1" s="1"/>
  <c r="D114" i="1"/>
  <c r="D113" i="1"/>
  <c r="E113" i="1" s="1"/>
  <c r="D112" i="1"/>
  <c r="E112" i="1" s="1"/>
  <c r="D111" i="1"/>
  <c r="E111" i="1" s="1"/>
  <c r="D110" i="1"/>
  <c r="E110" i="1" s="1"/>
  <c r="D109" i="1"/>
  <c r="E109" i="1" s="1"/>
  <c r="D108" i="1"/>
  <c r="E108" i="1" s="1"/>
  <c r="D107" i="1"/>
  <c r="E107" i="1" s="1"/>
  <c r="D106" i="1"/>
  <c r="E106" i="1" s="1"/>
  <c r="D105" i="1"/>
  <c r="E105" i="1" s="1"/>
  <c r="D104" i="1"/>
  <c r="E104" i="1" s="1"/>
  <c r="D103" i="1"/>
  <c r="E103" i="1" s="1"/>
  <c r="D102" i="1"/>
  <c r="E102" i="1" s="1"/>
  <c r="D101" i="1"/>
  <c r="E101" i="1" s="1"/>
  <c r="D100" i="1"/>
  <c r="E100" i="1" s="1"/>
  <c r="D99" i="1"/>
  <c r="E99" i="1" s="1"/>
  <c r="D98" i="1"/>
  <c r="E98" i="1" s="1"/>
  <c r="D97" i="1"/>
  <c r="E97" i="1" s="1"/>
  <c r="D96" i="1"/>
  <c r="E96" i="1" s="1"/>
  <c r="D95" i="1"/>
  <c r="E95" i="1" s="1"/>
  <c r="D94" i="1"/>
  <c r="E94" i="1" s="1"/>
  <c r="D93" i="1"/>
  <c r="E93" i="1" s="1"/>
  <c r="D92" i="1"/>
  <c r="E92" i="1" s="1"/>
  <c r="D91" i="1"/>
  <c r="E91" i="1" s="1"/>
  <c r="D90" i="1"/>
  <c r="E90" i="1" s="1"/>
  <c r="D89" i="1"/>
  <c r="E89" i="1" s="1"/>
  <c r="D88" i="1"/>
  <c r="E88" i="1" s="1"/>
  <c r="D87" i="1"/>
  <c r="E87" i="1" s="1"/>
  <c r="D86" i="1"/>
  <c r="E86" i="1" s="1"/>
  <c r="D85" i="1"/>
  <c r="E85" i="1" s="1"/>
  <c r="D84" i="1"/>
  <c r="E84" i="1" s="1"/>
  <c r="D83" i="1"/>
  <c r="E83" i="1" s="1"/>
  <c r="D82" i="1"/>
  <c r="E82" i="1" s="1"/>
  <c r="D81" i="1"/>
  <c r="E81" i="1" s="1"/>
  <c r="D80" i="1"/>
  <c r="E80" i="1" s="1"/>
  <c r="D79" i="1"/>
  <c r="E79" i="1" s="1"/>
  <c r="D78" i="1"/>
  <c r="E78" i="1" s="1"/>
  <c r="D77" i="1"/>
  <c r="E77" i="1" s="1"/>
  <c r="D76" i="1"/>
  <c r="E76" i="1" s="1"/>
  <c r="D75" i="1"/>
  <c r="E75" i="1" s="1"/>
  <c r="D74" i="1"/>
  <c r="E74" i="1" s="1"/>
  <c r="D73" i="1"/>
  <c r="E73" i="1" s="1"/>
  <c r="D72" i="1"/>
  <c r="E72" i="1" s="1"/>
  <c r="D71" i="1"/>
  <c r="E71" i="1" s="1"/>
  <c r="D70" i="1"/>
  <c r="E70" i="1" s="1"/>
  <c r="D69" i="1"/>
  <c r="E69" i="1" s="1"/>
  <c r="D68" i="1"/>
  <c r="E68" i="1" s="1"/>
  <c r="D67" i="1"/>
  <c r="E67" i="1" s="1"/>
  <c r="D66" i="1"/>
  <c r="E66" i="1" s="1"/>
  <c r="D65" i="1"/>
  <c r="E65" i="1" s="1"/>
  <c r="D64" i="1"/>
  <c r="E64" i="1" s="1"/>
  <c r="D63" i="1"/>
  <c r="E63" i="1" s="1"/>
  <c r="D62" i="1"/>
  <c r="E62" i="1" s="1"/>
  <c r="D61" i="1"/>
  <c r="E61" i="1" s="1"/>
  <c r="D60" i="1"/>
  <c r="E60" i="1" s="1"/>
  <c r="D59" i="1"/>
  <c r="E59" i="1" s="1"/>
  <c r="D58" i="1"/>
  <c r="E58" i="1" s="1"/>
  <c r="D57" i="1"/>
  <c r="E57" i="1" s="1"/>
  <c r="D56" i="1"/>
  <c r="E56" i="1" s="1"/>
  <c r="D55" i="1"/>
  <c r="E55" i="1" s="1"/>
  <c r="D54" i="1"/>
  <c r="E54" i="1" s="1"/>
  <c r="D53" i="1"/>
  <c r="E53" i="1" s="1"/>
  <c r="D52" i="1"/>
  <c r="E52" i="1" s="1"/>
  <c r="D51" i="1"/>
  <c r="E51" i="1" s="1"/>
  <c r="D50" i="1"/>
  <c r="E50" i="1" s="1"/>
  <c r="D49" i="1"/>
  <c r="E49" i="1" s="1"/>
  <c r="D48" i="1"/>
  <c r="E48" i="1" s="1"/>
  <c r="D47" i="1"/>
  <c r="E47" i="1" s="1"/>
  <c r="D46" i="1"/>
  <c r="E46" i="1" s="1"/>
  <c r="D45" i="1"/>
  <c r="E45" i="1" s="1"/>
  <c r="D44" i="1"/>
  <c r="E44" i="1" s="1"/>
  <c r="D43" i="1"/>
  <c r="E43" i="1" s="1"/>
  <c r="D42" i="1"/>
  <c r="E42" i="1" s="1"/>
  <c r="D41" i="1"/>
  <c r="E41" i="1" s="1"/>
  <c r="D40" i="1"/>
  <c r="E40" i="1" s="1"/>
  <c r="D39" i="1"/>
  <c r="E39" i="1" s="1"/>
  <c r="D38" i="1"/>
  <c r="E38" i="1" s="1"/>
  <c r="D37" i="1"/>
  <c r="E37" i="1" s="1"/>
  <c r="D36" i="1"/>
  <c r="E36" i="1" s="1"/>
  <c r="D35" i="1"/>
  <c r="E35" i="1" s="1"/>
  <c r="D34" i="1"/>
  <c r="E34" i="1" s="1"/>
  <c r="D33" i="1"/>
  <c r="E33" i="1" s="1"/>
  <c r="D32" i="1"/>
  <c r="E32" i="1" s="1"/>
  <c r="D31" i="1"/>
  <c r="E31" i="1" s="1"/>
  <c r="D30" i="1"/>
  <c r="E30" i="1" s="1"/>
  <c r="D29" i="1"/>
  <c r="E29" i="1" s="1"/>
  <c r="D28" i="1"/>
  <c r="E28" i="1" s="1"/>
  <c r="D27" i="1"/>
  <c r="E27" i="1" s="1"/>
  <c r="D26" i="1"/>
  <c r="E26" i="1" s="1"/>
  <c r="D25" i="1"/>
  <c r="E25" i="1" s="1"/>
  <c r="D24" i="1"/>
  <c r="E24" i="1" s="1"/>
  <c r="D23" i="1"/>
  <c r="E23" i="1" s="1"/>
  <c r="D22" i="1"/>
  <c r="E22" i="1" s="1"/>
  <c r="D21" i="1"/>
  <c r="E21" i="1" s="1"/>
  <c r="D20" i="1"/>
  <c r="E20" i="1" s="1"/>
  <c r="D19" i="1"/>
  <c r="E19" i="1" s="1"/>
  <c r="D18" i="1"/>
  <c r="E18" i="1" s="1"/>
  <c r="D17" i="1"/>
  <c r="E17" i="1" s="1"/>
  <c r="D16" i="1"/>
  <c r="E16" i="1" s="1"/>
  <c r="D15" i="1"/>
  <c r="E15" i="1" s="1"/>
  <c r="D14" i="1"/>
  <c r="E14" i="1" s="1"/>
  <c r="D13" i="1"/>
  <c r="E13" i="1" s="1"/>
  <c r="D12" i="1"/>
  <c r="E12" i="1" s="1"/>
  <c r="D11" i="1"/>
  <c r="E11" i="1" s="1"/>
  <c r="D10" i="1"/>
  <c r="E10" i="1" s="1"/>
  <c r="D9" i="1"/>
  <c r="E9" i="1" s="1"/>
  <c r="D8" i="1"/>
  <c r="E8" i="1" s="1"/>
  <c r="D7" i="1"/>
  <c r="E7" i="1" s="1"/>
  <c r="D6" i="1"/>
  <c r="E6" i="1" s="1"/>
  <c r="D5" i="1"/>
  <c r="E5" i="1" s="1"/>
  <c r="E4" i="1"/>
  <c r="D3" i="1"/>
  <c r="E3" i="1" s="1"/>
  <c r="O5" i="20" l="1"/>
  <c r="Q5" i="20" s="1"/>
  <c r="B6" i="20"/>
  <c r="I2" i="18"/>
  <c r="J2" i="18"/>
  <c r="B2" i="17"/>
  <c r="B3" i="17" s="1"/>
  <c r="B4" i="17" s="1"/>
  <c r="B5" i="17" s="1"/>
  <c r="B6" i="17" s="1"/>
  <c r="A2" i="19"/>
  <c r="B2" i="19" s="1"/>
  <c r="N13" i="17"/>
  <c r="N33" i="17"/>
  <c r="N14" i="17"/>
  <c r="N17" i="17"/>
  <c r="N37" i="17"/>
  <c r="N38" i="17"/>
  <c r="N39" i="17"/>
  <c r="N20" i="17"/>
  <c r="N21" i="17"/>
  <c r="N3" i="17"/>
  <c r="N24" i="17"/>
  <c r="N23" i="17"/>
  <c r="N4" i="17"/>
  <c r="N26" i="17"/>
  <c r="N19" i="17"/>
  <c r="N27" i="17"/>
  <c r="N22" i="17"/>
  <c r="N5" i="17"/>
  <c r="N25" i="17"/>
  <c r="N30" i="17"/>
  <c r="N11" i="17"/>
  <c r="N15" i="17"/>
  <c r="N35" i="17"/>
  <c r="N16" i="17"/>
  <c r="N36" i="17"/>
  <c r="N10" i="17"/>
  <c r="N31" i="17"/>
  <c r="B7" i="20" l="1"/>
  <c r="O6" i="20"/>
  <c r="Q6" i="20" s="1"/>
  <c r="O3" i="17"/>
  <c r="O5" i="17"/>
  <c r="O4" i="17"/>
  <c r="O2" i="17"/>
  <c r="B7" i="17"/>
  <c r="O6" i="17"/>
  <c r="B8" i="20" l="1"/>
  <c r="O7" i="20"/>
  <c r="Q7" i="20" s="1"/>
  <c r="B8" i="17"/>
  <c r="O7" i="17"/>
  <c r="B9" i="20" l="1"/>
  <c r="O8" i="20"/>
  <c r="Q8" i="20" s="1"/>
  <c r="B9" i="17"/>
  <c r="O8" i="17"/>
  <c r="B10" i="20" l="1"/>
  <c r="O9" i="20"/>
  <c r="Q9" i="20" s="1"/>
  <c r="B10" i="17"/>
  <c r="O9" i="17"/>
  <c r="B11" i="20" l="1"/>
  <c r="O10" i="20"/>
  <c r="Q10" i="20" s="1"/>
  <c r="B11" i="17"/>
  <c r="O10" i="17"/>
  <c r="B12" i="20" l="1"/>
  <c r="O11" i="20"/>
  <c r="Q11" i="20" s="1"/>
  <c r="B12" i="17"/>
  <c r="O11" i="17"/>
  <c r="B13" i="20" l="1"/>
  <c r="O12" i="20"/>
  <c r="Q12" i="20" s="1"/>
  <c r="B13" i="17"/>
  <c r="O12" i="17"/>
  <c r="O13" i="20" l="1"/>
  <c r="Q13" i="20" s="1"/>
  <c r="B14" i="20"/>
  <c r="B14" i="17"/>
  <c r="O13" i="17"/>
  <c r="O14" i="20" l="1"/>
  <c r="Q14" i="20" s="1"/>
  <c r="B15" i="20"/>
  <c r="B15" i="17"/>
  <c r="O14" i="17"/>
  <c r="O15" i="20" l="1"/>
  <c r="Q15" i="20" s="1"/>
  <c r="B16" i="20"/>
  <c r="B16" i="17"/>
  <c r="O15" i="17"/>
  <c r="O16" i="20" l="1"/>
  <c r="Q16" i="20" s="1"/>
  <c r="B17" i="20"/>
  <c r="B17" i="17"/>
  <c r="O16" i="17"/>
  <c r="B18" i="20" l="1"/>
  <c r="O17" i="20"/>
  <c r="Q17" i="20" s="1"/>
  <c r="B18" i="17"/>
  <c r="O17" i="17"/>
  <c r="B19" i="20" l="1"/>
  <c r="O18" i="20"/>
  <c r="Q18" i="20" s="1"/>
  <c r="B19" i="17"/>
  <c r="O18" i="17"/>
  <c r="O19" i="20" l="1"/>
  <c r="Q19" i="20" s="1"/>
  <c r="B20" i="20"/>
  <c r="B20" i="17"/>
  <c r="O19" i="17"/>
  <c r="O20" i="20" l="1"/>
  <c r="Q20" i="20" s="1"/>
  <c r="B21" i="20"/>
  <c r="B21" i="17"/>
  <c r="O20" i="17"/>
  <c r="B22" i="20" l="1"/>
  <c r="O21" i="20"/>
  <c r="Q21" i="20" s="1"/>
  <c r="B22" i="17"/>
  <c r="O21" i="17"/>
  <c r="B23" i="20" l="1"/>
  <c r="O22" i="20"/>
  <c r="Q22" i="20" s="1"/>
  <c r="B23" i="17"/>
  <c r="O22" i="17"/>
  <c r="B24" i="20" l="1"/>
  <c r="O23" i="20"/>
  <c r="Q23" i="20" s="1"/>
  <c r="B24" i="17"/>
  <c r="O23" i="17"/>
  <c r="O24" i="20" l="1"/>
  <c r="Q24" i="20" s="1"/>
  <c r="B25" i="20"/>
  <c r="B25" i="17"/>
  <c r="O24" i="17"/>
  <c r="O25" i="20" l="1"/>
  <c r="Q25" i="20" s="1"/>
  <c r="B26" i="20"/>
  <c r="B26" i="17"/>
  <c r="O25" i="17"/>
  <c r="B27" i="20" l="1"/>
  <c r="O26" i="20"/>
  <c r="Q26" i="20" s="1"/>
  <c r="B27" i="17"/>
  <c r="O26" i="17"/>
  <c r="B28" i="20" l="1"/>
  <c r="O27" i="20"/>
  <c r="Q27" i="20" s="1"/>
  <c r="B28" i="17"/>
  <c r="O27" i="17"/>
  <c r="B29" i="20" l="1"/>
  <c r="O28" i="20"/>
  <c r="Q28" i="20" s="1"/>
  <c r="B29" i="17"/>
  <c r="O28" i="17"/>
  <c r="B30" i="20" l="1"/>
  <c r="O29" i="20"/>
  <c r="Q29" i="20" s="1"/>
  <c r="B30" i="17"/>
  <c r="O29" i="17"/>
  <c r="B31" i="20" l="1"/>
  <c r="O30" i="20"/>
  <c r="Q30" i="20" s="1"/>
  <c r="B31" i="17"/>
  <c r="O30" i="17"/>
  <c r="B32" i="20" l="1"/>
  <c r="O31" i="20"/>
  <c r="Q31" i="20" s="1"/>
  <c r="B32" i="17"/>
  <c r="O31" i="17"/>
  <c r="B33" i="20" l="1"/>
  <c r="O32" i="20"/>
  <c r="Q32" i="20" s="1"/>
  <c r="B33" i="17"/>
  <c r="O32" i="17"/>
  <c r="O33" i="20" l="1"/>
  <c r="Q33" i="20" s="1"/>
  <c r="B34" i="20"/>
  <c r="B34" i="17"/>
  <c r="O33" i="17"/>
  <c r="O34" i="20" l="1"/>
  <c r="Q34" i="20" s="1"/>
  <c r="B35" i="20"/>
  <c r="B35" i="17"/>
  <c r="O34" i="17"/>
  <c r="O35" i="20" l="1"/>
  <c r="Q35" i="20" s="1"/>
  <c r="B36" i="20"/>
  <c r="B36" i="17"/>
  <c r="O35" i="17"/>
  <c r="O36" i="20" l="1"/>
  <c r="Q36" i="20" s="1"/>
  <c r="B37" i="20"/>
  <c r="B37" i="17"/>
  <c r="O36" i="17"/>
  <c r="B38" i="20" l="1"/>
  <c r="O37" i="20"/>
  <c r="Q37" i="20" s="1"/>
  <c r="B38" i="17"/>
  <c r="O37" i="17"/>
  <c r="B39" i="20" l="1"/>
  <c r="O38" i="20"/>
  <c r="Q38" i="20" s="1"/>
  <c r="B39" i="17"/>
  <c r="O39" i="17" s="1"/>
  <c r="O38" i="17"/>
  <c r="Q4" i="20"/>
  <c r="O39" i="20" l="1"/>
  <c r="Q39" i="20" s="1"/>
  <c r="B40" i="20"/>
  <c r="O40" i="20" l="1"/>
  <c r="Q40" i="20" s="1"/>
  <c r="B41" i="20"/>
  <c r="B42" i="20" l="1"/>
  <c r="O41" i="20"/>
  <c r="Q41" i="20" s="1"/>
  <c r="O42" i="20" l="1"/>
  <c r="Q42" i="20" s="1"/>
  <c r="B43" i="20"/>
  <c r="B44" i="20" l="1"/>
  <c r="O44" i="20" s="1"/>
  <c r="Q44" i="20" s="1"/>
  <c r="O43" i="20"/>
  <c r="Q43"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<sst xmlns="http://schemas.openxmlformats.org/spreadsheetml/2006/main" count="2501" uniqueCount="448">
  <si>
    <t>approute</t>
  </si>
  <si>
    <t>lamdaname</t>
  </si>
  <si>
    <t>requesttype</t>
  </si>
  <si>
    <t>taskname</t>
  </si>
  <si>
    <t>statemachine</t>
  </si>
  <si>
    <t>parenenttype</t>
  </si>
  <si>
    <t>requesttype insert</t>
  </si>
  <si>
    <t>statemachinerepot</t>
  </si>
  <si>
    <t>app.crontasks</t>
  </si>
  <si>
    <t>app.cronactions</t>
  </si>
  <si>
    <t>Comments</t>
  </si>
  <si>
    <t>wms-tools-lambda-in-transit-rma-asn</t>
  </si>
  <si>
    <t>in-transit-rma-asn-7-days</t>
  </si>
  <si>
    <t>In Transit RMA ASN 7 Days</t>
  </si>
  <si>
    <t>tbd</t>
  </si>
  <si>
    <t>(select rt2.requesttypeid from app.requesttype rt2 where rt2.description = 'CRON Scheduling Dashboard')</t>
  </si>
  <si>
    <t>in-transit-rma-asn-30-days</t>
  </si>
  <si>
    <t>In Transit RMA ASN 30 Days</t>
  </si>
  <si>
    <t>wms-tools-lambda-db-alert</t>
  </si>
  <si>
    <t>db-alert-order-no-desig-assign</t>
  </si>
  <si>
    <t>DB Alert: Orders No Designated or Assigned Shipments</t>
  </si>
  <si>
    <t>(not inserting for each new db alert, all DB Alerts using the same wms-tools-state-machine-db-alert)</t>
  </si>
  <si>
    <t>(select null)</t>
  </si>
  <si>
    <t>All corrected (formula changed) but only for DB Alert records: For crontask query, D column (requestttype) was being used instead of E column (taskname) except for last variable. For cronaction query, same issue except for RequestType property in payload, in addition to not needing to append request type (colum D) to StateMachine and Lambda properties of payload.</t>
  </si>
  <si>
    <t>db-alert-order-no-desig</t>
  </si>
  <si>
    <t>DB Alert: Orders No Designated Shipments</t>
  </si>
  <si>
    <t>db-alert-static-route-missing-threshold</t>
  </si>
  <si>
    <t>DB Alert: Static Route Missing Threshold Value</t>
  </si>
  <si>
    <t>wms-tools-lambda-oracle-db-alert</t>
  </si>
  <si>
    <t>db-alert-order-not-process-15m</t>
  </si>
  <si>
    <t>DB Alert: Orders Not Process In Host &gt; 15 Minutes</t>
  </si>
  <si>
    <t>ORDERS NOT PROCESS IN HOST &gt; 15 MINUTES</t>
  </si>
  <si>
    <t>wms-tools-lambda-lpns-no-task-api-fail</t>
  </si>
  <si>
    <t>lpns-no-task-api-fail</t>
  </si>
  <si>
    <t>Allocated Lpns With No Open Task Details Api Failure</t>
  </si>
  <si>
    <t>ALLOCATED LPNS WITH NO OPEN TASK DETAILS API FAILURE</t>
  </si>
  <si>
    <t>wms-tools-lambda-fs-alpha-asn-error</t>
  </si>
  <si>
    <t>fs-alpha-asn-error</t>
  </si>
  <si>
    <t>FS: Alpha Asn Error</t>
  </si>
  <si>
    <t>ALPHA ASN ERROR</t>
  </si>
  <si>
    <t>wms-tools-lambda-fs-alpha-open-err-asn</t>
  </si>
  <si>
    <t>fs-alpha-open-err-asn</t>
  </si>
  <si>
    <t>FS: Alpha Open/Error Asn</t>
  </si>
  <si>
    <t>ALPHA OPEN/ERROR ASN</t>
  </si>
  <si>
    <t>wms-tools-lambda-fs-alpha-open-returns</t>
  </si>
  <si>
    <t>fs-alpha-open-returns</t>
  </si>
  <si>
    <t>FS: Alpha Open Returns</t>
  </si>
  <si>
    <t>ALPHA OPEN RETURNS</t>
  </si>
  <si>
    <t>wms-tools-lambda-divert-conf-down</t>
  </si>
  <si>
    <t>divert-conf-down</t>
  </si>
  <si>
    <t>Divert Confirmation Down</t>
  </si>
  <si>
    <t>DIVERT CONFIRMATION DOWN</t>
  </si>
  <si>
    <t>wms-tools-lambda-endpoint-queue-fail</t>
  </si>
  <si>
    <t>endpoint-queue-fail</t>
  </si>
  <si>
    <t>Endpoint Queue Failures</t>
  </si>
  <si>
    <t>ENDPOINT QUEUE FAILURES</t>
  </si>
  <si>
    <t>wms-tools-lambda-endpoint-status</t>
  </si>
  <si>
    <t>endpoint-status</t>
  </si>
  <si>
    <t>Endpoint Status</t>
  </si>
  <si>
    <t>ENDPOINT STATUS</t>
  </si>
  <si>
    <t>wms-tools-lambda-ilpns-neg-alloc</t>
  </si>
  <si>
    <t>ilpns-neg-alloc</t>
  </si>
  <si>
    <t>Ilpns With Negative Allocated Quantity Api Failure</t>
  </si>
  <si>
    <t>ILPNS WITH NEGATIVE ALLOCATED QUANTITY API FAILURE</t>
  </si>
  <si>
    <t>wms-tools-lambda-item-img-url-fail</t>
  </si>
  <si>
    <t>item-img-url-fail</t>
  </si>
  <si>
    <t>Item Image Url Failure</t>
  </si>
  <si>
    <t>ITEM IMAGE URL FAILURE</t>
  </si>
  <si>
    <t>db-alert-route-ui-dflt-miss</t>
  </si>
  <si>
    <t>DB Alert: Static Route UI Missing Dflt Value</t>
  </si>
  <si>
    <t>STATIC ROUTE UI MISSING DFLT VALUE</t>
  </si>
  <si>
    <t>db-alert-routes-multi-wave</t>
  </si>
  <si>
    <t>DB Alert: Routes With Multiple Wave Numbers</t>
  </si>
  <si>
    <t>ROUTES WITH MULTIPLE WAVE NUMBERS</t>
  </si>
  <si>
    <t>db-alert-itemloc-prd</t>
  </si>
  <si>
    <t>DB Alert: Item Loc Prod</t>
  </si>
  <si>
    <t>Item Loc Prod (ITEMLOC_PRD)</t>
  </si>
  <si>
    <t>wms-tools-lambda-loc-rebuild-fail</t>
  </si>
  <si>
    <t>loc-rebuild-fail</t>
  </si>
  <si>
    <t>Location Rebuild Failure</t>
  </si>
  <si>
    <t>LOCATION REBUILD FAILURE</t>
  </si>
  <si>
    <t>db-alert-dup-pix-mw-wms</t>
  </si>
  <si>
    <t>DB Alert: Duplicate PIX In Middleware WMS</t>
  </si>
  <si>
    <t>DUPLICATE PIX S IN MIDDLEWARE WMS</t>
  </si>
  <si>
    <t>db-alert-dup-ship-conf</t>
  </si>
  <si>
    <t>DB Alert: Duplicate Ship Confirm</t>
  </si>
  <si>
    <t>DUPLICATE SHIP CONFIRM</t>
  </si>
  <si>
    <t>wms-tools-lambda-lpns-consumed-api</t>
  </si>
  <si>
    <t>lpns-consumed-api</t>
  </si>
  <si>
    <t>Lpns With Consumed/Cancelled Allocated Quantity Api Failure</t>
  </si>
  <si>
    <t>LPNS WITH CONSUMED/CANCELLED ALLOCATED QUANTITY API FAILURE</t>
  </si>
  <si>
    <t>db-alert-inv-adj-miss-rc</t>
  </si>
  <si>
    <t>DB Alert: Inventory Adjustment Pix Missing Reason Code</t>
  </si>
  <si>
    <t>INVENTORY ADJUSTMENT PIX MISSING REASON CODE</t>
  </si>
  <si>
    <t>db-alert-item-rcpt-zero</t>
  </si>
  <si>
    <t>DB Alert: Item Level Receipts With 0 Quantity</t>
  </si>
  <si>
    <t>ITEM LEVEL RECEIPTS WITH 0 QUANTITY</t>
  </si>
  <si>
    <t>wms-tools-lambda-pickpack-api-fail</t>
  </si>
  <si>
    <t>pickpack-api-fail</t>
  </si>
  <si>
    <t>Open Pick Pack Task Details Api Failure</t>
  </si>
  <si>
    <t>OPEN PICK PACK TASK DETAILS API FAILURE</t>
  </si>
  <si>
    <t>wms-tools-lambda-fs-asw-open-returns</t>
  </si>
  <si>
    <t>fs-asw-open-returns</t>
  </si>
  <si>
    <t>FS: Asw Open Returns</t>
  </si>
  <si>
    <t>ASW OPEN RETURNS</t>
  </si>
  <si>
    <t>wms-tools-lambda-open-task-api-fail</t>
  </si>
  <si>
    <t>open-task-api-fail</t>
  </si>
  <si>
    <t>Open Task Api Failure</t>
  </si>
  <si>
    <t>OPEN TASK API FAILURE</t>
  </si>
  <si>
    <t>wms-tools-lambda-taskdet-api-fail</t>
  </si>
  <si>
    <t>taskdet-api-fail</t>
  </si>
  <si>
    <t>Open Task Details Api Failure</t>
  </si>
  <si>
    <t>OPEN TASK DETAILS API FAILURE</t>
  </si>
  <si>
    <t>db-alert-waves-long-abort</t>
  </si>
  <si>
    <t>DB Alert: Long Running Or Aborted Waves</t>
  </si>
  <si>
    <t>LONG RUNNING OR ABORTED WAVES</t>
  </si>
  <si>
    <t>db-alert-miss-item-verif</t>
  </si>
  <si>
    <t>DB Alert: Missing Item Level Verification Pix</t>
  </si>
  <si>
    <t>MISSING ITEM LEVEL VERIFICATION PIX</t>
  </si>
  <si>
    <t>wms-tools-lambda-fs-asw-pend-ship1w</t>
  </si>
  <si>
    <t>fs-asw-pend-ship1w</t>
  </si>
  <si>
    <t>FS: ELP ASW - Pending Shipment Quantities &gt; 1 Week</t>
  </si>
  <si>
    <t>ELP ASW -PENDING SHIPMENT QUANTITIES &gt; 1 WEEK</t>
  </si>
  <si>
    <t>wms-tools-lambda-pick-neg-tbf-api</t>
  </si>
  <si>
    <t>pick-neg-tbf-api</t>
  </si>
  <si>
    <t>Pick Locations With Negative Tbf Api Failure</t>
  </si>
  <si>
    <t>PICK LOCATIONS WITH NEGATIVE TBF API FAILURE</t>
  </si>
  <si>
    <t>wms-tools-lambda-pick-tbf-no-task</t>
  </si>
  <si>
    <t>pick-tbf-no-task</t>
  </si>
  <si>
    <t>Pick Locations With Tbf Quantity And No Open Task Details Api Failure</t>
  </si>
  <si>
    <t>PICK LOCATIONS WITH TBF QUANTITY AND NO OPEN TASK DETAILS API FAILURE</t>
  </si>
  <si>
    <t>wms-tools-lambda-putaway-api-fail</t>
  </si>
  <si>
    <t>putaway-api-fail</t>
  </si>
  <si>
    <t>Putaway Task Details Api Failure</t>
  </si>
  <si>
    <t>PUTAWAY TASK DETAILS API FAILURE</t>
  </si>
  <si>
    <t>wms-tools-lambda-recoup-sort-api</t>
  </si>
  <si>
    <t>recoup-sort-api</t>
  </si>
  <si>
    <t>Recoup Sorting Update Api Failure</t>
  </si>
  <si>
    <t>RECOUP SORTING UPDATE API FAILURE</t>
  </si>
  <si>
    <t>db-alert-routed-cancelled</t>
  </si>
  <si>
    <t>DB Alert: Routed Orders Cancelled</t>
  </si>
  <si>
    <t>ROUTED ORDERS CANCELLED</t>
  </si>
  <si>
    <t>db-alert-pix-spec-gt1h</t>
  </si>
  <si>
    <t>DB Alert: MAWM PIX Specification Found &gt; 1 Hour</t>
  </si>
  <si>
    <t>ALL - MAWM - PIX Specification Found &gt; 1 Hour</t>
  </si>
  <si>
    <t>db-alert-shipconf-24h-fail</t>
  </si>
  <si>
    <t>DB Alert: MAWM Unprocessed Or Failed Ship Confirms Last 24 Hours</t>
  </si>
  <si>
    <t>ALL - MAWM - Unprocessed or Failed Ship Confirms Last 24 Hours</t>
  </si>
  <si>
    <t>wms-tools-lambda-slot-pack-fail</t>
  </si>
  <si>
    <t>slot-pack-fail</t>
  </si>
  <si>
    <t>Slotting Item Demand Pack Failure</t>
  </si>
  <si>
    <t>SLOTTING ITEM DEMAND PACK FAILURE</t>
  </si>
  <si>
    <t>wms-tools-lambda-slot-unit-fail</t>
  </si>
  <si>
    <t>slot-unit-fail</t>
  </si>
  <si>
    <t>Slotting Item Demand Unit Failure</t>
  </si>
  <si>
    <t>SLOTTING ITEM DEMAND UNIT FAILURE</t>
  </si>
  <si>
    <t>wms-tools-lambda-lia-delpk-api-fail</t>
  </si>
  <si>
    <t>lia-delpk-api-fail</t>
  </si>
  <si>
    <t>Slotting Lia Delete Pk Records Api Failure</t>
  </si>
  <si>
    <t>SLOTTING LIA DELETE PK RECORDS API FAILURE</t>
  </si>
  <si>
    <t>db-alert-matm-spo-import</t>
  </si>
  <si>
    <t>DB Alert: SPO Import Failure</t>
  </si>
  <si>
    <t>MATM - SPO Import Failure</t>
  </si>
  <si>
    <t>db-alert-abq-travel-4m</t>
  </si>
  <si>
    <t>DB Alert: MAWM - Travel &gt; 4 Mins</t>
  </si>
  <si>
    <t>ABQ - MAWM - Travel &gt; 4 Mins</t>
  </si>
  <si>
    <t>db-alert-asn-no-verif-5d</t>
  </si>
  <si>
    <t>DB Alert: ASNs With No ASN Level Verification &gt; 5 Days</t>
  </si>
  <si>
    <t>ASN S WITH NO ASN LEVEL VERIFICATION &gt; 5DAYS</t>
  </si>
  <si>
    <t>db-alert-ilpns-miss-phys</t>
  </si>
  <si>
    <t>DB Alert: iLPNS with Missing Physical Entity codeid</t>
  </si>
  <si>
    <t>ILPNS WITH MISSING PHYSICALENTITYCODEID</t>
  </si>
  <si>
    <t>db-alert-loc-pos-street</t>
  </si>
  <si>
    <t>DB Alert: Location Position &gt; Street Length</t>
  </si>
  <si>
    <t>LOCATION POSITION &gt; STREET LENGTH</t>
  </si>
  <si>
    <t>db-alert-loc-inv-no-item</t>
  </si>
  <si>
    <t>DB Alert: Locations W/ Inventory For Items Not Assigned</t>
  </si>
  <si>
    <t>LOCATIONS W/ INVENTORY FOR ITEMS NOT ASSIGNED</t>
  </si>
  <si>
    <t>db-alert-user-def-config</t>
  </si>
  <si>
    <t>DB Alert: Users W/ Incorrect User Default Configuration</t>
  </si>
  <si>
    <t>USERS W/ INCORRECT USER DEFAULT CONFIGURATION</t>
  </si>
  <si>
    <t>db-alert-lpn-loc-notied</t>
  </si>
  <si>
    <t>DB Alert: MAWM - Lpn Storage Locs With Inventory Not Tied To Lpn</t>
  </si>
  <si>
    <t>ALL - MAWM - LPN Storage Locs with Inventory Not Tied to an LPN</t>
  </si>
  <si>
    <t>wms-tools-lambda-taskgrp-bulk-fail</t>
  </si>
  <si>
    <t>taskgrp-bulk-fail</t>
  </si>
  <si>
    <t>User Task Group Bulk Import Failure</t>
  </si>
  <si>
    <t>USER TASK GROUP BULK IMPORT FAILURE</t>
  </si>
  <si>
    <t>db-alert-pallet-lpns-inv</t>
  </si>
  <si>
    <t>DB Alert: MAWM - Pallet Lpns W/ Inventory Records</t>
  </si>
  <si>
    <t>ALL - MAWM - Pallet LPNs w/ Inventory Records</t>
  </si>
  <si>
    <t>db-alert-olpn-multi-det</t>
  </si>
  <si>
    <t>DB Alert: MAWM - Olpns W/ Multiple Details Of The Same Item</t>
  </si>
  <si>
    <t>ALL - MAWM - oLPNs w/ Multiple Details of the Same Item</t>
  </si>
  <si>
    <t>db-alert-open-order-1w</t>
  </si>
  <si>
    <t>DB Alert: Open Order In Wm &gt; 1 Week</t>
  </si>
  <si>
    <t>OPEN ORDER IN WM &gt; 1 WEEK</t>
  </si>
  <si>
    <t>db-alert-multi-ord-lines</t>
  </si>
  <si>
    <t>DB Alert: MAWM - Multiple Order Lines Per Original Order Line</t>
  </si>
  <si>
    <t>All - MAWM - Multiple Order Lines Per Original Order Line</t>
  </si>
  <si>
    <t>wms-tools-lambda-dyn-casepick</t>
  </si>
  <si>
    <t>dyn-casepick</t>
  </si>
  <si>
    <t>Mark Dynamic Case Pick</t>
  </si>
  <si>
    <t>Mark Dynamic Case Pick (dynamic_casepick_liquor)</t>
  </si>
  <si>
    <t>wms-tools-lambda-dyn-wine-pick</t>
  </si>
  <si>
    <t>dyn-wine-pick</t>
  </si>
  <si>
    <t>Mark Dynamic Wine</t>
  </si>
  <si>
    <t>Mark Dynamic Wine (dynamic_casepick_wine)</t>
  </si>
  <si>
    <t>db-alert-item-wt-large</t>
  </si>
  <si>
    <t>DB Alert: MAWM - Items Weight With Large Dimensions</t>
  </si>
  <si>
    <t>ALL - MAWM - Items Weight with Large Dimensions</t>
  </si>
  <si>
    <t>db-alert-item-vol-large</t>
  </si>
  <si>
    <t>DB Alert: MAWM - Items Volume With Large Dimensions</t>
  </si>
  <si>
    <t>ALL - MAWM - Items Volume with Large Dimensions</t>
  </si>
  <si>
    <t>wms-tools-lambda-alpha-adj-45d</t>
  </si>
  <si>
    <t>fs-alpha-adj-45d</t>
  </si>
  <si>
    <t>FS: Alpha Open Adjustments &gt; 45 Days</t>
  </si>
  <si>
    <t>ALPHA OPEN ADJUSTMENTS &gt; 40 DAYS</t>
  </si>
  <si>
    <t>db-alert-travel-4m</t>
  </si>
  <si>
    <t>DB Alert: Travel &gt; 4 Mins</t>
  </si>
  <si>
    <t>TRAVEL &gt; 4 MINS</t>
  </si>
  <si>
    <t>db-alert-olpn-cons-loc</t>
  </si>
  <si>
    <t>DB Alert: Shipped Olpn W/ Consolidation Location Assignment</t>
  </si>
  <si>
    <t>SHIPPED OLPN W/ CONSOLIDATION LOCATION ASSIGNMENT</t>
  </si>
  <si>
    <t>db-alert-tmp-resv-no-inv</t>
  </si>
  <si>
    <t>DB Alert: Temporary Reserve Locations W/ Assignments, But No Inventory</t>
  </si>
  <si>
    <t>TEMPORARY RESERVE LOCATIONS W/ ASSIGNMENTS, BUT NO INVENTORY</t>
  </si>
  <si>
    <t>db-alert-tmp-inv-no-resv</t>
  </si>
  <si>
    <t>DB Alert: Temporary Reserve Locations W/ Inventory, But No Assignments</t>
  </si>
  <si>
    <t>TEMPORARY RESERVE LOCATIONS W/ INVENTORY, BUT NO ASSIGNMENTS</t>
  </si>
  <si>
    <t>db-alert-por-dup-pix</t>
  </si>
  <si>
    <t>DB Alert: MAWM - Duplicate Pixs In Middleware Wms</t>
  </si>
  <si>
    <t>POR - MAWM - Duplicate PIX's in Middleware WMS</t>
  </si>
  <si>
    <t>db-alert-inv-adj-null-po</t>
  </si>
  <si>
    <t>DB Alert: MAWM -Inventory Adjustment Pix W/ Null Po Line</t>
  </si>
  <si>
    <t>ALL - MAWM - Inventory Adjustment PIX w/ Null PO Line</t>
  </si>
  <si>
    <t>db-alert-packing-olpn-5m</t>
  </si>
  <si>
    <t>DB Alert: MAWM -In Packing Olpns &gt; 5 Minutes</t>
  </si>
  <si>
    <t>ALL - MAWM - In Packing oLPNS &gt; 5 Minutes</t>
  </si>
  <si>
    <t>db-alert-load-no-ship-6h</t>
  </si>
  <si>
    <t>DB Alert: MAWM -Loaded Shipments W/ No Ship Confirm &gt; 6 Hours</t>
  </si>
  <si>
    <t>ALL - MAWM - Loaded Shipments w/ no Ship Confirm &gt; 6 hours</t>
  </si>
  <si>
    <t>db-alert-putaway-open-ilpn</t>
  </si>
  <si>
    <t>DB Alert: MAWM -Putaway Task Is Open But Ilpn Is Putaway</t>
  </si>
  <si>
    <t>ALL - MAWM - Putaway Task is Open but iLPN is Putaway</t>
  </si>
  <si>
    <t>db-alert-taskcomp-open-det</t>
  </si>
  <si>
    <t>DB Alert: MAWM -Task Completed Or Cancelled W/ Open Task Details</t>
  </si>
  <si>
    <t>ALL - MAWM - Task Completed or Cancelled w/ Open Task Details</t>
  </si>
  <si>
    <t>db-alert-taskopen-compdet</t>
  </si>
  <si>
    <t>DB Alert: MAWM -Task Open W/ Completed Or Cancelled Task Details</t>
  </si>
  <si>
    <t>ALL - MAWM - Task Open w/ Completed or Cancelled Task Details</t>
  </si>
  <si>
    <t>db-alert-taskprog-compdet</t>
  </si>
  <si>
    <t>DB Alert: MAWM -Task In Progress W/ Completed Or Cancelled Task Details</t>
  </si>
  <si>
    <t>ALL - MAWM - Task ‘In Progress’ w/ Completed or Cancelled Task Details</t>
  </si>
  <si>
    <t>wms-tools-lambda-mawm-cons-report</t>
  </si>
  <si>
    <t>mawm-cons-report</t>
  </si>
  <si>
    <t>MAWM Consolidation Report</t>
  </si>
  <si>
    <t>mawm_consolidation_report</t>
  </si>
  <si>
    <t>wms-tools-lambda-upd-ext-barcode</t>
  </si>
  <si>
    <t>upd-ext-barcode</t>
  </si>
  <si>
    <t>Update Ext Display Barcode</t>
  </si>
  <si>
    <t>update_ext_display_barcode</t>
  </si>
  <si>
    <t>orgid</t>
  </si>
  <si>
    <t>sql</t>
  </si>
  <si>
    <t>alloption</t>
  </si>
  <si>
    <t>subject</t>
  </si>
  <si>
    <t>fromemail</t>
  </si>
  <si>
    <t>toemail</t>
  </si>
  <si>
    <t>ccemail</t>
  </si>
  <si>
    <t>hmtlheader</t>
  </si>
  <si>
    <t>introhtml</t>
  </si>
  <si>
    <t>tablheaders</t>
  </si>
  <si>
    <t>tablerows</t>
  </si>
  <si>
    <t>footerhtml</t>
  </si>
  <si>
    <t>payload</t>
  </si>
  <si>
    <t>update sql</t>
  </si>
  <si>
    <t>ABQ</t>
  </si>
  <si>
    <t xml:space="preserve">select org_id, asn_id, asn_status, created_timestamp from default_receiving.RCV_ASN where org_id = %(orgName)s and asn_status = ''1000'' and canceled = ''0'' and asn_origin_type_id =''R'' and created_timestamp &lt;= now() - interval %(days)s day </t>
  </si>
  <si>
    <t>created.in.the.python.code</t>
  </si>
  <si>
    <t>noreply@rndc-usa.com</t>
  </si>
  <si>
    <t>use.email.from.result.set.from.mysql</t>
  </si>
  <si>
    <t>&lt;h2 style=''margin:0;''&gt;WILL CALL ALERT&lt;/h2&gt;</t>
  </si>
  <si>
    <t>[]</t>
  </si>
  <si>
    <t>&lt;h2 style=''margin:0;''&gt;FOOTER.TBD&lt;/h2&gt;</t>
  </si>
  <si>
    <t>ARK</t>
  </si>
  <si>
    <t>ASH</t>
  </si>
  <si>
    <t>ATL</t>
  </si>
  <si>
    <t>AUB</t>
  </si>
  <si>
    <t>CCR</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</si>
  <si>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</si>
  <si>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</si>
  <si>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</si>
  <si>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</si>
  <si>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</si>
  <si>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</si>
  <si>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</si>
  <si>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</si>
  <si>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</si>
  <si>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</si>
  <si>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</si>
  <si>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</si>
  <si>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</si>
  <si>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</si>
  <si>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</si>
  <si>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</si>
  <si>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</si>
  <si>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</si>
  <si>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</si>
  <si>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</si>
  <si>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</si>
  <si>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</si>
  <si>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</si>
  <si>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</si>
  <si>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</si>
  <si>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</si>
  <si>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</si>
  <si>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SAA</t>
  </si>
  <si>
    <t>SIO</t>
  </si>
  <si>
    <t>TAM</t>
  </si>
  <si>
    <t>TOL</t>
  </si>
  <si>
    <t>WSD</t>
  </si>
  <si>
    <t>TBD, refer to createdetail sheet for example</t>
  </si>
  <si>
    <t>alertname (get from Final_List-Alerts in separate excel and refer to newreqtype shee)</t>
  </si>
  <si>
    <t>datasource</t>
  </si>
  <si>
    <t>databaseconnection</t>
  </si>
  <si>
    <t>databasetype</t>
  </si>
  <si>
    <t>databaseuri</t>
  </si>
  <si>
    <t>emailsubject</t>
  </si>
  <si>
    <t>emailbody</t>
  </si>
  <si>
    <t>emailfromemail</t>
  </si>
  <si>
    <t>emailtoemail</t>
  </si>
  <si>
    <t>emailccemail</t>
  </si>
  <si>
    <t>emailfooter</t>
  </si>
  <si>
    <t>emailattachment</t>
  </si>
  <si>
    <t>named</t>
  </si>
  <si>
    <t>enabled</t>
  </si>
  <si>
    <t>STATIC ROUTE MISSING THRESHOLD VALUE</t>
  </si>
  <si>
    <t>MAWM</t>
  </si>
  <si>
    <t>MAPRD_NEW</t>
  </si>
  <si>
    <t>MySQL</t>
  </si>
  <si>
    <t>jdbc:{host}:{port}/information_schema</t>
  </si>
  <si>
    <t>Splunk Alert: $alertName$</t>
  </si>
  <si>
    <t>&lt;pre&gt;The alert condition for ''$name$'' was triggered.&lt;/pre&gt;</t>
  </si>
  <si>
    <t>wms-tools-noreply@rndc-usa.com</t>
  </si>
  <si>
    <t>wmsinternal@RNDC-USA.COM, WMSMSPSupport@RNDC-USA.COM</t>
  </si>
  <si>
    <t xml:space="preserve">SELECT Substr(profile_id, 1, 3) ''WHSE'', static_route_id, ext_threshold ''THRESHOLD_VALUE'' FROM default_routing.RTG_STATIC_ROUTE WHERE ext_threshold IS NULL AND profile_id = ''$orgId_Org_Profile'' </t>
  </si>
  <si>
    <t>["link-to-alert","link-to-results", "inline-table"]</t>
  </si>
  <si>
    <t>&lt;pre&gt;The alert condition for ''$name$'' was triggered.&lt;br /&gt;&lt;br /&gt;***MSP TO CLEAN UP***&lt;br /&gt;Configure the necessary values in the Static Route UI&lt;/pre&gt;</t>
  </si>
  <si>
    <t>Jonathan.Snell@RNDC-USA.COM, Preston.Mccauley@RNDC-USA.COM, Rob.Garcia@RNDC-USA.COM, Jordan.Stoll@rndc-usa.com, Richard.Gay@RNDC-USA.COM, Billy.Calloway@RNDC-USA.COM, Ryan.Black@rndc-usa.com</t>
  </si>
  <si>
    <t>wmsinternal@rndc-usa.com, wmsconsultant@rndc-usa.com, WMSMSPSupport@RNDC-USA.COM</t>
  </si>
  <si>
    <t>AUT</t>
  </si>
  <si>
    <t>CHI</t>
  </si>
  <si>
    <t>Ryan.Metz@rndc-usa.com, John.Hall@rndc-usa.com, Anthony.Coleman@rndc-usa.com, Dazzle.Keyser@rndc-usa.com, Douglas.Garner@rndc-usa.com</t>
  </si>
  <si>
    <t>RNDC</t>
  </si>
  <si>
    <t>RVR</t>
  </si>
  <si>
    <t>Travis.Eldridge@rndc-usa.com,joseph.duran@rndc-usa.com,travis.gusler@rndc-usa.com,christopher.gonzales@rndc-usa.com,Larry.Shelton@RNDC-USA.COM, Octavio.Chavez@RNDC-USA.COM, kameron.phipps@rndc-usa.com,</t>
  </si>
  <si>
    <t>TRN</t>
  </si>
  <si>
    <t>demetrius.dever@rndc-usa.com,Michael.Clark@RNDC-USA.com,clarence.hall@rndc-usa.com,brian.bowen@rndc-usa.com,barbara.jackson@rndc-usa.com,rodney.williams@rndc-usa.com</t>
  </si>
  <si>
    <t>Splunk Alert: $name$</t>
  </si>
  <si>
    <t>requesttypedescription</t>
  </si>
  <si>
    <t xml:space="preserve">insert into app.warehouselocationdetail(description, longdescription, warehouseid, requesttypeid, payload) </t>
  </si>
  <si>
    <t>db-alert-lia-pack-uom</t>
  </si>
  <si>
    <t>{"alertName":"LIA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t>
  </si>
  <si>
    <t>fs-asw-asn-error</t>
  </si>
  <si>
    <t>{"emailContent":{"subject":"Splunk Alert: $name$","body":"The alert condition for $name$ was triggered","fromEmail":"noreply@rndc-usa.com","toEmail":"test@rndc-usa.com","footer":"text below table","attachment":["inline-table","link-to-alert","link-to-results","search-string"]}}'</t>
  </si>
  <si>
    <t>tms-scheduled-scripts</t>
  </si>
  <si>
    <t>null</t>
  </si>
  <si>
    <t>will-call-alert</t>
  </si>
  <si>
    <t>{"subject":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t>
  </si>
  <si>
    <t>insert into app.warehouselocationdetail(description, longdescription, warehouseid, requesttypeid, createdby, lastupdatedby)</t>
  </si>
  <si>
    <t xml:space="preserve">select -- w.warehouseshortname, </t>
  </si>
  <si>
    <t>rt.description, rt.description, w.warehouseid, rt.requesttypeid, 'sysuser', 'sysuser' from app.warehouselocation w, app.requesttype rt where w.warehouseshortname not in ('DEFAULTS', 'PRODEV')</t>
  </si>
  <si>
    <t>and rt.description in ('will-call-alert' , 'tms-scheduled-scripts' ,'fs-asw-asn-error', 'db-alert-lia-pack-uom')</t>
  </si>
  <si>
    <t xml:space="preserve">insert into app.warehouselocationdetail(description, longdescription, warehouseid, requesttypeid, createdby, lastupdatedby) </t>
  </si>
  <si>
    <t>select sql</t>
  </si>
  <si>
    <t>insert sql</t>
  </si>
  <si>
    <t>TST</t>
  </si>
  <si>
    <t>{ "emailContent": {"subject":"created.in.the.python.code","fromEmail":"noreply@rndc-usa.com","toEmail":"use.email.from.result.set.from.mysql","sections":[{"htmlHeader":"&lt;h2 style=''margin:0;''&gt;WILL CALL ALERT&lt;/h2&gt;"},{"introHtml":"created.in.the.python.code"},{"tableHtml":{"tableHeaders":[],"tableRows":[]}},{"footerHtml":"created.in.the.python.code"}]}, "allOption": []}</t>
  </si>
  <si>
    <t>{"emailContent":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</si>
  <si>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</si>
  <si>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t>
  </si>
  <si>
    <t>{"emailContent":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</si>
  <si>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t>
  </si>
  <si>
    <t>{"emailContent":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t>
  </si>
  <si>
    <t>{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</si>
  <si>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</si>
  <si>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</si>
  <si>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t>
  </si>
  <si>
    <t>{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t>
  </si>
  <si>
    <t>reqtype</t>
  </si>
  <si>
    <t>au01-failure-10-min</t>
  </si>
  <si>
    <t>AU01 Failure 10 Minutes</t>
  </si>
  <si>
    <t>INTRO</t>
  </si>
  <si>
    <t>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t>
  </si>
  <si>
    <t xml:space="preserve">{"allOption": {"minRange": 10}, "emailContent": {"subject": "Splunk Alert: </t>
  </si>
  <si>
    <t>", "body": "The alert condition for</t>
  </si>
  <si>
    <t>was triggered.&lt;br&gt;&lt;br&gt;Serves as a notification to complete research on pending adjustments as the Corporate Limit is no greater than 45 days outstanding.", "fromEmail": "wms-tools-no-reply@rndc-usa.com", "toEmail": "</t>
  </si>
  <si>
    <t>", "footer": "If you believe you''ve received this email in error, please contact WMSMSPSupport@RNDC-USA.COM."}, "introHtml": "</t>
  </si>
  <si>
    <t>ORIGID</t>
  </si>
  <si>
    <t>TOEMAIL</t>
  </si>
  <si>
    <t>wmsinternal@RNDC-USA.COM, WMSConsultant@RNDC-USA.COM, wmsmspsupport@rndc-usa.com,DL_MANH_RNDC_MAWM_PSO@manh.com, DL_RNDC_MAWM_CSO@manh.com,ABQ-Automation-Support@RNDC-USA.COM</t>
  </si>
  <si>
    <t>wmsinternal@RNDC-USA.COM, WMSConsultant@RNDC-USA.COM, wmsmspsupport@rndc-usa.com, DL_MANH_RNDC_MAWM_PSO@manh.com,  DL_RNDC_MAWM_CSO@manh.com, Kim.Crawford@rndc-usa.com, Joe.Thompson@rndc-usa.com</t>
  </si>
  <si>
    <t>wmsinternal@RNDC-USA.COM, WMSConsultant@RNDC-USA.COM, wmsmspsupport@rndc-usa.com, DL_MANH_RNDC_MAWM_PSO@manh.com,  DL_RNDC_MAWM_CSO@manh.com, atl-automation-support@rndc-usa.com</t>
  </si>
  <si>
    <t>wmsinternal@RNDC-USA.COM, WMSConsultant@RNDC-USA.COM, wmsmspsupport@rndc-usa.com, DL_MANH_RNDC_MAWM_PSO@manh.com,  DL_RNDC_MAWM_CSO@manh.com, aub-automation-support@rndc-usa.com</t>
  </si>
  <si>
    <t>wmsinternal@RNDC-USA.COM, WMSConsultant@RNDC-USA.COM, wmsmspsupport@rndc-usa.com, DL_MANH_RNDC_MAWM_PSO@manh.com,  DL_RNDC_MAWM_CSO@manh.com,elp-automation-support@rndc-usa.com</t>
  </si>
  <si>
    <t>wmsinternal@RNDC-USA.COM, WMSConsultant@RNDC-USA.COM, wmsmspsupport@rndc-usa.com, DL_MANH_RNDC_MAWM_PSO@manh.com,  DL_RNDC_MAWM_CSO@manh.com,  col-automation-support@rndc-usa.com, Jose.Perez@RNDC-USA.COM, Robert.Walker2@rndc-usa.com, Kyle.Hafford@rndc-usa.com</t>
  </si>
  <si>
    <t>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t>
  </si>
  <si>
    <t>wmsinternal@RNDC-USA.COM, WMSConsultant@RNDC-USA.COM, wmsmspsupport@rndc-usa.com, DL_MANH_RNDC_MAWM_PSO@manh.com,  DL_RNDC_MAWM_CSO@manh.com, Blair.Gilberts@RNDC-USA.COM</t>
  </si>
  <si>
    <t>wmsinternal@RNDC-USA.COM, WMSConsultant@RNDC-USA.COM, wmsmspsupport@rndc-usa.com, DL_MANH_RNDC_MAWM_PSO@manh.com,  DL_RNDC_MAWM_CSO@manh.com, DFW-Automation-Support@RNDC-USA.COM</t>
  </si>
  <si>
    <t>wmsinternal@RNDC-USA.COM, WMSConsultant@RNDC-USA.COM, wmsmspsupport@rndc-usa.com, DL_MANH_RNDC_MAWM_PSO@manh.com,  DL_RNDC_MAWM_CSO@manh.com, hou-automation-support@rndc-usa.com</t>
  </si>
  <si>
    <t>wmsinternal@RNDC-USA.COM, WMSConsultant@RNDC-USA.COM, wmsmspsupport@rndc-usa.com, DL_MANH_RNDC_MAWM_PSO@manh.com,  DL_RNDC_MAWM_CSO@manh.com,ind-automation-support@rndc-usa.com</t>
  </si>
  <si>
    <t>wmsinternal@RNDC-USA.COM, WMSConsultant@RNDC-USA.COM, wmsmspsupport@rndc-usa.com, DL_MANH_RNDC_MAWM_PSO@manh.com,  DL_RNDC_MAWM_CSO@manh.com,jes-automation-support@rndc-usa.com</t>
  </si>
  <si>
    <t>wmsinternal@RNDC-USA.COM, WMSConsultant@RNDC-USA.COM, wmsmspsupport@rndc-usa.com, DL_MANH_RNDC_MAWM_PSO@manh.com,  DL_RNDC_MAWM_CSO@manh.com,laf-automation-support@rndc-usa.com, Pat.Maggiore@RNDC-USA.COM</t>
  </si>
  <si>
    <t>wmsinternal@RNDC-USA.COM, WMSConsultant@RNDC-USA.COM, wmsmspsupport@rndc-usa.com, DL_MANH_RNDC_MAWM_PSO@manh.com,  DL_RNDC_MAWM_CSO@manh.com, liv-automation-support@rndc-usa.com</t>
  </si>
  <si>
    <t>wmsinternal@RNDC-USA.COM, WMSConsultant@RNDC-USA.COM, wmsmspsupport@rndc-usa.com, DL_MANH_RNDC_MAWM_PSO@manh.com,  DL_RNDC_MAWM_CSO@manh.com,lou-automation-support@rndc-usa.com</t>
  </si>
  <si>
    <t>wmsinternal@RNDC-USA.COM, WMSConsultant@RNDC-USA.COM, wmsmspsupport@rndc-usa.com, DL_MANH_RNDC_MAWM_PSO@manh.com,  DL_RNDC_MAWM_CSO@manh.com, lub-automation-support@rndc-usa.com</t>
  </si>
  <si>
    <t>MOU</t>
  </si>
  <si>
    <t>wmsinternal@RNDC-USA.COM, WMSConsultant@RNDC-USA.COM,wmsmspsupport@rndc-usa.com, DL_MANH_RNDC_MAWM_PSO@manh.com,  DL_RNDC_MAWM_CSO@manh.com</t>
  </si>
  <si>
    <t>wmsinternal@RNDC-USA.COM, WMSConsultant@RNDC-USA.COM, wmsmspsupport@rndc-usa.com, DL_MANH_RNDC_MAWM_PSO@manh.com, DL_RNDC_MAWM_CSO@manh.com,okl-automation-support@rndc-usa.com</t>
  </si>
  <si>
    <t>wmsinternal@RNDC-USA.COM, WMSConsultant@RNDC-USA.COM, wmsmspsupport@rndc-usa.com</t>
  </si>
  <si>
    <t>ORD</t>
  </si>
  <si>
    <t>wmsinternal@RNDC-USA.COM, WMSConsultant@RNDC-USA.COM, wmsmspsupport@rndc-usa.com, DL_MANH_RNDC_MAWM_PSO@manh.com,  DL_RNDC_MAWM_CSO@manh.com,orlautomationsupport@rndc-usa.com</t>
  </si>
  <si>
    <t>wmsinternal@RNDC-USA.COM, WMSConsultant@RNDC-USA.COM, wmsmspsupport@rndc-usa.com, DL_MANH_RNDC_MAWM_PSO@manh.com,  DL_RNDC_MAWM_CSO@manh.com,pen-automation-support@rndc-usa.com</t>
  </si>
  <si>
    <t>wmsinternal@RNDC-USA.COM, WMSConsultant@RNDC-USA.COM, wmsmspsupport@rndc-usa.com, DL_MANH_RNDC_MAWM_PSO@manh.com,  DL_RNDC_MAWM_CSO@manh.com,dg-por-automation-support@rndc-usa.com</t>
  </si>
  <si>
    <t>wmsinternal@RNDC-USA.COM, WMSConsultant@RNDC-USA.COM, wmsmspsupport@rndc-usa.com, DL_MANH_RNDC_MAWM_PSO@manh.com,  DL_RNDC_MAWM_CSO@manh.com</t>
  </si>
  <si>
    <t>wmsinternal@RNDC-USA.COM, WMSConsultant@RNDC-USA.COM, wmsmspsupport@rndc-usa.com, DL_MANH_RNDC_MAWM_PSO@manh.com,  DL_RNDC_MAWM_CSO@manh.com,sio-automation-support@rndc-usa.com</t>
  </si>
  <si>
    <t>wmsinternal@RNDC-USA.COM, WMSConsultant@RNDC-USA.COM, wmsmspsupport@rndc-usa.com, DL_MANH_RNDC_MAWM_PSO@manh.com,  DL_RNDC_MAWM_CSO@manh.com,tam-automation-support@rndc-usa.com</t>
  </si>
  <si>
    <t>wmsinternal@RNDC-USA.COM, WMSConsultant@RNDC-USA.COM, wmsmspsupport@rndc-usa.com, DL_MANH_RNDC_MAWM_PSO@manh.com,  DL_RNDC_MAWM_CSO@manh.com,wsd-automation-support@rndc-usa.com</t>
  </si>
  <si>
    <t>in_transit_rma_asn_7_days</t>
  </si>
  <si>
    <t>{"subject":"subject","fromEmail":"fromEmail","toEmail":"toEmail","ccEmail":"ccEmail","sections":[{"htmlHeader":"htmlHeader"},{"introHtml":"introHtml"},{"footer_hmtl":"foot_html"}]}</t>
  </si>
  <si>
    <t>In Transit RMA ASNs &gt; 7 Days</t>
  </si>
  <si>
    <t>As part of system cleanup/maintenance below planned RMA''s are being cancelled as no return has been processed on them in last 7 days</t>
  </si>
  <si>
    <t xml:space="preserve">{"allOption": {"days": 7}, "emailContent": {"subject": "Splunk Alert: </t>
  </si>
  <si>
    <t>", "introHtml": "The alert condition for</t>
  </si>
  <si>
    <t>HAW-Automation-Support@RNDC-USA.COM, wmsinternal@RNDC-USA.COM, WMSMSPSupport@RNDC-USA.COM</t>
  </si>
  <si>
    <t>KAP-Automation-Support@RNDC-USA.COM, wmsinternal@RNDC-USA.COM, WMSMSPSupport@RNDC-USA.COM</t>
  </si>
  <si>
    <t>KAU-Automation-Support@RNDC-USA.COM, wmsinternal@RNDC-USA.COM, WMSMSPSupport@RNDC-USA.COM</t>
  </si>
  <si>
    <t>MAU-Automation-Support@RNDC-USA.COM, wmsinternal@RNDC-USA.COM, WMSMSPSupport@RNDC-USA.COM</t>
  </si>
  <si>
    <t>OAH-Automation-Support@RNDC-USA.COM, wmsinternal@RNDC-USA.COM, WMSMSPSupport@RNDC-USA.COM</t>
  </si>
  <si>
    <t>in_transit_rma_asn_30_days</t>
  </si>
  <si>
    <t>In Transit RMA ASNs &gt; 30 Days</t>
  </si>
  <si>
    <t>As part of system cleanup/maintenance below planned RMA''s are being cancelled as no return has been processed on them in last 30 days</t>
  </si>
  <si>
    <t xml:space="preserve">{"allOption": {"days": 30}, "emailContent": {"subject": "Splunk Alert: </t>
  </si>
  <si>
    <t>{"subject":"created.in.the.python.code","fromEmail":"noreply@rndc-usa.com","toEmail":"use.email.from.result.set.from.mysql","sections":[{"htmlHeader":"&lt;h2 style=''margin:0;''&gt;WILL CALL ALERT&lt;/h2&gt;"},{"introHtml":"created.in.the.python.code"},{"tableHtml":{"tableHeaders":[],"tableRows":[]}},{"footerHtml":"created.in.the.python.code"}]}</t>
  </si>
  <si>
    <t>{"alertName":"LIA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</si>
  <si>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</si>
  <si>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</si>
  <si>
    <t>{"alertName":"LIA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</si>
</sst>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Narrow"/>
      <family val="2"/>
      <scheme val="minor"/>
    </font>
    <font>
      <sz val="12"/>
      <color rgb="FF000000"/>
      <name val="Aptos Narrow"/>
      <family val="2"/>
    </font>
    <font>
      <sz val="11"/>
      <color rgb="FF000000"/>
      <name val="Aptos Narrow"/>
      <family val="2"/>
      <scheme val="minor"/>
    </font>
    <font>
      <sz val="12"/>
      <color rgb="FF000000"/>
      <name val="Aptos Narrow"/>
    </font>
    <font>
      <sz val="11"/>
      <color rgb="FF000000"/>
      <name val="Aptos Narrow"/>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quotePrefix="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1" applyAlignment="1"/>
    <xf numFmtId="0" fontId="1" fillId="0" borderId="0" xfId="1" applyAlignment="1">
      <alignment wrapText="1"/>
    </xf>
    <xf numFmtId="0" fontId="2" fillId="0" borderId="0" xfId="0" applyFont="1" applyAlignment="1">
      <alignment wrapText="1"/>
    </xf>
    <xf numFmtId="0" fontId="3" fillId="0" borderId="0" xfId="0" applyFont="1"/>
    <xf numFmtId="0" fontId="0" fillId="2" borderId="0" xfId="0" applyFill="1"/>
    <xf numFmtId="0" fontId="4" fillId="0" borderId="0" xfId="0" applyFont="1"/>
    <xf numFmtId="0" fontId="5" fillId="0" borderId="0" xfId="0" applyFont="1"/>
    <xf numFmtId="0" fontId="0" fillId="3" borderId="0" xfId="0" applyFill="1"/>
    <xf numFmtId="0" fontId="1" fillId="0" borderId="0" xfId="1"/>
    <xf numFmtId="0" fontId="6" fillId="0" borderId="0" xfId="0" applyFont="1"/>
    <xf numFmtId="0" fontId="0" fillId="3" borderId="0" xfId="0" quotePrefix="1" applyFill="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3"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7"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2"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 Id="rId1"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6"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5"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10" Type="http://schemas.openxmlformats.org/officeDocument/2006/relationships/printerSettings" Target="../printerSettings/printerSettings1.bin"/><Relationship Id="rId4"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9"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noreply@rndc-usa.com" TargetMode="External"/><Relationship Id="rId1" Type="http://schemas.openxmlformats.org/officeDocument/2006/relationships/hyperlink" Target="mailto:noreply@rndc-usa.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Travis.Eldridge@rndc-usa.com,joseph.duran@rndc-usa.com,travis.gusler@rndc-usa.com,christopher.gonzales@rndc-usa.com,Larry.Shelton@RNDC-USA.COM,%20Octavio.Chavez@RNDC-USA.COM,%20kameron.phipps@rndc-usa.com" TargetMode="External"/><Relationship Id="rId13" Type="http://schemas.openxmlformats.org/officeDocument/2006/relationships/hyperlink" Target="mailto:Ryan.Metz@rndc-usa.com,%20John.Hall@rndc-usa.com,%20Anthony.Coleman@rndc-usa.com,%20Dazzle.Keyser@rndc-usa.com,%20Douglas.Garner@rndc-usa.com" TargetMode="External"/><Relationship Id="rId18" Type="http://schemas.openxmlformats.org/officeDocument/2006/relationships/hyperlink" Target="mailto:wmsinternal@RNDC-USA.COM,%20WMSMSPSupport@RNDC-USA.COM" TargetMode="External"/><Relationship Id="rId3" Type="http://schemas.openxmlformats.org/officeDocument/2006/relationships/hyperlink" Target="mailto:wmsinternal@rndc-usa.com,%20wmsconsultant@rndc-usa.com,%20WMSMSPSupport@RNDC-USA.COM" TargetMode="External"/><Relationship Id="rId7" Type="http://schemas.openxmlformats.org/officeDocument/2006/relationships/hyperlink" Target="mailto:wmsinternal@RNDC-USA.COM,%20WMSMSPSupport@RNDC-USA.COM" TargetMode="External"/><Relationship Id="rId12" Type="http://schemas.openxmlformats.org/officeDocument/2006/relationships/hyperlink" Target="mailto:wmsinternal@rndc-usa.com,%20wmsconsultant@rndc-usa.com,%20WMSMSPSupport@RNDC-USA.COM" TargetMode="External"/><Relationship Id="rId17" Type="http://schemas.openxmlformats.org/officeDocument/2006/relationships/hyperlink" Target="mailto:wmsinternal@RNDC-USA.COM,%20WMSMSPSupport@RNDC-USA.COM" TargetMode="External"/><Relationship Id="rId2" Type="http://schemas.openxmlformats.org/officeDocument/2006/relationships/hyperlink" Target="mailto:Jonathan.Snell@RNDC-USA.COM,%20Preston.Mccauley@RNDC-USA.COM,%20Rob.Garcia@RNDC-USA.COM,%20Jordan.Stoll@rndc-usa.com,%20Richard.Gay@RNDC-USA.COM,%20Billy.Calloway@RNDC-USA.COM,%20Ryan.Black@rndc-usa.com" TargetMode="External"/><Relationship Id="rId16" Type="http://schemas.openxmlformats.org/officeDocument/2006/relationships/hyperlink" Target="mailto:wmsinternal@RNDC-USA.COM,%20WMSMSPSupport@RNDC-USA.COM" TargetMode="External"/><Relationship Id="rId1" Type="http://schemas.openxmlformats.org/officeDocument/2006/relationships/hyperlink" Target="mailto:wms-tools-noreply@rndc-usa.com" TargetMode="External"/><Relationship Id="rId6" Type="http://schemas.openxmlformats.org/officeDocument/2006/relationships/hyperlink" Target="mailto:wms-tools-noreply@rndc-usa.com" TargetMode="External"/><Relationship Id="rId11" Type="http://schemas.openxmlformats.org/officeDocument/2006/relationships/hyperlink" Target="mailto:demetrius.dever@rndc-usa.com,Michael.Clark@RNDC-USA.com,clarence.hall@rndc-usa.com,brian.bowen@rndc-usa.com,barbara.jackson@rndc-usa.com,rodney.williams@rndc-usa.com" TargetMode="External"/><Relationship Id="rId5" Type="http://schemas.openxmlformats.org/officeDocument/2006/relationships/hyperlink" Target="mailto:wms-tools-noreply@rndc-usa.com" TargetMode="External"/><Relationship Id="rId15" Type="http://schemas.openxmlformats.org/officeDocument/2006/relationships/hyperlink" Target="mailto:wmsinternal@RNDC-USA.COM,%20WMSMSPSupport@RNDC-USA.COM" TargetMode="External"/><Relationship Id="rId10" Type="http://schemas.openxmlformats.org/officeDocument/2006/relationships/hyperlink" Target="mailto:wmsinternal@rndc-usa.com,%20wmsconsultant@rndc-usa.com,%20WMSMSPSupport@RNDC-USA.COM" TargetMode="External"/><Relationship Id="rId19" Type="http://schemas.openxmlformats.org/officeDocument/2006/relationships/hyperlink" Target="mailto:wmsinternal@RNDC-USA.COM,%20WMSMSPSupport@RNDC-USA.COM" TargetMode="External"/><Relationship Id="rId4" Type="http://schemas.openxmlformats.org/officeDocument/2006/relationships/hyperlink" Target="mailto:wms-tools-noreply@rndc-usa.com" TargetMode="External"/><Relationship Id="rId9" Type="http://schemas.openxmlformats.org/officeDocument/2006/relationships/hyperlink" Target="mailto:wmsinternal@rndc-usa.com,%20wmsconsultant@rndc-usa.com,%20WMSMSPSupport@RNDC-USA.COM" TargetMode="External"/><Relationship Id="rId14" Type="http://schemas.openxmlformats.org/officeDocument/2006/relationships/hyperlink" Target="mailto:wmsinternal@RNDC-USA.COM,%20WMSMSPSupport@RNDC-USA.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12F5-53AE-4DBD-8AA2-CC7A2B283A4F}">
  <dimension ref="A1:M74"/>
  <sheetViews>
    <sheetView tabSelected="1" topLeftCell="E39" zoomScaleNormal="100" workbookViewId="0">
      <selection activeCell="L74" sqref="L74"/>
    </sheetView>
  </sheetViews>
  <sheetFormatPr baseColWidth="10" defaultColWidth="8.83203125" defaultRowHeight="15" x14ac:dyDescent="0.2"/>
  <cols>
    <col min="1" max="1" width="13.33203125" customWidth="1"/>
    <col min="2" max="2" width="11.33203125" customWidth="1"/>
    <col min="3" max="3" width="50.6640625" customWidth="1"/>
    <col min="4" max="4" width="45.33203125" customWidth="1"/>
    <col min="5" max="5" width="56.1640625" customWidth="1"/>
    <col min="6" max="6" width="41.6640625" customWidth="1"/>
    <col min="7" max="9" width="36.33203125" customWidth="1"/>
    <col min="10" max="10" width="35.83203125" customWidth="1"/>
    <col min="11" max="11" width="36.1640625" style="2" customWidth="1"/>
    <col min="12" max="12" width="48.33203125" customWidth="1"/>
  </cols>
  <sheetData>
    <row r="1" spans="1:13" ht="16" x14ac:dyDescent="0.2">
      <c r="A1" t="s">
        <v>0</v>
      </c>
      <c r="B1" t="str">
        <f>A1 &amp; " Interactive"</f>
        <v>approute Interactive</v>
      </c>
      <c r="C1" t="s">
        <v>1</v>
      </c>
      <c r="D1" t="s">
        <v>2</v>
      </c>
      <c r="E1" t="s">
        <v>3</v>
      </c>
      <c r="F1" t="s">
        <v>4</v>
      </c>
      <c r="G1" t="s">
        <v>5</v>
      </c>
      <c r="H1" t="s">
        <v>6</v>
      </c>
      <c r="I1" t="str">
        <f>H1 &amp; " Interactive"</f>
        <v>requesttype insert Interactive</v>
      </c>
      <c r="J1" t="s">
        <v>7</v>
      </c>
      <c r="K1" s="2" t="s">
        <v>8</v>
      </c>
      <c r="L1" t="s">
        <v>9</v>
      </c>
      <c r="M1" t="s">
        <v>10</v>
      </c>
    </row>
    <row r="2" spans="1:13" ht="144" x14ac:dyDescent="0.2">
      <c r="A2">
        <v>51</v>
      </c>
      <c r="B2">
        <f t="shared" ref="B2:B12" si="0">A2+1</f>
        <v>52</v>
      </c>
      <c r="C2" t="s">
        <v>11</v>
      </c>
      <c r="D2" t="s">
        <v>12</v>
      </c>
      <c r="E2" t="s">
        <v>13</v>
      </c>
      <c r="F2" s="1" t="s">
        <v>14</v>
      </c>
      <c r="G2" s="1" t="s">
        <v>15</v>
      </c>
      <c r="H2" s="2" t="str">
        <f>"insert into app.requesttype(requesttypeid, approute, description, longdescription) select (select max(r.requesttypeid) from app.requesttype r) + 1 requesttypeid, " &amp; A2 &amp; ", '" &amp; D2 &amp; "', '" &amp; D2 &amp; "' where not exists (select 1 from app.requesttype r2 where r2.approute = " &amp; A2 &amp; " );"</f>
        <v>insert into app.requesttype(requesttypeid, approute, description, longdescription) select (select max(r.requesttypeid) from app.requesttype r) + 1 requesttypeid, 51, 'in-transit-rma-asn-7-days', 'in-transit-rma-asn-7-days' where not exists (select 1 from app.requesttype r2 where r2.approute = 51 );</v>
      </c>
      <c r="I2" s="2" t="str">
        <f>"insert into app.requesttype(requesttypeid, approute, description, longdescription) select (select max(r.requesttypeid) from app.requesttype r) + 1 requesttypeid, " &amp; B2 &amp; ", '" &amp; D2 &amp; " Interactive', '" &amp; D2 &amp; " Interactive' where not exists (select 1 from app.requesttype r2 where r2.approute = " &amp; B2 &amp; " );"</f>
        <v>insert into app.requesttype(requesttypeid, approute, description, longdescription) select (select max(r.requesttypeid) from app.requesttype r) + 1 requesttypeid, 52, 'in-transit-rma-asn-7-days Interactive', 'in-transit-rma-asn-7-days Interactive' where not exists (select 1 from app.requesttype r2 where r2.approute = 52 );</v>
      </c>
      <c r="J2" s="2" t="str">
        <f>"insert into app.statemachinerepo(statemachine, description, requesttypeid) select '" &amp; F2 &amp; "-' || rt.description" &amp; ", '" &amp; F2 &amp; "-' || rt.description" &amp; ", rt.requesttypeid from app.requesttype rt where rt.description = '" &amp; D2 &amp; "' and not exists (select 1 from app.statemachinerepo sr where sr.description = '" &amp; F2 &amp; "-" &amp; D2 &amp; "');"</f>
        <v>insert into app.statemachinerepo(statemachine, description, requesttypeid) select 'tbd-' || rt.description, 'tbd-' || rt.description, rt.requesttypeid from app.requesttype rt where rt.description = 'in-transit-rma-asn-7-days' and not exists (select 1 from app.statemachinerepo sr where sr.description = 'tbd-in-transit-rma-asn-7-days');</v>
      </c>
      <c r="K2" s="16" t="str" cm="1">
        <f t="array" ref="K2">"insert into app.cronaction (CronTaskId, CronActionTypeId, Payload, CreatedBy, LastUpdatedBy) select c.crontaskid, cat.CronActionTypeId,'{""EmailTextOnError"":""tbd"",""TaskName"":""" &amp; E2 &amp; """,
""StateMachine"":""" &amp; IF(ISNUMBER(SEARCH("DB Alert", E)), "wms-tools-state-machine-db-alert", """ wms-tools-state-machine-" &amp; D2 &amp; "" ) &amp; """,
"" Lambda "":"" &amp; C2 &amp; "",
""RequestType"":""" &amp; D2 &amp;"""}','sysuser', 'sysuser' from app.cronactiontype cat, app.crontasks c where c.description = '" &amp; E2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7 Days",
"StateMachine":"" wms-tools-state-machine-in-transit-rma-asn-7-days",
" Lambda ":" &amp; C2 &amp; ",
"RequestType":"in-transit-rma-asn-7-days"}','sysuser', 'sysuser' from app.cronactiontype cat, app.crontasks c where c.description = 'In Transit RMA ASN 7 Days' and not exists (select 1 from app.cronaction c2 where c2.crontaskid = c.crontaskid) and cat.description = 'NONE';</v>
      </c>
      <c r="L2" s="16" t="str">
        <f>"insert into app.cronaction (CronTaskId, CronActionTypeId, Payload, CreatedBy, LastUpdatedBy) select c.crontaskid, cat.CronActionTypeId,'{""EmailTextOnError"":""tbd"",""TaskName"":""" &amp; E2 &amp; """,
""StateMachine"":""" &amp; IF(ISNUMBER(SEARCH("DB Alert", E2)), "wms-tools-state-machine-db-alert", """ wms-tools-state-machine-" &amp; D2 &amp; "" ) &amp; """,
"" Lambda "":""" &amp; C2 &amp; """,
""RequestType"":""" &amp; D2 &amp;"""}','sysuser', 'sysuser' from app.cronactiontype cat, app.crontasks c where c.description = '" &amp; E2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7 Days",
"StateMachine":"" wms-tools-state-machine-in-transit-rma-asn-7-days",
" Lambda ":"wms-tools-lambda-in-transit-rma-asn",
"RequestType":"in-transit-rma-asn-7-days"}','sysuser', 'sysuser' from app.cronactiontype cat, app.crontasks c where c.description = 'In Transit RMA ASN 7 Days' and not exists (select 1 from app.cronaction c2 where c2.crontaskid = c.crontaskid) and cat.description = 'NONE';</v>
      </c>
    </row>
    <row r="3" spans="1:13" x14ac:dyDescent="0.2">
      <c r="A3">
        <v>53</v>
      </c>
      <c r="B3">
        <f t="shared" si="0"/>
        <v>54</v>
      </c>
      <c r="C3" t="s">
        <v>11</v>
      </c>
      <c r="D3" t="s">
        <v>16</v>
      </c>
      <c r="E3" t="s">
        <v>17</v>
      </c>
      <c r="F3" t="s">
        <v>14</v>
      </c>
      <c r="G3" s="1" t="s">
        <v>15</v>
      </c>
      <c r="H3" t="str">
        <f>"insert into app.requesttype(requesttypeid, approute, description, longdescription) select (select max(r.requesttypeid) from app.requesttype r) + 1 requesttypeid, " &amp; A3 &amp; ", '" &amp; D3 &amp; "', '" &amp; D3 &amp; "' where not exists (select 1 from app.requesttype r2 where r2.approute = " &amp; A3 &amp; " );"</f>
        <v>insert into app.requesttype(requesttypeid, approute, description, longdescription) select (select max(r.requesttypeid) from app.requesttype r) + 1 requesttypeid, 53, 'in-transit-rma-asn-30-days', 'in-transit-rma-asn-30-days' where not exists (select 1 from app.requesttype r2 where r2.approute = 53 );</v>
      </c>
      <c r="I3" t="str">
        <f>"insert into app.requesttype(requesttypeid, approute, description, longdescription) select (select max(r.requesttypeid) from app.requesttype r) + 1 requesttypeid, " &amp; B3 &amp; ", '" &amp; D3 &amp; " Interactive', '" &amp; D3 &amp; " Interactive' where not exists (select 1 from app.requesttype r2 where r2.approute = " &amp; B3 &amp; " );"</f>
        <v>insert into app.requesttype(requesttypeid, approute, description, longdescription) select (select max(r.requesttypeid) from app.requesttype r) + 1 requesttypeid, 54, 'in-transit-rma-asn-30-days Interactive', 'in-transit-rma-asn-30-days Interactive' where not exists (select 1 from app.requesttype r2 where r2.approute = 54 );</v>
      </c>
      <c r="J3" t="str">
        <f>"insert into app.statemachinerepo(statemachine, description, requesttypeid) select '" &amp; F3 &amp; "-' || rt.description" &amp; ", '" &amp; F3 &amp; "-' || rt.description" &amp; ", rt.requesttypeid from app.requesttype rt where rt.description = '" &amp; D3 &amp; "' and not exists (select 1 from app.statemachinerepo sr where sr.description = '" &amp; F3 &amp; "-" &amp; D3 &amp; "');"</f>
        <v>insert into app.statemachinerepo(statemachine, description, requesttypeid) select 'tbd-' || rt.description, 'tbd-' || rt.description, rt.requesttypeid from app.requesttype rt where rt.description = 'in-transit-rma-asn-30-days' and not exists (select 1 from app.statemachinerepo sr where sr.description = 'tbd-in-transit-rma-asn-30-days');</v>
      </c>
      <c r="K3" s="16" t="str" cm="1">
        <f t="array" ref="K3">"insert into app.cronaction (CronTaskId, CronActionTypeId, Payload, CreatedBy, LastUpdatedBy) select c.crontaskid, cat.CronActionTypeId,'{""EmailTextOnError"":""tbd"",""TaskName"":""" &amp; E3 &amp; """,
""StateMachine"":""" &amp; IF(ISNUMBER(SEARCH("DB Alert", E)), "wms-tools-state-machine-db-alert", """ wms-tools-state-machine-" &amp; D3 &amp; "" ) &amp; """,
"" Lambda "":"" &amp; C2 &amp; "",
""RequestType"":""" &amp; D3 &amp;"""}','sysuser', 'sysuser' from app.cronactiontype cat, app.crontasks c where c.description = '" &amp; E3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30 Days",
"StateMachine":"" wms-tools-state-machine-in-transit-rma-asn-30-days",
" Lambda ":" &amp; C2 &amp; ",
"RequestType":"in-transit-rma-asn-30-days"}','sysuser', 'sysuser' from app.cronactiontype cat, app.crontasks c where c.description = 'In Transit RMA ASN 30 Days' and not exists (select 1 from app.cronaction c2 where c2.crontaskid = c.crontaskid) and cat.description = 'NONE';</v>
      </c>
      <c r="L3" s="16" t="str">
        <f t="shared" ref="L3:L66" si="1">"insert into app.cronaction (CronTaskId, CronActionTypeId, Payload, CreatedBy, LastUpdatedBy) select c.crontaskid, cat.CronActionTypeId,'{""EmailTextOnError"":""tbd"",""TaskName"":""" &amp; E3 &amp; """,
""StateMachine"":""" &amp; IF(ISNUMBER(SEARCH("DB Alert", E3)), "wms-tools-state-machine-db-alert", """ wms-tools-state-machine-" &amp; D3 &amp; "" ) &amp; """,
"" Lambda "":""" &amp; C3 &amp; """,
""RequestType"":""" &amp; D3 &amp;"""}','sysuser', 'sysuser' from app.cronactiontype cat, app.crontasks c where c.description = '" &amp; E3 &amp; "' and not exists (select 1 from app.cronaction c2 where c2.crontaskid = c.crontaskid) and cat.description = 'NONE';"</f>
        <v>insert into app.cronaction (CronTaskId, CronActionTypeId, Payload, CreatedBy, LastUpdatedBy) select c.crontaskid, cat.CronActionTypeId,'{"EmailTextOnError":"tbd","TaskName":"In Transit RMA ASN 30 Days",
"StateMachine":"" wms-tools-state-machine-in-transit-rma-asn-30-days",
" Lambda ":"wms-tools-lambda-in-transit-rma-asn",
"RequestType":"in-transit-rma-asn-30-days"}','sysuser', 'sysuser' from app.cronactiontype cat, app.crontasks c where c.description = 'In Transit RMA ASN 30 Days' and not exists (select 1 from app.cronaction c2 where c2.crontaskid = c.crontaskid) and cat.description = 'NONE';</v>
      </c>
    </row>
    <row r="4" spans="1:13" ht="92" customHeight="1" x14ac:dyDescent="0.2">
      <c r="A4">
        <v>55</v>
      </c>
      <c r="B4">
        <f t="shared" si="0"/>
        <v>56</v>
      </c>
      <c r="C4" t="s">
        <v>18</v>
      </c>
      <c r="D4" t="s">
        <v>19</v>
      </c>
      <c r="E4" t="s">
        <v>20</v>
      </c>
      <c r="F4" s="1" t="s">
        <v>21</v>
      </c>
      <c r="G4" s="1" t="s">
        <v>22</v>
      </c>
      <c r="H4" t="str">
        <f>"insert into app.requesttype(requesttypeid, approute, description, longdescription) select (select max(r.requesttypeid) from app.requesttype r) + 1 requesttypeid, " &amp; A4 &amp; ", '" &amp; D4 &amp; "', '" &amp; D4 &amp; "' where not exists (select 1 from app.requesttype r2 where r2.approute = " &amp; A4 &amp; " );"</f>
        <v>insert into app.requesttype(requesttypeid, approute, description, longdescription) select (select max(r.requesttypeid) from app.requesttype r) + 1 requesttypeid, 55, 'db-alert-order-no-desig-assign', 'db-alert-order-no-desig-assign' where not exists (select 1 from app.requesttype r2 where r2.approute = 55 );</v>
      </c>
      <c r="I4" t="str">
        <f>"insert into app.requesttype(requesttypeid, approute, description, longdescription) select (select max(r.requesttypeid) from app.requesttype r) + 1 requesttypeid, " &amp; B4 &amp; ", '" &amp; D4 &amp; " Interactive', '" &amp; D4 &amp; " Interactive' where not exists (select 1 from app.requesttype r2 where r2.approute = " &amp; B4 &amp; " );"</f>
        <v>insert into app.requesttype(requesttypeid, approute, description, longdescription) select (select max(r.requesttypeid) from app.requesttype r) + 1 requesttypeid, 56, 'db-alert-order-no-desig-assign Interactive', 'db-alert-order-no-desig-assign Interactive' where not exists (select 1 from app.requesttype r2 where r2.approute = 56 );</v>
      </c>
      <c r="J4" s="1" t="s">
        <v>21</v>
      </c>
      <c r="K4" s="16" t="str" cm="1">
        <f t="array" ref="K4">"insert into app.cronaction (CronTaskId, CronActionTypeId, Payload, CreatedBy, LastUpdatedBy) select c.crontaskid, cat.CronActionTypeId,'{""EmailTextOnError"":""tbd"",""TaskName"":""" &amp; E4 &amp; """,
""StateMachine"":""" &amp; IF(ISNUMBER(SEARCH("DB Alert", E)), "wms-tools-state-machine-db-alert", """ wms-tools-state-machine-" &amp; D4 &amp; "" ) &amp; """,
"" Lambda "":"" &amp; C2 &amp; "",
""RequestType"":""" &amp; D4 &amp;"""}','sysuser', 'sysuser' from app.cronactiontype cat, app.crontasks c where c.description = '" &amp; E4 &amp; "' and not exists (select 1 from app.cronaction c2 where c2.crontaskid = c.crontaskid) and cat.description = 'NONE';"</f>
        <v>insert into app.cronaction (CronTaskId, CronActionTypeId, Payload, CreatedBy, LastUpdatedBy) select c.crontaskid, cat.CronActionTypeId,'{"EmailTextOnError":"tbd","TaskName":"DB Alert: Orders No Designated or Assigned Shipments",
"StateMachine":"" wms-tools-state-machine-db-alert-order-no-desig-assign",
" Lambda ":" &amp; C2 &amp; ",
"RequestType":"db-alert-order-no-desig-assign"}','sysuser', 'sysuser' from app.cronactiontype cat, app.crontasks c where c.description = 'DB Alert: Orders No Designated or Assigned Shipments' and not exists (select 1 from app.cronaction c2 where c2.crontaskid = c.crontaskid) and cat.description = 'NONE';</v>
      </c>
      <c r="L4" s="16" t="str">
        <f t="shared" si="1"/>
        <v>insert into app.cronaction (CronTaskId, CronActionTypeId, Payload, CreatedBy, LastUpdatedBy) select c.crontaskid, cat.CronActionTypeId,'{"EmailTextOnError":"tbd","TaskName":"DB Alert: Orders No Designated or Assigned Shipments",
"StateMachine":"wms-tools-state-machine-db-alert",
" Lambda ":"wms-tools-lambda-db-alert",
"RequestType":"db-alert-order-no-desig-assign"}','sysuser', 'sysuser' from app.cronactiontype cat, app.crontasks c where c.description = 'DB Alert: Orders No Designated or Assigned Shipments' and not exists (select 1 from app.cronaction c2 where c2.crontaskid = c.crontaskid) and cat.description = 'NONE';</v>
      </c>
      <c r="M4" s="9" t="s">
        <v>23</v>
      </c>
    </row>
    <row r="5" spans="1:13" ht="27" customHeight="1" x14ac:dyDescent="0.2">
      <c r="A5">
        <v>57</v>
      </c>
      <c r="B5">
        <f t="shared" si="0"/>
        <v>58</v>
      </c>
      <c r="C5" t="s">
        <v>18</v>
      </c>
      <c r="D5" t="s">
        <v>24</v>
      </c>
      <c r="E5" t="s">
        <v>25</v>
      </c>
      <c r="F5" s="1" t="s">
        <v>21</v>
      </c>
      <c r="G5" s="1" t="s">
        <v>22</v>
      </c>
      <c r="H5" t="str">
        <f>"insert into app.requesttype(requesttypeid, approute, description, longdescription) select (select max(r.requesttypeid) from app.requesttype r) + 1 requesttypeid, " &amp; A5 &amp; ", '" &amp; D5 &amp; "', '" &amp; D5 &amp; "' where not exists (select 1 from app.requesttype r2 where r2.approute = " &amp; A5 &amp; " );"</f>
        <v>insert into app.requesttype(requesttypeid, approute, description, longdescription) select (select max(r.requesttypeid) from app.requesttype r) + 1 requesttypeid, 57, 'db-alert-order-no-desig', 'db-alert-order-no-desig' where not exists (select 1 from app.requesttype r2 where r2.approute = 57 );</v>
      </c>
      <c r="I5" t="str">
        <f>"insert into app.requesttype(requesttypeid, approute, description, longdescription) select (select max(r.requesttypeid) from app.requesttype r) + 1 requesttypeid, " &amp; B5 &amp; ", '" &amp; D5 &amp; " Interactive', '" &amp; D5 &amp; " Interactive' where not exists (select 1 from app.requesttype r2 where r2.approute = " &amp; B5 &amp; " );"</f>
        <v>insert into app.requesttype(requesttypeid, approute, description, longdescription) select (select max(r.requesttypeid) from app.requesttype r) + 1 requesttypeid, 58, 'db-alert-order-no-desig Interactive', 'db-alert-order-no-desig Interactive' where not exists (select 1 from app.requesttype r2 where r2.approute = 58 );</v>
      </c>
      <c r="J5" s="1" t="s">
        <v>21</v>
      </c>
      <c r="K5" s="16" t="str" cm="1">
        <f t="array" ref="K5">"insert into app.cronaction (CronTaskId, CronActionTypeId, Payload, CreatedBy, LastUpdatedBy) select c.crontaskid, cat.CronActionTypeId,'{""EmailTextOnError"":""tbd"",""TaskName"":""" &amp; E5 &amp; """,
""StateMachine"":""" &amp; IF(ISNUMBER(SEARCH("DB Alert", E)), "wms-tools-state-machine-db-alert", """ wms-tools-state-machine-" &amp; D5 &amp; "" ) &amp; """,
"" Lambda "":"" &amp; C2 &amp; "",
""RequestType"":""" &amp; D5 &amp;"""}','sysuser', 'sysuser' from app.cronactiontype cat, app.crontasks c where c.description = '" &amp; E5 &amp; "' and not exists (select 1 from app.cronaction c2 where c2.crontaskid = c.crontaskid) and cat.description = 'NONE';"</f>
        <v>insert into app.cronaction (CronTaskId, CronActionTypeId, Payload, CreatedBy, LastUpdatedBy) select c.crontaskid, cat.CronActionTypeId,'{"EmailTextOnError":"tbd","TaskName":"DB Alert: Orders No Designated Shipments",
"StateMachine":"" wms-tools-state-machine-db-alert-order-no-desig",
" Lambda ":" &amp; C2 &amp; ",
"RequestType":"db-alert-order-no-desig"}','sysuser', 'sysuser' from app.cronactiontype cat, app.crontasks c where c.description = 'DB Alert: Orders No Designated Shipments' and not exists (select 1 from app.cronaction c2 where c2.crontaskid = c.crontaskid) and cat.description = 'NONE';</v>
      </c>
      <c r="L5" s="16" t="str">
        <f t="shared" si="1"/>
        <v>insert into app.cronaction (CronTaskId, CronActionTypeId, Payload, CreatedBy, LastUpdatedBy) select c.crontaskid, cat.CronActionTypeId,'{"EmailTextOnError":"tbd","TaskName":"DB Alert: Orders No Designated Shipments",
"StateMachine":"wms-tools-state-machine-db-alert",
" Lambda ":"wms-tools-lambda-db-alert",
"RequestType":"db-alert-order-no-desig"}','sysuser', 'sysuser' from app.cronactiontype cat, app.crontasks c where c.description = 'DB Alert: Orders No Designated Shipments' and not exists (select 1 from app.cronaction c2 where c2.crontaskid = c.crontaskid) and cat.description = 'NONE';</v>
      </c>
    </row>
    <row r="6" spans="1:13" ht="27" customHeight="1" x14ac:dyDescent="0.2">
      <c r="A6">
        <v>59</v>
      </c>
      <c r="B6">
        <f t="shared" si="0"/>
        <v>60</v>
      </c>
      <c r="C6" t="s">
        <v>18</v>
      </c>
      <c r="D6" t="s">
        <v>26</v>
      </c>
      <c r="E6" t="s">
        <v>27</v>
      </c>
      <c r="F6" s="1" t="s">
        <v>21</v>
      </c>
      <c r="G6" s="1" t="s">
        <v>22</v>
      </c>
      <c r="H6" t="str">
        <f>"insert into app.requesttype(requesttypeid, approute, description, longdescription) select (select max(r.requesttypeid) from app.requesttype r) + 1 requesttypeid, " &amp; A6 &amp; ", '" &amp; D6 &amp; "', '" &amp; D6 &amp; "' where not exists (select 1 from app.requesttype r2 where r2.approute = " &amp; A6 &amp; " );"</f>
        <v>insert into app.requesttype(requesttypeid, approute, description, longdescription) select (select max(r.requesttypeid) from app.requesttype r) + 1 requesttypeid, 59, 'db-alert-static-route-missing-threshold', 'db-alert-static-route-missing-threshold' where not exists (select 1 from app.requesttype r2 where r2.approute = 59 );</v>
      </c>
      <c r="I6" t="str">
        <f>"insert into app.requesttype(requesttypeid, approute, description, longdescription) select (select max(r.requesttypeid) from app.requesttype r) + 1 requesttypeid, " &amp; B6 &amp; ", '" &amp; D6 &amp; " Interactive', '" &amp; D6 &amp; " Interactive' where not exists (select 1 from app.requesttype r2 where r2.approute = " &amp; B6 &amp; " );"</f>
        <v>insert into app.requesttype(requesttypeid, approute, description, longdescription) select (select max(r.requesttypeid) from app.requesttype r) + 1 requesttypeid, 60, 'db-alert-static-route-missing-threshold Interactive', 'db-alert-static-route-missing-threshold Interactive' where not exists (select 1 from app.requesttype r2 where r2.approute = 60 );</v>
      </c>
      <c r="J6" s="1" t="s">
        <v>21</v>
      </c>
      <c r="K6" s="16" t="str" cm="1">
        <f t="array" ref="K6">"insert into app.cronaction (CronTaskId, CronActionTypeId, Payload, CreatedBy, LastUpdatedBy) select c.crontaskid, cat.CronActionTypeId,'{""EmailTextOnError"":""tbd"",""TaskName"":""" &amp; E6 &amp; """,
""StateMachine"":""" &amp; IF(ISNUMBER(SEARCH("DB Alert", E)), "wms-tools-state-machine-db-alert", """ wms-tools-state-machine-" &amp; D6 &amp; "" ) &amp; """,
"" Lambda "":"" &amp; C2 &amp; "",
""RequestType"":""" &amp; D6 &amp;"""}','sysuser', 'sysuser' from app.cronactiontype cat, app.crontasks c where c.description = '" &amp; E6 &amp; "' and not exists (select 1 from app.cronaction c2 where c2.crontaskid = c.crontaskid) and cat.description = 'NONE';"</f>
        <v>insert into app.cronaction (CronTaskId, CronActionTypeId, Payload, CreatedBy, LastUpdatedBy) select c.crontaskid, cat.CronActionTypeId,'{"EmailTextOnError":"tbd","TaskName":"DB Alert: Static Route Missing Threshold Value",
"StateMachine":"" wms-tools-state-machine-db-alert-static-route-missing-threshold",
" Lambda ":" &amp; C2 &amp; ",
"RequestType":"db-alert-static-route-missing-threshold"}','sysuser', 'sysuser' from app.cronactiontype cat, app.crontasks c where c.description = 'DB Alert: Static Route Missing Threshold Value' and not exists (select 1 from app.cronaction c2 where c2.crontaskid = c.crontaskid) and cat.description = 'NONE';</v>
      </c>
      <c r="L6" s="16" t="str">
        <f t="shared" si="1"/>
        <v>insert into app.cronaction (CronTaskId, CronActionTypeId, Payload, CreatedBy, LastUpdatedBy) select c.crontaskid, cat.CronActionTypeId,'{"EmailTextOnError":"tbd","TaskName":"DB Alert: Static Route Missing Threshold Value",
"StateMachine":"wms-tools-state-machine-db-alert",
" Lambda ":"wms-tools-lambda-db-alert",
"RequestType":"db-alert-static-route-missing-threshold"}','sysuser', 'sysuser' from app.cronactiontype cat, app.crontasks c where c.description = 'DB Alert: Static Route Missing Threshold Value' and not exists (select 1 from app.cronaction c2 where c2.crontaskid = c.crontaskid) and cat.description = 'NONE';</v>
      </c>
      <c r="M6" s="9" t="s">
        <v>23</v>
      </c>
    </row>
    <row r="7" spans="1:13" x14ac:dyDescent="0.2">
      <c r="A7">
        <v>61</v>
      </c>
      <c r="B7">
        <f t="shared" si="0"/>
        <v>62</v>
      </c>
      <c r="C7" t="s">
        <v>28</v>
      </c>
      <c r="D7" t="s">
        <v>29</v>
      </c>
      <c r="E7" t="s">
        <v>30</v>
      </c>
      <c r="F7" t="s">
        <v>14</v>
      </c>
      <c r="G7" s="1" t="s">
        <v>22</v>
      </c>
      <c r="H7" t="str">
        <f t="shared" ref="H7:H70" si="2">"insert into app.requesttype(requesttypeid, approute, description, longdescription) select (select max(r.requesttypeid) from app.requesttype r) + 1 requesttypeid, " &amp; A7 &amp; ", '" &amp; D7 &amp; "', '" &amp; D7 &amp; "' where not exists (select 1 from app.requesttype r2 where r2.approute = " &amp; A7 &amp; " );"</f>
        <v>insert into app.requesttype(requesttypeid, approute, description, longdescription) select (select max(r.requesttypeid) from app.requesttype r) + 1 requesttypeid, 61, 'db-alert-order-not-process-15m', 'db-alert-order-not-process-15m' where not exists (select 1 from app.requesttype r2 where r2.approute = 61 );</v>
      </c>
      <c r="I7" t="str">
        <f t="shared" ref="I7:I70" si="3">"insert into app.requesttype(requesttypeid, approute, description, longdescription) select (select max(r.requesttypeid) from app.requesttype r) + 1 requesttypeid, " &amp; B7 &amp; ", '" &amp; D7 &amp; " Interactive', '" &amp; D7 &amp; " Interactive' where not exists (select 1 from app.requesttype r2 where r2.approute = " &amp; B7 &amp; " );"</f>
        <v>insert into app.requesttype(requesttypeid, approute, description, longdescription) select (select max(r.requesttypeid) from app.requesttype r) + 1 requesttypeid, 62, 'db-alert-order-not-process-15m Interactive', 'db-alert-order-not-process-15m Interactive' where not exists (select 1 from app.requesttype r2 where r2.approute = 62 );</v>
      </c>
      <c r="J7" t="str">
        <f>"insert into app.statemachinerepo(statemachine, description, requesttypeid) select '" &amp; F7 &amp; "-' || rt.description" &amp; ", '" &amp; F7 &amp; "-' || rt.description" &amp; ", rt.requesttypeid from app.requesttype rt where rt.description = '" &amp; D7 &amp; "' and not exists (select 1 from app.statemachinerepo sr where sr.description = '" &amp; F7 &amp; "-" &amp; D7 &amp; "');"</f>
        <v>insert into app.statemachinerepo(statemachine, description, requesttypeid) select 'tbd-' || rt.description, 'tbd-' || rt.description, rt.requesttypeid from app.requesttype rt where rt.description = 'db-alert-order-not-process-15m' and not exists (select 1 from app.statemachinerepo sr where sr.description = 'tbd-db-alert-order-not-process-15m');</v>
      </c>
      <c r="K7" s="16" t="str" cm="1">
        <f t="array" ref="K7">"insert into app.cronaction (CronTaskId, CronActionTypeId, Payload, CreatedBy, LastUpdatedBy) select c.crontaskid, cat.CronActionTypeId,'{""EmailTextOnError"":""tbd"",""TaskName"":""" &amp; E7 &amp; """,
""StateMachine"":""" &amp; IF(ISNUMBER(SEARCH("DB Alert", E)), "wms-tools-state-machine-db-alert", """ wms-tools-state-machine-" &amp; D7 &amp; "" ) &amp; """,
"" Lambda "":"" &amp; C2 &amp; "",
""RequestType"":""" &amp; D7 &amp;"""}','sysuser', 'sysuser' from app.cronactiontype cat, app.crontasks c where c.description = '" &amp; E7 &amp; "' and not exists (select 1 from app.cronaction c2 where c2.crontaskid = c.crontaskid) and cat.description = 'NONE';"</f>
        <v>insert into app.cronaction (CronTaskId, CronActionTypeId, Payload, CreatedBy, LastUpdatedBy) select c.crontaskid, cat.CronActionTypeId,'{"EmailTextOnError":"tbd","TaskName":"DB Alert: Orders Not Process In Host &gt; 15 Minutes",
"StateMachine":"" wms-tools-state-machine-db-alert-order-not-process-15m",
" Lambda ":" &amp; C2 &amp; ",
"RequestType":"db-alert-order-not-process-15m"}','sysuser', 'sysuser' from app.cronactiontype cat, app.crontasks c where c.description = 'DB Alert: Orders Not Process In Host &gt; 15 Minutes' and not exists (select 1 from app.cronaction c2 where c2.crontaskid = c.crontaskid) and cat.description = 'NONE';</v>
      </c>
      <c r="L7" s="16" t="str">
        <f t="shared" si="1"/>
        <v>insert into app.cronaction (CronTaskId, CronActionTypeId, Payload, CreatedBy, LastUpdatedBy) select c.crontaskid, cat.CronActionTypeId,'{"EmailTextOnError":"tbd","TaskName":"DB Alert: Orders Not Process In Host &gt; 15 Minutes",
"StateMachine":"wms-tools-state-machine-db-alert",
" Lambda ":"wms-tools-lambda-oracle-db-alert",
"RequestType":"db-alert-order-not-process-15m"}','sysuser', 'sysuser' from app.cronactiontype cat, app.crontasks c where c.description = 'DB Alert: Orders Not Process In Host &gt; 15 Minutes' and not exists (select 1 from app.cronaction c2 where c2.crontaskid = c.crontaskid) and cat.description = 'NONE';</v>
      </c>
      <c r="M7" t="s">
        <v>31</v>
      </c>
    </row>
    <row r="8" spans="1:13" x14ac:dyDescent="0.2">
      <c r="A8">
        <v>63</v>
      </c>
      <c r="B8">
        <f t="shared" si="0"/>
        <v>64</v>
      </c>
      <c r="C8" t="s">
        <v>32</v>
      </c>
      <c r="D8" t="s">
        <v>33</v>
      </c>
      <c r="E8" t="s">
        <v>34</v>
      </c>
      <c r="F8" t="s">
        <v>14</v>
      </c>
      <c r="G8" s="1" t="s">
        <v>15</v>
      </c>
      <c r="H8" t="str">
        <f t="shared" si="2"/>
        <v>insert into app.requesttype(requesttypeid, approute, description, longdescription) select (select max(r.requesttypeid) from app.requesttype r) + 1 requesttypeid, 63, 'lpns-no-task-api-fail', 'lpns-no-task-api-fail' where not exists (select 1 from app.requesttype r2 where r2.approute = 63 );</v>
      </c>
      <c r="I8" t="str">
        <f t="shared" si="3"/>
        <v>insert into app.requesttype(requesttypeid, approute, description, longdescription) select (select max(r.requesttypeid) from app.requesttype r) + 1 requesttypeid, 64, 'lpns-no-task-api-fail Interactive', 'lpns-no-task-api-fail Interactive' where not exists (select 1 from app.requesttype r2 where r2.approute = 64 );</v>
      </c>
      <c r="J8" t="str">
        <f t="shared" ref="J8:J71" si="4">"insert into app.statemachinerepo(statemachine, description, requesttypeid) select '" &amp; F8 &amp; "-' || rt.description" &amp; ", '" &amp; F8 &amp; "-' || rt.description" &amp; ", rt.requesttypeid from app.requesttype rt where rt.description = '" &amp; D8 &amp; "' and not exists (select 1 from app.statemachinerepo sr where sr.description = '" &amp; F8 &amp; "-" &amp; D8 &amp; "');"</f>
        <v>insert into app.statemachinerepo(statemachine, description, requesttypeid) select 'tbd-' || rt.description, 'tbd-' || rt.description, rt.requesttypeid from app.requesttype rt where rt.description = 'lpns-no-task-api-fail' and not exists (select 1 from app.statemachinerepo sr where sr.description = 'tbd-lpns-no-task-api-fail');</v>
      </c>
      <c r="K8" s="16" t="str" cm="1">
        <f t="array" ref="K8">"insert into app.cronaction (CronTaskId, CronActionTypeId, Payload, CreatedBy, LastUpdatedBy) select c.crontaskid, cat.CronActionTypeId,'{""EmailTextOnError"":""tbd"",""TaskName"":""" &amp; E8 &amp; """,
""StateMachine"":""" &amp; IF(ISNUMBER(SEARCH("DB Alert", E)), "wms-tools-state-machine-db-alert", """ wms-tools-state-machine-" &amp; D8 &amp; "" ) &amp; """,
"" Lambda "":"" &amp; C2 &amp; "",
""RequestType"":""" &amp; D8 &amp;"""}','sysuser', 'sysuser' from app.cronactiontype cat, app.crontasks c where c.description = '" &amp; E8 &amp; "' and not exists (select 1 from app.cronaction c2 where c2.crontaskid = c.crontaskid) and cat.description = 'NONE';"</f>
        <v>insert into app.cronaction (CronTaskId, CronActionTypeId, Payload, CreatedBy, LastUpdatedBy) select c.crontaskid, cat.CronActionTypeId,'{"EmailTextOnError":"tbd","TaskName":"Allocated Lpns With No Open Task Details Api Failure",
"StateMachine":"" wms-tools-state-machine-lpns-no-task-api-fail",
" Lambda ":" &amp; C2 &amp; ",
"RequestType":"lpns-no-task-api-fail"}','sysuser', 'sysuser' from app.cronactiontype cat, app.crontasks c where c.description = 'Allocated Lpns With No Open Task Details Api Failure' and not exists (select 1 from app.cronaction c2 where c2.crontaskid = c.crontaskid) and cat.description = 'NONE';</v>
      </c>
      <c r="L8" s="16" t="str">
        <f t="shared" si="1"/>
        <v>insert into app.cronaction (CronTaskId, CronActionTypeId, Payload, CreatedBy, LastUpdatedBy) select c.crontaskid, cat.CronActionTypeId,'{"EmailTextOnError":"tbd","TaskName":"Allocated Lpns With No Open Task Details Api Failure",
"StateMachine":"" wms-tools-state-machine-lpns-no-task-api-fail",
" Lambda ":"wms-tools-lambda-lpns-no-task-api-fail",
"RequestType":"lpns-no-task-api-fail"}','sysuser', 'sysuser' from app.cronactiontype cat, app.crontasks c where c.description = 'Allocated Lpns With No Open Task Details Api Failure' and not exists (select 1 from app.cronaction c2 where c2.crontaskid = c.crontaskid) and cat.description = 'NONE';</v>
      </c>
      <c r="M8" t="s">
        <v>35</v>
      </c>
    </row>
    <row r="9" spans="1:13" x14ac:dyDescent="0.2">
      <c r="A9">
        <v>65</v>
      </c>
      <c r="B9">
        <f t="shared" si="0"/>
        <v>66</v>
      </c>
      <c r="C9" t="s">
        <v>36</v>
      </c>
      <c r="D9" t="s">
        <v>37</v>
      </c>
      <c r="E9" t="s">
        <v>38</v>
      </c>
      <c r="F9" t="s">
        <v>14</v>
      </c>
      <c r="G9" s="1" t="s">
        <v>22</v>
      </c>
      <c r="H9" t="str">
        <f t="shared" si="2"/>
        <v>insert into app.requesttype(requesttypeid, approute, description, longdescription) select (select max(r.requesttypeid) from app.requesttype r) + 1 requesttypeid, 65, 'fs-alpha-asn-error', 'fs-alpha-asn-error' where not exists (select 1 from app.requesttype r2 where r2.approute = 65 );</v>
      </c>
      <c r="I9" t="str">
        <f t="shared" si="3"/>
        <v>insert into app.requesttype(requesttypeid, approute, description, longdescription) select (select max(r.requesttypeid) from app.requesttype r) + 1 requesttypeid, 66, 'fs-alpha-asn-error Interactive', 'fs-alpha-asn-error Interactive' where not exists (select 1 from app.requesttype r2 where r2.approute = 66 );</v>
      </c>
      <c r="J9" t="str">
        <f t="shared" si="4"/>
        <v>insert into app.statemachinerepo(statemachine, description, requesttypeid) select 'tbd-' || rt.description, 'tbd-' || rt.description, rt.requesttypeid from app.requesttype rt where rt.description = 'fs-alpha-asn-error' and not exists (select 1 from app.statemachinerepo sr where sr.description = 'tbd-fs-alpha-asn-error');</v>
      </c>
      <c r="K9" s="16" t="str" cm="1">
        <f t="array" ref="K9">"insert into app.cronaction (CronTaskId, CronActionTypeId, Payload, CreatedBy, LastUpdatedBy) select c.crontaskid, cat.CronActionTypeId,'{""EmailTextOnError"":""tbd"",""TaskName"":""" &amp; E9 &amp; """,
""StateMachine"":""" &amp; IF(ISNUMBER(SEARCH("DB Alert", E)), "wms-tools-state-machine-db-alert", """ wms-tools-state-machine-" &amp; D9 &amp; "" ) &amp; """,
"" Lambda "":"" &amp; C2 &amp; "",
""RequestType"":""" &amp; D9 &amp;"""}','sysuser', 'sysuser' from app.cronactiontype cat, app.crontasks c where c.description = '" &amp; E9 &amp; "' and not exists (select 1 from app.cronaction c2 where c2.crontaskid = c.crontaskid) and cat.description = 'NONE';"</f>
        <v>insert into app.cronaction (CronTaskId, CronActionTypeId, Payload, CreatedBy, LastUpdatedBy) select c.crontaskid, cat.CronActionTypeId,'{"EmailTextOnError":"tbd","TaskName":"FS: Alpha Asn Error",
"StateMachine":"" wms-tools-state-machine-fs-alpha-asn-error",
" Lambda ":" &amp; C2 &amp; ",
"RequestType":"fs-alpha-asn-error"}','sysuser', 'sysuser' from app.cronactiontype cat, app.crontasks c where c.description = 'FS: Alpha Asn Error' and not exists (select 1 from app.cronaction c2 where c2.crontaskid = c.crontaskid) and cat.description = 'NONE';</v>
      </c>
      <c r="L9" s="16" t="str">
        <f t="shared" si="1"/>
        <v>insert into app.cronaction (CronTaskId, CronActionTypeId, Payload, CreatedBy, LastUpdatedBy) select c.crontaskid, cat.CronActionTypeId,'{"EmailTextOnError":"tbd","TaskName":"FS: Alpha Asn Error",
"StateMachine":"" wms-tools-state-machine-fs-alpha-asn-error",
" Lambda ":"wms-tools-lambda-fs-alpha-asn-error",
"RequestType":"fs-alpha-asn-error"}','sysuser', 'sysuser' from app.cronactiontype cat, app.crontasks c where c.description = 'FS: Alpha Asn Error' and not exists (select 1 from app.cronaction c2 where c2.crontaskid = c.crontaskid) and cat.description = 'NONE';</v>
      </c>
      <c r="M9" t="s">
        <v>39</v>
      </c>
    </row>
    <row r="10" spans="1:13" x14ac:dyDescent="0.2">
      <c r="A10">
        <v>67</v>
      </c>
      <c r="B10">
        <f t="shared" si="0"/>
        <v>68</v>
      </c>
      <c r="C10" t="s">
        <v>40</v>
      </c>
      <c r="D10" t="s">
        <v>41</v>
      </c>
      <c r="E10" t="s">
        <v>42</v>
      </c>
      <c r="F10" t="s">
        <v>14</v>
      </c>
      <c r="G10" s="1" t="s">
        <v>22</v>
      </c>
      <c r="H10" t="str">
        <f t="shared" si="2"/>
        <v>insert into app.requesttype(requesttypeid, approute, description, longdescription) select (select max(r.requesttypeid) from app.requesttype r) + 1 requesttypeid, 67, 'fs-alpha-open-err-asn', 'fs-alpha-open-err-asn' where not exists (select 1 from app.requesttype r2 where r2.approute = 67 );</v>
      </c>
      <c r="I10" t="str">
        <f t="shared" si="3"/>
        <v>insert into app.requesttype(requesttypeid, approute, description, longdescription) select (select max(r.requesttypeid) from app.requesttype r) + 1 requesttypeid, 68, 'fs-alpha-open-err-asn Interactive', 'fs-alpha-open-err-asn Interactive' where not exists (select 1 from app.requesttype r2 where r2.approute = 68 );</v>
      </c>
      <c r="J10" t="str">
        <f t="shared" si="4"/>
        <v>insert into app.statemachinerepo(statemachine, description, requesttypeid) select 'tbd-' || rt.description, 'tbd-' || rt.description, rt.requesttypeid from app.requesttype rt where rt.description = 'fs-alpha-open-err-asn' and not exists (select 1 from app.statemachinerepo sr where sr.description = 'tbd-fs-alpha-open-err-asn');</v>
      </c>
      <c r="K10" s="16" t="str" cm="1">
        <f t="array" ref="K10">"insert into app.cronaction (CronTaskId, CronActionTypeId, Payload, CreatedBy, LastUpdatedBy) select c.crontaskid, cat.CronActionTypeId,'{""EmailTextOnError"":""tbd"",""TaskName"":""" &amp; E10 &amp; """,
""StateMachine"":""" &amp; IF(ISNUMBER(SEARCH("DB Alert", E)), "wms-tools-state-machine-db-alert", """ wms-tools-state-machine-" &amp; D10 &amp; "" ) &amp; """,
"" Lambda "":"" &amp; C2 &amp; "",
""RequestType"":""" &amp; D10 &amp;"""}','sysuser', 'sysuser' from app.cronactiontype cat, app.crontasks c where c.description = '" &amp; E10 &amp; "' and not exists (select 1 from app.cronaction c2 where c2.crontaskid = c.crontaskid) and cat.description = 'NONE';"</f>
        <v>insert into app.cronaction (CronTaskId, CronActionTypeId, Payload, CreatedBy, LastUpdatedBy) select c.crontaskid, cat.CronActionTypeId,'{"EmailTextOnError":"tbd","TaskName":"FS: Alpha Open/Error Asn",
"StateMachine":"" wms-tools-state-machine-fs-alpha-open-err-asn",
" Lambda ":" &amp; C2 &amp; ",
"RequestType":"fs-alpha-open-err-asn"}','sysuser', 'sysuser' from app.cronactiontype cat, app.crontasks c where c.description = 'FS: Alpha Open/Error Asn' and not exists (select 1 from app.cronaction c2 where c2.crontaskid = c.crontaskid) and cat.description = 'NONE';</v>
      </c>
      <c r="L10" s="16" t="str">
        <f t="shared" si="1"/>
        <v>insert into app.cronaction (CronTaskId, CronActionTypeId, Payload, CreatedBy, LastUpdatedBy) select c.crontaskid, cat.CronActionTypeId,'{"EmailTextOnError":"tbd","TaskName":"FS: Alpha Open/Error Asn",
"StateMachine":"" wms-tools-state-machine-fs-alpha-open-err-asn",
" Lambda ":"wms-tools-lambda-fs-alpha-open-err-asn",
"RequestType":"fs-alpha-open-err-asn"}','sysuser', 'sysuser' from app.cronactiontype cat, app.crontasks c where c.description = 'FS: Alpha Open/Error Asn' and not exists (select 1 from app.cronaction c2 where c2.crontaskid = c.crontaskid) and cat.description = 'NONE';</v>
      </c>
      <c r="M10" t="s">
        <v>43</v>
      </c>
    </row>
    <row r="11" spans="1:13" x14ac:dyDescent="0.2">
      <c r="A11">
        <v>69</v>
      </c>
      <c r="B11">
        <f t="shared" si="0"/>
        <v>70</v>
      </c>
      <c r="C11" t="s">
        <v>44</v>
      </c>
      <c r="D11" t="s">
        <v>45</v>
      </c>
      <c r="E11" t="s">
        <v>46</v>
      </c>
      <c r="F11" t="s">
        <v>14</v>
      </c>
      <c r="G11" s="1" t="s">
        <v>22</v>
      </c>
      <c r="H11" t="str">
        <f t="shared" si="2"/>
        <v>insert into app.requesttype(requesttypeid, approute, description, longdescription) select (select max(r.requesttypeid) from app.requesttype r) + 1 requesttypeid, 69, 'fs-alpha-open-returns', 'fs-alpha-open-returns' where not exists (select 1 from app.requesttype r2 where r2.approute = 69 );</v>
      </c>
      <c r="I11" t="str">
        <f t="shared" si="3"/>
        <v>insert into app.requesttype(requesttypeid, approute, description, longdescription) select (select max(r.requesttypeid) from app.requesttype r) + 1 requesttypeid, 70, 'fs-alpha-open-returns Interactive', 'fs-alpha-open-returns Interactive' where not exists (select 1 from app.requesttype r2 where r2.approute = 70 );</v>
      </c>
      <c r="J11" t="str">
        <f t="shared" si="4"/>
        <v>insert into app.statemachinerepo(statemachine, description, requesttypeid) select 'tbd-' || rt.description, 'tbd-' || rt.description, rt.requesttypeid from app.requesttype rt where rt.description = 'fs-alpha-open-returns' and not exists (select 1 from app.statemachinerepo sr where sr.description = 'tbd-fs-alpha-open-returns');</v>
      </c>
      <c r="K11" s="16" t="str" cm="1">
        <f t="array" ref="K11">"insert into app.cronaction (CronTaskId, CronActionTypeId, Payload, CreatedBy, LastUpdatedBy) select c.crontaskid, cat.CronActionTypeId,'{""EmailTextOnError"":""tbd"",""TaskName"":""" &amp; E11 &amp; """,
""StateMachine"":""" &amp; IF(ISNUMBER(SEARCH("DB Alert", E)), "wms-tools-state-machine-db-alert", """ wms-tools-state-machine-" &amp; D11 &amp; "" ) &amp; """,
"" Lambda "":"" &amp; C2 &amp; "",
""RequestType"":""" &amp; D11 &amp;"""}','sysuser', 'sysuser' from app.cronactiontype cat, app.crontasks c where c.description = '" &amp; E11 &amp; "' and not exists (select 1 from app.cronaction c2 where c2.crontaskid = c.crontaskid) and cat.description = 'NONE';"</f>
        <v>insert into app.cronaction (CronTaskId, CronActionTypeId, Payload, CreatedBy, LastUpdatedBy) select c.crontaskid, cat.CronActionTypeId,'{"EmailTextOnError":"tbd","TaskName":"FS: Alpha Open Returns",
"StateMachine":"" wms-tools-state-machine-fs-alpha-open-returns",
" Lambda ":" &amp; C2 &amp; ",
"RequestType":"fs-alpha-open-returns"}','sysuser', 'sysuser' from app.cronactiontype cat, app.crontasks c where c.description = 'FS: Alpha Open Returns' and not exists (select 1 from app.cronaction c2 where c2.crontaskid = c.crontaskid) and cat.description = 'NONE';</v>
      </c>
      <c r="L11" s="16" t="str">
        <f t="shared" si="1"/>
        <v>insert into app.cronaction (CronTaskId, CronActionTypeId, Payload, CreatedBy, LastUpdatedBy) select c.crontaskid, cat.CronActionTypeId,'{"EmailTextOnError":"tbd","TaskName":"FS: Alpha Open Returns",
"StateMachine":"" wms-tools-state-machine-fs-alpha-open-returns",
" Lambda ":"wms-tools-lambda-fs-alpha-open-returns",
"RequestType":"fs-alpha-open-returns"}','sysuser', 'sysuser' from app.cronactiontype cat, app.crontasks c where c.description = 'FS: Alpha Open Returns' and not exists (select 1 from app.cronaction c2 where c2.crontaskid = c.crontaskid) and cat.description = 'NONE';</v>
      </c>
      <c r="M11" t="s">
        <v>47</v>
      </c>
    </row>
    <row r="12" spans="1:13" x14ac:dyDescent="0.2">
      <c r="A12">
        <v>71</v>
      </c>
      <c r="B12">
        <f t="shared" si="0"/>
        <v>72</v>
      </c>
      <c r="C12" t="s">
        <v>48</v>
      </c>
      <c r="D12" t="s">
        <v>49</v>
      </c>
      <c r="E12" t="s">
        <v>50</v>
      </c>
      <c r="F12" t="s">
        <v>14</v>
      </c>
      <c r="G12" s="1" t="s">
        <v>15</v>
      </c>
      <c r="H12" t="str">
        <f t="shared" si="2"/>
        <v>insert into app.requesttype(requesttypeid, approute, description, longdescription) select (select max(r.requesttypeid) from app.requesttype r) + 1 requesttypeid, 71, 'divert-conf-down', 'divert-conf-down' where not exists (select 1 from app.requesttype r2 where r2.approute = 71 );</v>
      </c>
      <c r="I12" t="str">
        <f t="shared" si="3"/>
        <v>insert into app.requesttype(requesttypeid, approute, description, longdescription) select (select max(r.requesttypeid) from app.requesttype r) + 1 requesttypeid, 72, 'divert-conf-down Interactive', 'divert-conf-down Interactive' where not exists (select 1 from app.requesttype r2 where r2.approute = 72 );</v>
      </c>
      <c r="J12" t="str">
        <f t="shared" si="4"/>
        <v>insert into app.statemachinerepo(statemachine, description, requesttypeid) select 'tbd-' || rt.description, 'tbd-' || rt.description, rt.requesttypeid from app.requesttype rt where rt.description = 'divert-conf-down' and not exists (select 1 from app.statemachinerepo sr where sr.description = 'tbd-divert-conf-down');</v>
      </c>
      <c r="K12" s="16" t="str" cm="1">
        <f t="array" ref="K12">"insert into app.cronaction (CronTaskId, CronActionTypeId, Payload, CreatedBy, LastUpdatedBy) select c.crontaskid, cat.CronActionTypeId,'{""EmailTextOnError"":""tbd"",""TaskName"":""" &amp; E12 &amp; """,
""StateMachine"":""" &amp; IF(ISNUMBER(SEARCH("DB Alert", E)), "wms-tools-state-machine-db-alert", """ wms-tools-state-machine-" &amp; D12 &amp; "" ) &amp; """,
"" Lambda "":"" &amp; C2 &amp; "",
""RequestType"":""" &amp; D12 &amp;"""}','sysuser', 'sysuser' from app.cronactiontype cat, app.crontasks c where c.description = '" &amp; E12 &amp; "' and not exists (select 1 from app.cronaction c2 where c2.crontaskid = c.crontaskid) and cat.description = 'NONE';"</f>
        <v>insert into app.cronaction (CronTaskId, CronActionTypeId, Payload, CreatedBy, LastUpdatedBy) select c.crontaskid, cat.CronActionTypeId,'{"EmailTextOnError":"tbd","TaskName":"Divert Confirmation Down",
"StateMachine":"" wms-tools-state-machine-divert-conf-down",
" Lambda ":" &amp; C2 &amp; ",
"RequestType":"divert-conf-down"}','sysuser', 'sysuser' from app.cronactiontype cat, app.crontasks c where c.description = 'Divert Confirmation Down' and not exists (select 1 from app.cronaction c2 where c2.crontaskid = c.crontaskid) and cat.description = 'NONE';</v>
      </c>
      <c r="L12" s="16" t="str">
        <f t="shared" si="1"/>
        <v>insert into app.cronaction (CronTaskId, CronActionTypeId, Payload, CreatedBy, LastUpdatedBy) select c.crontaskid, cat.CronActionTypeId,'{"EmailTextOnError":"tbd","TaskName":"Divert Confirmation Down",
"StateMachine":"" wms-tools-state-machine-divert-conf-down",
" Lambda ":"wms-tools-lambda-divert-conf-down",
"RequestType":"divert-conf-down"}','sysuser', 'sysuser' from app.cronactiontype cat, app.crontasks c where c.description = 'Divert Confirmation Down' and not exists (select 1 from app.cronaction c2 where c2.crontaskid = c.crontaskid) and cat.description = 'NONE';</v>
      </c>
      <c r="M12" t="s">
        <v>51</v>
      </c>
    </row>
    <row r="13" spans="1:13" x14ac:dyDescent="0.2">
      <c r="A13">
        <v>73</v>
      </c>
      <c r="B13">
        <f t="shared" ref="B13:B72" si="5">A13+1</f>
        <v>74</v>
      </c>
      <c r="C13" t="s">
        <v>52</v>
      </c>
      <c r="D13" t="s">
        <v>53</v>
      </c>
      <c r="E13" t="s">
        <v>54</v>
      </c>
      <c r="F13" t="s">
        <v>14</v>
      </c>
      <c r="G13" s="1" t="s">
        <v>15</v>
      </c>
      <c r="H13" t="str">
        <f t="shared" si="2"/>
        <v>insert into app.requesttype(requesttypeid, approute, description, longdescription) select (select max(r.requesttypeid) from app.requesttype r) + 1 requesttypeid, 73, 'endpoint-queue-fail', 'endpoint-queue-fail' where not exists (select 1 from app.requesttype r2 where r2.approute = 73 );</v>
      </c>
      <c r="I13" t="str">
        <f t="shared" si="3"/>
        <v>insert into app.requesttype(requesttypeid, approute, description, longdescription) select (select max(r.requesttypeid) from app.requesttype r) + 1 requesttypeid, 74, 'endpoint-queue-fail Interactive', 'endpoint-queue-fail Interactive' where not exists (select 1 from app.requesttype r2 where r2.approute = 74 );</v>
      </c>
      <c r="J13" t="str">
        <f t="shared" si="4"/>
        <v>insert into app.statemachinerepo(statemachine, description, requesttypeid) select 'tbd-' || rt.description, 'tbd-' || rt.description, rt.requesttypeid from app.requesttype rt where rt.description = 'endpoint-queue-fail' and not exists (select 1 from app.statemachinerepo sr where sr.description = 'tbd-endpoint-queue-fail');</v>
      </c>
      <c r="K13" s="16" t="str" cm="1">
        <f t="array" ref="K13">"insert into app.cronaction (CronTaskId, CronActionTypeId, Payload, CreatedBy, LastUpdatedBy) select c.crontaskid, cat.CronActionTypeId,'{""EmailTextOnError"":""tbd"",""TaskName"":""" &amp; E13 &amp; """,
""StateMachine"":""" &amp; IF(ISNUMBER(SEARCH("DB Alert", E)), "wms-tools-state-machine-db-alert", """ wms-tools-state-machine-" &amp; D13 &amp; "" ) &amp; """,
"" Lambda "":"" &amp; C2 &amp; "",
""RequestType"":""" &amp; D13 &amp;"""}','sysuser', 'sysuser' from app.cronactiontype cat, app.crontasks c where c.description = '" &amp; E13 &amp; "' and not exists (select 1 from app.cronaction c2 where c2.crontaskid = c.crontaskid) and cat.description = 'NONE';"</f>
        <v>insert into app.cronaction (CronTaskId, CronActionTypeId, Payload, CreatedBy, LastUpdatedBy) select c.crontaskid, cat.CronActionTypeId,'{"EmailTextOnError":"tbd","TaskName":"Endpoint Queue Failures",
"StateMachine":"" wms-tools-state-machine-endpoint-queue-fail",
" Lambda ":" &amp; C2 &amp; ",
"RequestType":"endpoint-queue-fail"}','sysuser', 'sysuser' from app.cronactiontype cat, app.crontasks c where c.description = 'Endpoint Queue Failures' and not exists (select 1 from app.cronaction c2 where c2.crontaskid = c.crontaskid) and cat.description = 'NONE';</v>
      </c>
      <c r="L13" s="16" t="str">
        <f t="shared" si="1"/>
        <v>insert into app.cronaction (CronTaskId, CronActionTypeId, Payload, CreatedBy, LastUpdatedBy) select c.crontaskid, cat.CronActionTypeId,'{"EmailTextOnError":"tbd","TaskName":"Endpoint Queue Failures",
"StateMachine":"" wms-tools-state-machine-endpoint-queue-fail",
" Lambda ":"wms-tools-lambda-endpoint-queue-fail",
"RequestType":"endpoint-queue-fail"}','sysuser', 'sysuser' from app.cronactiontype cat, app.crontasks c where c.description = 'Endpoint Queue Failures' and not exists (select 1 from app.cronaction c2 where c2.crontaskid = c.crontaskid) and cat.description = 'NONE';</v>
      </c>
      <c r="M13" t="s">
        <v>55</v>
      </c>
    </row>
    <row r="14" spans="1:13" x14ac:dyDescent="0.2">
      <c r="A14">
        <v>75</v>
      </c>
      <c r="B14">
        <f t="shared" si="5"/>
        <v>76</v>
      </c>
      <c r="C14" t="s">
        <v>56</v>
      </c>
      <c r="D14" t="s">
        <v>57</v>
      </c>
      <c r="E14" t="s">
        <v>58</v>
      </c>
      <c r="F14" t="s">
        <v>14</v>
      </c>
      <c r="G14" s="1" t="s">
        <v>15</v>
      </c>
      <c r="H14" t="str">
        <f t="shared" si="2"/>
        <v>insert into app.requesttype(requesttypeid, approute, description, longdescription) select (select max(r.requesttypeid) from app.requesttype r) + 1 requesttypeid, 75, 'endpoint-status', 'endpoint-status' where not exists (select 1 from app.requesttype r2 where r2.approute = 75 );</v>
      </c>
      <c r="I14" t="str">
        <f t="shared" si="3"/>
        <v>insert into app.requesttype(requesttypeid, approute, description, longdescription) select (select max(r.requesttypeid) from app.requesttype r) + 1 requesttypeid, 76, 'endpoint-status Interactive', 'endpoint-status Interactive' where not exists (select 1 from app.requesttype r2 where r2.approute = 76 );</v>
      </c>
      <c r="J14" t="str">
        <f t="shared" si="4"/>
        <v>insert into app.statemachinerepo(statemachine, description, requesttypeid) select 'tbd-' || rt.description, 'tbd-' || rt.description, rt.requesttypeid from app.requesttype rt where rt.description = 'endpoint-status' and not exists (select 1 from app.statemachinerepo sr where sr.description = 'tbd-endpoint-status');</v>
      </c>
      <c r="K14" s="16" t="str" cm="1">
        <f t="array" ref="K14">"insert into app.cronaction (CronTaskId, CronActionTypeId, Payload, CreatedBy, LastUpdatedBy) select c.crontaskid, cat.CronActionTypeId,'{""EmailTextOnError"":""tbd"",""TaskName"":""" &amp; E14 &amp; """,
""StateMachine"":""" &amp; IF(ISNUMBER(SEARCH("DB Alert", E)), "wms-tools-state-machine-db-alert", """ wms-tools-state-machine-" &amp; D14 &amp; "" ) &amp; """,
"" Lambda "":"" &amp; C2 &amp; "",
""RequestType"":""" &amp; D14 &amp;"""}','sysuser', 'sysuser' from app.cronactiontype cat, app.crontasks c where c.description = '" &amp; E14 &amp; "' and not exists (select 1 from app.cronaction c2 where c2.crontaskid = c.crontaskid) and cat.description = 'NONE';"</f>
        <v>insert into app.cronaction (CronTaskId, CronActionTypeId, Payload, CreatedBy, LastUpdatedBy) select c.crontaskid, cat.CronActionTypeId,'{"EmailTextOnError":"tbd","TaskName":"Endpoint Status",
"StateMachine":"" wms-tools-state-machine-endpoint-status",
" Lambda ":" &amp; C2 &amp; ",
"RequestType":"endpoint-status"}','sysuser', 'sysuser' from app.cronactiontype cat, app.crontasks c where c.description = 'Endpoint Status' and not exists (select 1 from app.cronaction c2 where c2.crontaskid = c.crontaskid) and cat.description = 'NONE';</v>
      </c>
      <c r="L14" s="16" t="str">
        <f t="shared" si="1"/>
        <v>insert into app.cronaction (CronTaskId, CronActionTypeId, Payload, CreatedBy, LastUpdatedBy) select c.crontaskid, cat.CronActionTypeId,'{"EmailTextOnError":"tbd","TaskName":"Endpoint Status",
"StateMachine":"" wms-tools-state-machine-endpoint-status",
" Lambda ":"wms-tools-lambda-endpoint-status",
"RequestType":"endpoint-status"}','sysuser', 'sysuser' from app.cronactiontype cat, app.crontasks c where c.description = 'Endpoint Status' and not exists (select 1 from app.cronaction c2 where c2.crontaskid = c.crontaskid) and cat.description = 'NONE';</v>
      </c>
      <c r="M14" t="s">
        <v>59</v>
      </c>
    </row>
    <row r="15" spans="1:13" x14ac:dyDescent="0.2">
      <c r="A15">
        <v>77</v>
      </c>
      <c r="B15">
        <f t="shared" si="5"/>
        <v>78</v>
      </c>
      <c r="C15" t="s">
        <v>60</v>
      </c>
      <c r="D15" t="s">
        <v>61</v>
      </c>
      <c r="E15" t="s">
        <v>62</v>
      </c>
      <c r="F15" t="s">
        <v>14</v>
      </c>
      <c r="G15" s="1" t="s">
        <v>15</v>
      </c>
      <c r="H15" t="str">
        <f t="shared" si="2"/>
        <v>insert into app.requesttype(requesttypeid, approute, description, longdescription) select (select max(r.requesttypeid) from app.requesttype r) + 1 requesttypeid, 77, 'ilpns-neg-alloc', 'ilpns-neg-alloc' where not exists (select 1 from app.requesttype r2 where r2.approute = 77 );</v>
      </c>
      <c r="I15" t="str">
        <f t="shared" si="3"/>
        <v>insert into app.requesttype(requesttypeid, approute, description, longdescription) select (select max(r.requesttypeid) from app.requesttype r) + 1 requesttypeid, 78, 'ilpns-neg-alloc Interactive', 'ilpns-neg-alloc Interactive' where not exists (select 1 from app.requesttype r2 where r2.approute = 78 );</v>
      </c>
      <c r="J15" t="str">
        <f t="shared" si="4"/>
        <v>insert into app.statemachinerepo(statemachine, description, requesttypeid) select 'tbd-' || rt.description, 'tbd-' || rt.description, rt.requesttypeid from app.requesttype rt where rt.description = 'ilpns-neg-alloc' and not exists (select 1 from app.statemachinerepo sr where sr.description = 'tbd-ilpns-neg-alloc');</v>
      </c>
      <c r="K15" s="16" t="str" cm="1">
        <f t="array" ref="K15">"insert into app.cronaction (CronTaskId, CronActionTypeId, Payload, CreatedBy, LastUpdatedBy) select c.crontaskid, cat.CronActionTypeId,'{""EmailTextOnError"":""tbd"",""TaskName"":""" &amp; E15 &amp; """,
""StateMachine"":""" &amp; IF(ISNUMBER(SEARCH("DB Alert", E)), "wms-tools-state-machine-db-alert", """ wms-tools-state-machine-" &amp; D15 &amp; "" ) &amp; """,
"" Lambda "":"" &amp; C2 &amp; "",
""RequestType"":""" &amp; D15 &amp;"""}','sysuser', 'sysuser' from app.cronactiontype cat, app.crontasks c where c.description = '" &amp; E15 &amp; "' and not exists (select 1 from app.cronaction c2 where c2.crontaskid = c.crontaskid) and cat.description = 'NONE';"</f>
        <v>insert into app.cronaction (CronTaskId, CronActionTypeId, Payload, CreatedBy, LastUpdatedBy) select c.crontaskid, cat.CronActionTypeId,'{"EmailTextOnError":"tbd","TaskName":"Ilpns With Negative Allocated Quantity Api Failure",
"StateMachine":"" wms-tools-state-machine-ilpns-neg-alloc",
" Lambda ":" &amp; C2 &amp; ",
"RequestType":"ilpns-neg-alloc"}','sysuser', 'sysuser' from app.cronactiontype cat, app.crontasks c where c.description = 'Ilpns With Negative Allocated Quantity Api Failure' and not exists (select 1 from app.cronaction c2 where c2.crontaskid = c.crontaskid) and cat.description = 'NONE';</v>
      </c>
      <c r="L15" s="16" t="str">
        <f t="shared" si="1"/>
        <v>insert into app.cronaction (CronTaskId, CronActionTypeId, Payload, CreatedBy, LastUpdatedBy) select c.crontaskid, cat.CronActionTypeId,'{"EmailTextOnError":"tbd","TaskName":"Ilpns With Negative Allocated Quantity Api Failure",
"StateMachine":"" wms-tools-state-machine-ilpns-neg-alloc",
" Lambda ":"wms-tools-lambda-ilpns-neg-alloc",
"RequestType":"ilpns-neg-alloc"}','sysuser', 'sysuser' from app.cronactiontype cat, app.crontasks c where c.description = 'Ilpns With Negative Allocated Quantity Api Failure' and not exists (select 1 from app.cronaction c2 where c2.crontaskid = c.crontaskid) and cat.description = 'NONE';</v>
      </c>
      <c r="M15" t="s">
        <v>63</v>
      </c>
    </row>
    <row r="16" spans="1:13" x14ac:dyDescent="0.2">
      <c r="A16">
        <v>79</v>
      </c>
      <c r="B16">
        <f t="shared" si="5"/>
        <v>80</v>
      </c>
      <c r="C16" t="s">
        <v>64</v>
      </c>
      <c r="D16" t="s">
        <v>65</v>
      </c>
      <c r="E16" t="s">
        <v>66</v>
      </c>
      <c r="F16" t="s">
        <v>14</v>
      </c>
      <c r="G16" s="1" t="s">
        <v>15</v>
      </c>
      <c r="H16" t="str">
        <f t="shared" si="2"/>
        <v>insert into app.requesttype(requesttypeid, approute, description, longdescription) select (select max(r.requesttypeid) from app.requesttype r) + 1 requesttypeid, 79, 'item-img-url-fail', 'item-img-url-fail' where not exists (select 1 from app.requesttype r2 where r2.approute = 79 );</v>
      </c>
      <c r="I16" t="str">
        <f t="shared" si="3"/>
        <v>insert into app.requesttype(requesttypeid, approute, description, longdescription) select (select max(r.requesttypeid) from app.requesttype r) + 1 requesttypeid, 80, 'item-img-url-fail Interactive', 'item-img-url-fail Interactive' where not exists (select 1 from app.requesttype r2 where r2.approute = 80 );</v>
      </c>
      <c r="J16" t="str">
        <f t="shared" si="4"/>
        <v>insert into app.statemachinerepo(statemachine, description, requesttypeid) select 'tbd-' || rt.description, 'tbd-' || rt.description, rt.requesttypeid from app.requesttype rt where rt.description = 'item-img-url-fail' and not exists (select 1 from app.statemachinerepo sr where sr.description = 'tbd-item-img-url-fail');</v>
      </c>
      <c r="K16" s="16" t="str" cm="1">
        <f t="array" ref="K16">"insert into app.cronaction (CronTaskId, CronActionTypeId, Payload, CreatedBy, LastUpdatedBy) select c.crontaskid, cat.CronActionTypeId,'{""EmailTextOnError"":""tbd"",""TaskName"":""" &amp; E16 &amp; """,
""StateMachine"":""" &amp; IF(ISNUMBER(SEARCH("DB Alert", E)), "wms-tools-state-machine-db-alert", """ wms-tools-state-machine-" &amp; D16 &amp; "" ) &amp; """,
"" Lambda "":"" &amp; C2 &amp; "",
""RequestType"":""" &amp; D16 &amp;"""}','sysuser', 'sysuser' from app.cronactiontype cat, app.crontasks c where c.description = '" &amp; E16 &amp; "' and not exists (select 1 from app.cronaction c2 where c2.crontaskid = c.crontaskid) and cat.description = 'NONE';"</f>
        <v>insert into app.cronaction (CronTaskId, CronActionTypeId, Payload, CreatedBy, LastUpdatedBy) select c.crontaskid, cat.CronActionTypeId,'{"EmailTextOnError":"tbd","TaskName":"Item Image Url Failure",
"StateMachine":"" wms-tools-state-machine-item-img-url-fail",
" Lambda ":" &amp; C2 &amp; ",
"RequestType":"item-img-url-fail"}','sysuser', 'sysuser' from app.cronactiontype cat, app.crontasks c where c.description = 'Item Image Url Failure' and not exists (select 1 from app.cronaction c2 where c2.crontaskid = c.crontaskid) and cat.description = 'NONE';</v>
      </c>
      <c r="L16" s="16" t="str">
        <f t="shared" si="1"/>
        <v>insert into app.cronaction (CronTaskId, CronActionTypeId, Payload, CreatedBy, LastUpdatedBy) select c.crontaskid, cat.CronActionTypeId,'{"EmailTextOnError":"tbd","TaskName":"Item Image Url Failure",
"StateMachine":"" wms-tools-state-machine-item-img-url-fail",
" Lambda ":"wms-tools-lambda-item-img-url-fail",
"RequestType":"item-img-url-fail"}','sysuser', 'sysuser' from app.cronactiontype cat, app.crontasks c where c.description = 'Item Image Url Failure' and not exists (select 1 from app.cronaction c2 where c2.crontaskid = c.crontaskid) and cat.description = 'NONE';</v>
      </c>
      <c r="M16" t="s">
        <v>67</v>
      </c>
    </row>
    <row r="17" spans="1:13" s="12" customFormat="1" x14ac:dyDescent="0.2">
      <c r="A17" s="12">
        <v>81</v>
      </c>
      <c r="B17" s="12">
        <f t="shared" si="5"/>
        <v>82</v>
      </c>
      <c r="C17" s="12" t="s">
        <v>18</v>
      </c>
      <c r="D17" s="12" t="s">
        <v>68</v>
      </c>
      <c r="E17" s="12" t="s">
        <v>69</v>
      </c>
      <c r="F17" s="12" t="s">
        <v>14</v>
      </c>
      <c r="G17" s="15" t="s">
        <v>22</v>
      </c>
      <c r="H17" t="str">
        <f t="shared" si="2"/>
        <v>insert into app.requesttype(requesttypeid, approute, description, longdescription) select (select max(r.requesttypeid) from app.requesttype r) + 1 requesttypeid, 81, 'db-alert-route-ui-dflt-miss', 'db-alert-route-ui-dflt-miss' where not exists (select 1 from app.requesttype r2 where r2.approute = 81 );</v>
      </c>
      <c r="I17" t="str">
        <f t="shared" si="3"/>
        <v>insert into app.requesttype(requesttypeid, approute, description, longdescription) select (select max(r.requesttypeid) from app.requesttype r) + 1 requesttypeid, 82, 'db-alert-route-ui-dflt-miss Interactive', 'db-alert-route-ui-dflt-miss Interactive' where not exists (select 1 from app.requesttype r2 where r2.approute = 82 );</v>
      </c>
      <c r="J17" s="12" t="str">
        <f t="shared" si="4"/>
        <v>insert into app.statemachinerepo(statemachine, description, requesttypeid) select 'tbd-' || rt.description, 'tbd-' || rt.description, rt.requesttypeid from app.requesttype rt where rt.description = 'db-alert-route-ui-dflt-miss' and not exists (select 1 from app.statemachinerepo sr where sr.description = 'tbd-db-alert-route-ui-dflt-miss');</v>
      </c>
      <c r="K17" s="16" t="str" cm="1">
        <f t="array" ref="K17">"insert into app.cronaction (CronTaskId, CronActionTypeId, Payload, CreatedBy, LastUpdatedBy) select c.crontaskid, cat.CronActionTypeId,'{""EmailTextOnError"":""tbd"",""TaskName"":""" &amp; E17 &amp; """,
""StateMachine"":""" &amp; IF(ISNUMBER(SEARCH("DB Alert", E)), "wms-tools-state-machine-db-alert", """ wms-tools-state-machine-" &amp; D17 &amp; "" ) &amp; """,
"" Lambda "":"" &amp; C2 &amp; "",
""RequestType"":""" &amp; D17 &amp;"""}','sysuser', 'sysuser' from app.cronactiontype cat, app.crontasks c where c.description = '" &amp; E17 &amp; "' and not exists (select 1 from app.cronaction c2 where c2.crontaskid = c.crontaskid) and cat.description = 'NONE';"</f>
        <v>insert into app.cronaction (CronTaskId, CronActionTypeId, Payload, CreatedBy, LastUpdatedBy) select c.crontaskid, cat.CronActionTypeId,'{"EmailTextOnError":"tbd","TaskName":"DB Alert: Static Route UI Missing Dflt Value",
"StateMachine":"" wms-tools-state-machine-db-alert-route-ui-dflt-miss",
" Lambda ":" &amp; C2 &amp; ",
"RequestType":"db-alert-route-ui-dflt-miss"}','sysuser', 'sysuser' from app.cronactiontype cat, app.crontasks c where c.description = 'DB Alert: Static Route UI Missing Dflt Value' and not exists (select 1 from app.cronaction c2 where c2.crontaskid = c.crontaskid) and cat.description = 'NONE';</v>
      </c>
      <c r="L17" s="16" t="str">
        <f t="shared" si="1"/>
        <v>insert into app.cronaction (CronTaskId, CronActionTypeId, Payload, CreatedBy, LastUpdatedBy) select c.crontaskid, cat.CronActionTypeId,'{"EmailTextOnError":"tbd","TaskName":"DB Alert: Static Route UI Missing Dflt Value",
"StateMachine":"wms-tools-state-machine-db-alert",
" Lambda ":"wms-tools-lambda-db-alert",
"RequestType":"db-alert-route-ui-dflt-miss"}','sysuser', 'sysuser' from app.cronactiontype cat, app.crontasks c where c.description = 'DB Alert: Static Route UI Missing Dflt Value' and not exists (select 1 from app.cronaction c2 where c2.crontaskid = c.crontaskid) and cat.description = 'NONE';</v>
      </c>
      <c r="M17" s="12" t="s">
        <v>70</v>
      </c>
    </row>
    <row r="18" spans="1:13" x14ac:dyDescent="0.2">
      <c r="A18">
        <v>83</v>
      </c>
      <c r="B18">
        <f t="shared" si="5"/>
        <v>84</v>
      </c>
      <c r="C18" t="s">
        <v>18</v>
      </c>
      <c r="D18" t="s">
        <v>71</v>
      </c>
      <c r="E18" t="s">
        <v>72</v>
      </c>
      <c r="F18" t="s">
        <v>14</v>
      </c>
      <c r="G18" s="1" t="s">
        <v>22</v>
      </c>
      <c r="H18" t="str">
        <f t="shared" si="2"/>
        <v>insert into app.requesttype(requesttypeid, approute, description, longdescription) select (select max(r.requesttypeid) from app.requesttype r) + 1 requesttypeid, 83, 'db-alert-routes-multi-wave', 'db-alert-routes-multi-wave' where not exists (select 1 from app.requesttype r2 where r2.approute = 83 );</v>
      </c>
      <c r="I18" t="str">
        <f t="shared" si="3"/>
        <v>insert into app.requesttype(requesttypeid, approute, description, longdescription) select (select max(r.requesttypeid) from app.requesttype r) + 1 requesttypeid, 84, 'db-alert-routes-multi-wave Interactive', 'db-alert-routes-multi-wave Interactive' where not exists (select 1 from app.requesttype r2 where r2.approute = 84 );</v>
      </c>
      <c r="J18" t="str">
        <f t="shared" si="4"/>
        <v>insert into app.statemachinerepo(statemachine, description, requesttypeid) select 'tbd-' || rt.description, 'tbd-' || rt.description, rt.requesttypeid from app.requesttype rt where rt.description = 'db-alert-routes-multi-wave' and not exists (select 1 from app.statemachinerepo sr where sr.description = 'tbd-db-alert-routes-multi-wave');</v>
      </c>
      <c r="K18" s="16" t="str" cm="1">
        <f t="array" ref="K18">"insert into app.cronaction (CronTaskId, CronActionTypeId, Payload, CreatedBy, LastUpdatedBy) select c.crontaskid, cat.CronActionTypeId,'{""EmailTextOnError"":""tbd"",""TaskName"":""" &amp; E18 &amp; """,
""StateMachine"":""" &amp; IF(ISNUMBER(SEARCH("DB Alert", E)), "wms-tools-state-machine-db-alert", """ wms-tools-state-machine-" &amp; D18 &amp; "" ) &amp; """,
"" Lambda "":"" &amp; C2 &amp; "",
""RequestType"":""" &amp; D18 &amp;"""}','sysuser', 'sysuser' from app.cronactiontype cat, app.crontasks c where c.description = '" &amp; E18 &amp; "' and not exists (select 1 from app.cronaction c2 where c2.crontaskid = c.crontaskid) and cat.description = 'NONE';"</f>
        <v>insert into app.cronaction (CronTaskId, CronActionTypeId, Payload, CreatedBy, LastUpdatedBy) select c.crontaskid, cat.CronActionTypeId,'{"EmailTextOnError":"tbd","TaskName":"DB Alert: Routes With Multiple Wave Numbers",
"StateMachine":"" wms-tools-state-machine-db-alert-routes-multi-wave",
" Lambda ":" &amp; C2 &amp; ",
"RequestType":"db-alert-routes-multi-wave"}','sysuser', 'sysuser' from app.cronactiontype cat, app.crontasks c where c.description = 'DB Alert: Routes With Multiple Wave Numbers' and not exists (select 1 from app.cronaction c2 where c2.crontaskid = c.crontaskid) and cat.description = 'NONE';</v>
      </c>
      <c r="L18" s="16" t="str">
        <f t="shared" si="1"/>
        <v>insert into app.cronaction (CronTaskId, CronActionTypeId, Payload, CreatedBy, LastUpdatedBy) select c.crontaskid, cat.CronActionTypeId,'{"EmailTextOnError":"tbd","TaskName":"DB Alert: Routes With Multiple Wave Numbers",
"StateMachine":"wms-tools-state-machine-db-alert",
" Lambda ":"wms-tools-lambda-db-alert",
"RequestType":"db-alert-routes-multi-wave"}','sysuser', 'sysuser' from app.cronactiontype cat, app.crontasks c where c.description = 'DB Alert: Routes With Multiple Wave Numbers' and not exists (select 1 from app.cronaction c2 where c2.crontaskid = c.crontaskid) and cat.description = 'NONE';</v>
      </c>
      <c r="M18" t="s">
        <v>73</v>
      </c>
    </row>
    <row r="19" spans="1:13" x14ac:dyDescent="0.2">
      <c r="A19">
        <v>85</v>
      </c>
      <c r="B19">
        <f t="shared" si="5"/>
        <v>86</v>
      </c>
      <c r="C19" t="s">
        <v>28</v>
      </c>
      <c r="D19" t="s">
        <v>74</v>
      </c>
      <c r="E19" t="s">
        <v>75</v>
      </c>
      <c r="F19" t="s">
        <v>14</v>
      </c>
      <c r="G19" s="1" t="s">
        <v>22</v>
      </c>
      <c r="H19" t="str">
        <f t="shared" si="2"/>
        <v>insert into app.requesttype(requesttypeid, approute, description, longdescription) select (select max(r.requesttypeid) from app.requesttype r) + 1 requesttypeid, 85, 'db-alert-itemloc-prd', 'db-alert-itemloc-prd' where not exists (select 1 from app.requesttype r2 where r2.approute = 85 );</v>
      </c>
      <c r="I19" t="str">
        <f t="shared" si="3"/>
        <v>insert into app.requesttype(requesttypeid, approute, description, longdescription) select (select max(r.requesttypeid) from app.requesttype r) + 1 requesttypeid, 86, 'db-alert-itemloc-prd Interactive', 'db-alert-itemloc-prd Interactive' where not exists (select 1 from app.requesttype r2 where r2.approute = 86 );</v>
      </c>
      <c r="J19" t="str">
        <f t="shared" si="4"/>
        <v>insert into app.statemachinerepo(statemachine, description, requesttypeid) select 'tbd-' || rt.description, 'tbd-' || rt.description, rt.requesttypeid from app.requesttype rt where rt.description = 'db-alert-itemloc-prd' and not exists (select 1 from app.statemachinerepo sr where sr.description = 'tbd-db-alert-itemloc-prd');</v>
      </c>
      <c r="K19" s="16" t="str" cm="1">
        <f t="array" ref="K19">"insert into app.cronaction (CronTaskId, CronActionTypeId, Payload, CreatedBy, LastUpdatedBy) select c.crontaskid, cat.CronActionTypeId,'{""EmailTextOnError"":""tbd"",""TaskName"":""" &amp; E19 &amp; """,
""StateMachine"":""" &amp; IF(ISNUMBER(SEARCH("DB Alert", E)), "wms-tools-state-machine-db-alert", """ wms-tools-state-machine-" &amp; D19 &amp; "" ) &amp; """,
"" Lambda "":"" &amp; C2 &amp; "",
""RequestType"":""" &amp; D19 &amp;"""}','sysuser', 'sysuser' from app.cronactiontype cat, app.crontasks c where c.description = '" &amp; E19 &amp; "' and not exists (select 1 from app.cronaction c2 where c2.crontaskid = c.crontaskid) and cat.description = 'NONE';"</f>
        <v>insert into app.cronaction (CronTaskId, CronActionTypeId, Payload, CreatedBy, LastUpdatedBy) select c.crontaskid, cat.CronActionTypeId,'{"EmailTextOnError":"tbd","TaskName":"DB Alert: Item Loc Prod",
"StateMachine":"" wms-tools-state-machine-db-alert-itemloc-prd",
" Lambda ":" &amp; C2 &amp; ",
"RequestType":"db-alert-itemloc-prd"}','sysuser', 'sysuser' from app.cronactiontype cat, app.crontasks c where c.description = 'DB Alert: Item Loc Prod' and not exists (select 1 from app.cronaction c2 where c2.crontaskid = c.crontaskid) and cat.description = 'NONE';</v>
      </c>
      <c r="L19" s="16" t="str">
        <f t="shared" si="1"/>
        <v>insert into app.cronaction (CronTaskId, CronActionTypeId, Payload, CreatedBy, LastUpdatedBy) select c.crontaskid, cat.CronActionTypeId,'{"EmailTextOnError":"tbd","TaskName":"DB Alert: Item Loc Prod",
"StateMachine":"wms-tools-state-machine-db-alert",
" Lambda ":"wms-tools-lambda-oracle-db-alert",
"RequestType":"db-alert-itemloc-prd"}','sysuser', 'sysuser' from app.cronactiontype cat, app.crontasks c where c.description = 'DB Alert: Item Loc Prod' and not exists (select 1 from app.cronaction c2 where c2.crontaskid = c.crontaskid) and cat.description = 'NONE';</v>
      </c>
      <c r="M19" t="s">
        <v>76</v>
      </c>
    </row>
    <row r="20" spans="1:13" x14ac:dyDescent="0.2">
      <c r="A20">
        <v>87</v>
      </c>
      <c r="B20">
        <f t="shared" si="5"/>
        <v>88</v>
      </c>
      <c r="C20" t="s">
        <v>77</v>
      </c>
      <c r="D20" t="s">
        <v>78</v>
      </c>
      <c r="E20" t="s">
        <v>79</v>
      </c>
      <c r="F20" t="s">
        <v>14</v>
      </c>
      <c r="G20" s="1" t="s">
        <v>15</v>
      </c>
      <c r="H20" t="str">
        <f t="shared" si="2"/>
        <v>insert into app.requesttype(requesttypeid, approute, description, longdescription) select (select max(r.requesttypeid) from app.requesttype r) + 1 requesttypeid, 87, 'loc-rebuild-fail', 'loc-rebuild-fail' where not exists (select 1 from app.requesttype r2 where r2.approute = 87 );</v>
      </c>
      <c r="I20" t="str">
        <f t="shared" si="3"/>
        <v>insert into app.requesttype(requesttypeid, approute, description, longdescription) select (select max(r.requesttypeid) from app.requesttype r) + 1 requesttypeid, 88, 'loc-rebuild-fail Interactive', 'loc-rebuild-fail Interactive' where not exists (select 1 from app.requesttype r2 where r2.approute = 88 );</v>
      </c>
      <c r="J20" t="str">
        <f t="shared" si="4"/>
        <v>insert into app.statemachinerepo(statemachine, description, requesttypeid) select 'tbd-' || rt.description, 'tbd-' || rt.description, rt.requesttypeid from app.requesttype rt where rt.description = 'loc-rebuild-fail' and not exists (select 1 from app.statemachinerepo sr where sr.description = 'tbd-loc-rebuild-fail');</v>
      </c>
      <c r="K20" s="16" t="str" cm="1">
        <f t="array" ref="K20">"insert into app.cronaction (CronTaskId, CronActionTypeId, Payload, CreatedBy, LastUpdatedBy) select c.crontaskid, cat.CronActionTypeId,'{""EmailTextOnError"":""tbd"",""TaskName"":""" &amp; E20 &amp; """,
""StateMachine"":""" &amp; IF(ISNUMBER(SEARCH("DB Alert", E)), "wms-tools-state-machine-db-alert", """ wms-tools-state-machine-" &amp; D20 &amp; "" ) &amp; """,
"" Lambda "":"" &amp; C2 &amp; "",
""RequestType"":""" &amp; D20 &amp;"""}','sysuser', 'sysuser' from app.cronactiontype cat, app.crontasks c where c.description = '" &amp; E20 &amp; "' and not exists (select 1 from app.cronaction c2 where c2.crontaskid = c.crontaskid) and cat.description = 'NONE';"</f>
        <v>insert into app.cronaction (CronTaskId, CronActionTypeId, Payload, CreatedBy, LastUpdatedBy) select c.crontaskid, cat.CronActionTypeId,'{"EmailTextOnError":"tbd","TaskName":"Location Rebuild Failure",
"StateMachine":"" wms-tools-state-machine-loc-rebuild-fail",
" Lambda ":" &amp; C2 &amp; ",
"RequestType":"loc-rebuild-fail"}','sysuser', 'sysuser' from app.cronactiontype cat, app.crontasks c where c.description = 'Location Rebuild Failure' and not exists (select 1 from app.cronaction c2 where c2.crontaskid = c.crontaskid) and cat.description = 'NONE';</v>
      </c>
      <c r="L20" s="16" t="str">
        <f t="shared" si="1"/>
        <v>insert into app.cronaction (CronTaskId, CronActionTypeId, Payload, CreatedBy, LastUpdatedBy) select c.crontaskid, cat.CronActionTypeId,'{"EmailTextOnError":"tbd","TaskName":"Location Rebuild Failure",
"StateMachine":"" wms-tools-state-machine-loc-rebuild-fail",
" Lambda ":"wms-tools-lambda-loc-rebuild-fail",
"RequestType":"loc-rebuild-fail"}','sysuser', 'sysuser' from app.cronactiontype cat, app.crontasks c where c.description = 'Location Rebuild Failure' and not exists (select 1 from app.cronaction c2 where c2.crontaskid = c.crontaskid) and cat.description = 'NONE';</v>
      </c>
      <c r="M20" t="s">
        <v>80</v>
      </c>
    </row>
    <row r="21" spans="1:13" x14ac:dyDescent="0.2">
      <c r="A21">
        <v>89</v>
      </c>
      <c r="B21">
        <f t="shared" si="5"/>
        <v>90</v>
      </c>
      <c r="C21" t="s">
        <v>28</v>
      </c>
      <c r="D21" t="s">
        <v>81</v>
      </c>
      <c r="E21" t="s">
        <v>82</v>
      </c>
      <c r="F21" t="s">
        <v>14</v>
      </c>
      <c r="G21" s="1" t="s">
        <v>22</v>
      </c>
      <c r="H21" t="str">
        <f t="shared" si="2"/>
        <v>insert into app.requesttype(requesttypeid, approute, description, longdescription) select (select max(r.requesttypeid) from app.requesttype r) + 1 requesttypeid, 89, 'db-alert-dup-pix-mw-wms', 'db-alert-dup-pix-mw-wms' where not exists (select 1 from app.requesttype r2 where r2.approute = 89 );</v>
      </c>
      <c r="I21" t="str">
        <f t="shared" si="3"/>
        <v>insert into app.requesttype(requesttypeid, approute, description, longdescription) select (select max(r.requesttypeid) from app.requesttype r) + 1 requesttypeid, 90, 'db-alert-dup-pix-mw-wms Interactive', 'db-alert-dup-pix-mw-wms Interactive' where not exists (select 1 from app.requesttype r2 where r2.approute = 90 );</v>
      </c>
      <c r="J21" t="str">
        <f t="shared" si="4"/>
        <v>insert into app.statemachinerepo(statemachine, description, requesttypeid) select 'tbd-' || rt.description, 'tbd-' || rt.description, rt.requesttypeid from app.requesttype rt where rt.description = 'db-alert-dup-pix-mw-wms' and not exists (select 1 from app.statemachinerepo sr where sr.description = 'tbd-db-alert-dup-pix-mw-wms');</v>
      </c>
      <c r="K21" s="16" t="str" cm="1">
        <f t="array" ref="K21">"insert into app.cronaction (CronTaskId, CronActionTypeId, Payload, CreatedBy, LastUpdatedBy) select c.crontaskid, cat.CronActionTypeId,'{""EmailTextOnError"":""tbd"",""TaskName"":""" &amp; E21 &amp; """,
""StateMachine"":""" &amp; IF(ISNUMBER(SEARCH("DB Alert", E)), "wms-tools-state-machine-db-alert", """ wms-tools-state-machine-" &amp; D21 &amp; "" ) &amp; """,
"" Lambda "":"" &amp; C2 &amp; "",
""RequestType"":""" &amp; D21 &amp;"""}','sysuser', 'sysuser' from app.cronactiontype cat, app.crontasks c where c.description = '" &amp; E21 &amp; "' and not exists (select 1 from app.cronaction c2 where c2.crontaskid = c.crontaskid) and cat.description = 'NONE';"</f>
        <v>insert into app.cronaction (CronTaskId, CronActionTypeId, Payload, CreatedBy, LastUpdatedBy) select c.crontaskid, cat.CronActionTypeId,'{"EmailTextOnError":"tbd","TaskName":"DB Alert: Duplicate PIX In Middleware WMS",
"StateMachine":"" wms-tools-state-machine-db-alert-dup-pix-mw-wms",
" Lambda ":" &amp; C2 &amp; ",
"RequestType":"db-alert-dup-pix-mw-wms"}','sysuser', 'sysuser' from app.cronactiontype cat, app.crontasks c where c.description = 'DB Alert: Duplicate PIX In Middleware WMS' and not exists (select 1 from app.cronaction c2 where c2.crontaskid = c.crontaskid) and cat.description = 'NONE';</v>
      </c>
      <c r="L21" s="16" t="str">
        <f t="shared" si="1"/>
        <v>insert into app.cronaction (CronTaskId, CronActionTypeId, Payload, CreatedBy, LastUpdatedBy) select c.crontaskid, cat.CronActionTypeId,'{"EmailTextOnError":"tbd","TaskName":"DB Alert: Duplicate PIX In Middleware WMS",
"StateMachine":"wms-tools-state-machine-db-alert",
" Lambda ":"wms-tools-lambda-oracle-db-alert",
"RequestType":"db-alert-dup-pix-mw-wms"}','sysuser', 'sysuser' from app.cronactiontype cat, app.crontasks c where c.description = 'DB Alert: Duplicate PIX In Middleware WMS' and not exists (select 1 from app.cronaction c2 where c2.crontaskid = c.crontaskid) and cat.description = 'NONE';</v>
      </c>
      <c r="M21" t="s">
        <v>83</v>
      </c>
    </row>
    <row r="22" spans="1:13" x14ac:dyDescent="0.2">
      <c r="A22">
        <v>91</v>
      </c>
      <c r="B22">
        <f t="shared" si="5"/>
        <v>92</v>
      </c>
      <c r="C22" t="s">
        <v>28</v>
      </c>
      <c r="D22" t="s">
        <v>84</v>
      </c>
      <c r="E22" t="s">
        <v>85</v>
      </c>
      <c r="F22" t="s">
        <v>14</v>
      </c>
      <c r="G22" s="1" t="s">
        <v>22</v>
      </c>
      <c r="H22" t="str">
        <f t="shared" si="2"/>
        <v>insert into app.requesttype(requesttypeid, approute, description, longdescription) select (select max(r.requesttypeid) from app.requesttype r) + 1 requesttypeid, 91, 'db-alert-dup-ship-conf', 'db-alert-dup-ship-conf' where not exists (select 1 from app.requesttype r2 where r2.approute = 91 );</v>
      </c>
      <c r="I22" t="str">
        <f t="shared" si="3"/>
        <v>insert into app.requesttype(requesttypeid, approute, description, longdescription) select (select max(r.requesttypeid) from app.requesttype r) + 1 requesttypeid, 92, 'db-alert-dup-ship-conf Interactive', 'db-alert-dup-ship-conf Interactive' where not exists (select 1 from app.requesttype r2 where r2.approute = 92 );</v>
      </c>
      <c r="J22" t="str">
        <f t="shared" si="4"/>
        <v>insert into app.statemachinerepo(statemachine, description, requesttypeid) select 'tbd-' || rt.description, 'tbd-' || rt.description, rt.requesttypeid from app.requesttype rt where rt.description = 'db-alert-dup-ship-conf' and not exists (select 1 from app.statemachinerepo sr where sr.description = 'tbd-db-alert-dup-ship-conf');</v>
      </c>
      <c r="K22" s="16" t="str" cm="1">
        <f t="array" ref="K22">"insert into app.cronaction (CronTaskId, CronActionTypeId, Payload, CreatedBy, LastUpdatedBy) select c.crontaskid, cat.CronActionTypeId,'{""EmailTextOnError"":""tbd"",""TaskName"":""" &amp; E22 &amp; """,
""StateMachine"":""" &amp; IF(ISNUMBER(SEARCH("DB Alert", E)), "wms-tools-state-machine-db-alert", """ wms-tools-state-machine-" &amp; D22 &amp; "" ) &amp; """,
"" Lambda "":"" &amp; C2 &amp; "",
""RequestType"":""" &amp; D22 &amp;"""}','sysuser', 'sysuser' from app.cronactiontype cat, app.crontasks c where c.description = '" &amp; E22 &amp; "' and not exists (select 1 from app.cronaction c2 where c2.crontaskid = c.crontaskid) and cat.description = 'NONE';"</f>
        <v>insert into app.cronaction (CronTaskId, CronActionTypeId, Payload, CreatedBy, LastUpdatedBy) select c.crontaskid, cat.CronActionTypeId,'{"EmailTextOnError":"tbd","TaskName":"DB Alert: Duplicate Ship Confirm",
"StateMachine":"" wms-tools-state-machine-db-alert-dup-ship-conf",
" Lambda ":" &amp; C2 &amp; ",
"RequestType":"db-alert-dup-ship-conf"}','sysuser', 'sysuser' from app.cronactiontype cat, app.crontasks c where c.description = 'DB Alert: Duplicate Ship Confirm' and not exists (select 1 from app.cronaction c2 where c2.crontaskid = c.crontaskid) and cat.description = 'NONE';</v>
      </c>
      <c r="L22" s="16" t="str">
        <f t="shared" si="1"/>
        <v>insert into app.cronaction (CronTaskId, CronActionTypeId, Payload, CreatedBy, LastUpdatedBy) select c.crontaskid, cat.CronActionTypeId,'{"EmailTextOnError":"tbd","TaskName":"DB Alert: Duplicate Ship Confirm",
"StateMachine":"wms-tools-state-machine-db-alert",
" Lambda ":"wms-tools-lambda-oracle-db-alert",
"RequestType":"db-alert-dup-ship-conf"}','sysuser', 'sysuser' from app.cronactiontype cat, app.crontasks c where c.description = 'DB Alert: Duplicate Ship Confirm' and not exists (select 1 from app.cronaction c2 where c2.crontaskid = c.crontaskid) and cat.description = 'NONE';</v>
      </c>
      <c r="M22" t="s">
        <v>86</v>
      </c>
    </row>
    <row r="23" spans="1:13" x14ac:dyDescent="0.2">
      <c r="A23">
        <v>93</v>
      </c>
      <c r="B23">
        <f t="shared" si="5"/>
        <v>94</v>
      </c>
      <c r="C23" t="s">
        <v>87</v>
      </c>
      <c r="D23" t="s">
        <v>88</v>
      </c>
      <c r="E23" t="s">
        <v>89</v>
      </c>
      <c r="F23" t="s">
        <v>14</v>
      </c>
      <c r="G23" s="1" t="s">
        <v>15</v>
      </c>
      <c r="H23" t="str">
        <f t="shared" si="2"/>
        <v>insert into app.requesttype(requesttypeid, approute, description, longdescription) select (select max(r.requesttypeid) from app.requesttype r) + 1 requesttypeid, 93, 'lpns-consumed-api', 'lpns-consumed-api' where not exists (select 1 from app.requesttype r2 where r2.approute = 93 );</v>
      </c>
      <c r="I23" t="str">
        <f t="shared" si="3"/>
        <v>insert into app.requesttype(requesttypeid, approute, description, longdescription) select (select max(r.requesttypeid) from app.requesttype r) + 1 requesttypeid, 94, 'lpns-consumed-api Interactive', 'lpns-consumed-api Interactive' where not exists (select 1 from app.requesttype r2 where r2.approute = 94 );</v>
      </c>
      <c r="J23" t="str">
        <f t="shared" si="4"/>
        <v>insert into app.statemachinerepo(statemachine, description, requesttypeid) select 'tbd-' || rt.description, 'tbd-' || rt.description, rt.requesttypeid from app.requesttype rt where rt.description = 'lpns-consumed-api' and not exists (select 1 from app.statemachinerepo sr where sr.description = 'tbd-lpns-consumed-api');</v>
      </c>
      <c r="K23" s="16" t="str" cm="1">
        <f t="array" ref="K23">"insert into app.cronaction (CronTaskId, CronActionTypeId, Payload, CreatedBy, LastUpdatedBy) select c.crontaskid, cat.CronActionTypeId,'{""EmailTextOnError"":""tbd"",""TaskName"":""" &amp; E23 &amp; """,
""StateMachine"":""" &amp; IF(ISNUMBER(SEARCH("DB Alert", E)), "wms-tools-state-machine-db-alert", """ wms-tools-state-machine-" &amp; D23 &amp; "" ) &amp; """,
"" Lambda "":"" &amp; C2 &amp; "",
""RequestType"":""" &amp; D23 &amp;"""}','sysuser', 'sysuser' from app.cronactiontype cat, app.crontasks c where c.description = '" &amp; E23 &amp; "' and not exists (select 1 from app.cronaction c2 where c2.crontaskid = c.crontaskid) and cat.description = 'NONE';"</f>
        <v>insert into app.cronaction (CronTaskId, CronActionTypeId, Payload, CreatedBy, LastUpdatedBy) select c.crontaskid, cat.CronActionTypeId,'{"EmailTextOnError":"tbd","TaskName":"Lpns With Consumed/Cancelled Allocated Quantity Api Failure",
"StateMachine":"" wms-tools-state-machine-lpns-consumed-api",
" Lambda ":" &amp; C2 &amp; ",
"RequestType":"lpns-consumed-api"}','sysuser', 'sysuser' from app.cronactiontype cat, app.crontasks c where c.description = 'Lpns With Consumed/Cancelled Allocated Quantity Api Failure' and not exists (select 1 from app.cronaction c2 where c2.crontaskid = c.crontaskid) and cat.description = 'NONE';</v>
      </c>
      <c r="L23" s="16" t="str">
        <f t="shared" si="1"/>
        <v>insert into app.cronaction (CronTaskId, CronActionTypeId, Payload, CreatedBy, LastUpdatedBy) select c.crontaskid, cat.CronActionTypeId,'{"EmailTextOnError":"tbd","TaskName":"Lpns With Consumed/Cancelled Allocated Quantity Api Failure",
"StateMachine":"" wms-tools-state-machine-lpns-consumed-api",
" Lambda ":"wms-tools-lambda-lpns-consumed-api",
"RequestType":"lpns-consumed-api"}','sysuser', 'sysuser' from app.cronactiontype cat, app.crontasks c where c.description = 'Lpns With Consumed/Cancelled Allocated Quantity Api Failure' and not exists (select 1 from app.cronaction c2 where c2.crontaskid = c.crontaskid) and cat.description = 'NONE';</v>
      </c>
      <c r="M23" t="s">
        <v>90</v>
      </c>
    </row>
    <row r="24" spans="1:13" x14ac:dyDescent="0.2">
      <c r="A24">
        <v>95</v>
      </c>
      <c r="B24">
        <f t="shared" si="5"/>
        <v>96</v>
      </c>
      <c r="C24" t="s">
        <v>18</v>
      </c>
      <c r="D24" t="s">
        <v>91</v>
      </c>
      <c r="E24" t="s">
        <v>92</v>
      </c>
      <c r="F24" t="s">
        <v>14</v>
      </c>
      <c r="G24" s="1" t="s">
        <v>22</v>
      </c>
      <c r="H24" t="str">
        <f t="shared" si="2"/>
        <v>insert into app.requesttype(requesttypeid, approute, description, longdescription) select (select max(r.requesttypeid) from app.requesttype r) + 1 requesttypeid, 95, 'db-alert-inv-adj-miss-rc', 'db-alert-inv-adj-miss-rc' where not exists (select 1 from app.requesttype r2 where r2.approute = 95 );</v>
      </c>
      <c r="I24" t="str">
        <f t="shared" si="3"/>
        <v>insert into app.requesttype(requesttypeid, approute, description, longdescription) select (select max(r.requesttypeid) from app.requesttype r) + 1 requesttypeid, 96, 'db-alert-inv-adj-miss-rc Interactive', 'db-alert-inv-adj-miss-rc Interactive' where not exists (select 1 from app.requesttype r2 where r2.approute = 96 );</v>
      </c>
      <c r="J24" t="str">
        <f t="shared" si="4"/>
        <v>insert into app.statemachinerepo(statemachine, description, requesttypeid) select 'tbd-' || rt.description, 'tbd-' || rt.description, rt.requesttypeid from app.requesttype rt where rt.description = 'db-alert-inv-adj-miss-rc' and not exists (select 1 from app.statemachinerepo sr where sr.description = 'tbd-db-alert-inv-adj-miss-rc');</v>
      </c>
      <c r="K24" s="16" t="str" cm="1">
        <f t="array" ref="K24">"insert into app.cronaction (CronTaskId, CronActionTypeId, Payload, CreatedBy, LastUpdatedBy) select c.crontaskid, cat.CronActionTypeId,'{""EmailTextOnError"":""tbd"",""TaskName"":""" &amp; E24 &amp; """,
""StateMachine"":""" &amp; IF(ISNUMBER(SEARCH("DB Alert", E)), "wms-tools-state-machine-db-alert", """ wms-tools-state-machine-" &amp; D24 &amp; "" ) &amp; """,
"" Lambda "":"" &amp; C2 &amp; "",
""RequestType"":""" &amp; D24 &amp;"""}','sysuser', 'sysuser' from app.cronactiontype cat, app.crontasks c where c.description = '" &amp; E24 &amp; "' and not exists (select 1 from app.cronaction c2 where c2.crontaskid = c.crontaskid) and cat.description = 'NONE';"</f>
        <v>insert into app.cronaction (CronTaskId, CronActionTypeId, Payload, CreatedBy, LastUpdatedBy) select c.crontaskid, cat.CronActionTypeId,'{"EmailTextOnError":"tbd","TaskName":"DB Alert: Inventory Adjustment Pix Missing Reason Code",
"StateMachine":"" wms-tools-state-machine-db-alert-inv-adj-miss-rc",
" Lambda ":" &amp; C2 &amp; ",
"RequestType":"db-alert-inv-adj-miss-rc"}','sysuser', 'sysuser' from app.cronactiontype cat, app.crontasks c where c.description = 'DB Alert: Inventory Adjustment Pix Missing Reason Code' and not exists (select 1 from app.cronaction c2 where c2.crontaskid = c.crontaskid) and cat.description = 'NONE';</v>
      </c>
      <c r="L24" s="16" t="str">
        <f t="shared" si="1"/>
        <v>insert into app.cronaction (CronTaskId, CronActionTypeId, Payload, CreatedBy, LastUpdatedBy) select c.crontaskid, cat.CronActionTypeId,'{"EmailTextOnError":"tbd","TaskName":"DB Alert: Inventory Adjustment Pix Missing Reason Code",
"StateMachine":"wms-tools-state-machine-db-alert",
" Lambda ":"wms-tools-lambda-db-alert",
"RequestType":"db-alert-inv-adj-miss-rc"}','sysuser', 'sysuser' from app.cronactiontype cat, app.crontasks c where c.description = 'DB Alert: Inventory Adjustment Pix Missing Reason Code' and not exists (select 1 from app.cronaction c2 where c2.crontaskid = c.crontaskid) and cat.description = 'NONE';</v>
      </c>
      <c r="M24" t="s">
        <v>93</v>
      </c>
    </row>
    <row r="25" spans="1:13" x14ac:dyDescent="0.2">
      <c r="A25">
        <v>97</v>
      </c>
      <c r="B25">
        <f t="shared" si="5"/>
        <v>98</v>
      </c>
      <c r="C25" t="s">
        <v>18</v>
      </c>
      <c r="D25" t="s">
        <v>94</v>
      </c>
      <c r="E25" t="s">
        <v>95</v>
      </c>
      <c r="F25" t="s">
        <v>14</v>
      </c>
      <c r="G25" s="1" t="s">
        <v>22</v>
      </c>
      <c r="H25" t="str">
        <f t="shared" si="2"/>
        <v>insert into app.requesttype(requesttypeid, approute, description, longdescription) select (select max(r.requesttypeid) from app.requesttype r) + 1 requesttypeid, 97, 'db-alert-item-rcpt-zero', 'db-alert-item-rcpt-zero' where not exists (select 1 from app.requesttype r2 where r2.approute = 97 );</v>
      </c>
      <c r="I25" t="str">
        <f t="shared" si="3"/>
        <v>insert into app.requesttype(requesttypeid, approute, description, longdescription) select (select max(r.requesttypeid) from app.requesttype r) + 1 requesttypeid, 98, 'db-alert-item-rcpt-zero Interactive', 'db-alert-item-rcpt-zero Interactive' where not exists (select 1 from app.requesttype r2 where r2.approute = 98 );</v>
      </c>
      <c r="J25" t="str">
        <f t="shared" si="4"/>
        <v>insert into app.statemachinerepo(statemachine, description, requesttypeid) select 'tbd-' || rt.description, 'tbd-' || rt.description, rt.requesttypeid from app.requesttype rt where rt.description = 'db-alert-item-rcpt-zero' and not exists (select 1 from app.statemachinerepo sr where sr.description = 'tbd-db-alert-item-rcpt-zero');</v>
      </c>
      <c r="K25" s="16" t="str" cm="1">
        <f t="array" ref="K25">"insert into app.cronaction (CronTaskId, CronActionTypeId, Payload, CreatedBy, LastUpdatedBy) select c.crontaskid, cat.CronActionTypeId,'{""EmailTextOnError"":""tbd"",""TaskName"":""" &amp; E25 &amp; """,
""StateMachine"":""" &amp; IF(ISNUMBER(SEARCH("DB Alert", E)), "wms-tools-state-machine-db-alert", """ wms-tools-state-machine-" &amp; D25 &amp; "" ) &amp; """,
"" Lambda "":"" &amp; C2 &amp; "",
""RequestType"":""" &amp; D25 &amp;"""}','sysuser', 'sysuser' from app.cronactiontype cat, app.crontasks c where c.description = '" &amp; E25 &amp; "' and not exists (select 1 from app.cronaction c2 where c2.crontaskid = c.crontaskid) and cat.description = 'NONE';"</f>
        <v>insert into app.cronaction (CronTaskId, CronActionTypeId, Payload, CreatedBy, LastUpdatedBy) select c.crontaskid, cat.CronActionTypeId,'{"EmailTextOnError":"tbd","TaskName":"DB Alert: Item Level Receipts With 0 Quantity",
"StateMachine":"" wms-tools-state-machine-db-alert-item-rcpt-zero",
" Lambda ":" &amp; C2 &amp; ",
"RequestType":"db-alert-item-rcpt-zero"}','sysuser', 'sysuser' from app.cronactiontype cat, app.crontasks c where c.description = 'DB Alert: Item Level Receipts With 0 Quantity' and not exists (select 1 from app.cronaction c2 where c2.crontaskid = c.crontaskid) and cat.description = 'NONE';</v>
      </c>
      <c r="L25" s="16" t="str">
        <f t="shared" si="1"/>
        <v>insert into app.cronaction (CronTaskId, CronActionTypeId, Payload, CreatedBy, LastUpdatedBy) select c.crontaskid, cat.CronActionTypeId,'{"EmailTextOnError":"tbd","TaskName":"DB Alert: Item Level Receipts With 0 Quantity",
"StateMachine":"wms-tools-state-machine-db-alert",
" Lambda ":"wms-tools-lambda-db-alert",
"RequestType":"db-alert-item-rcpt-zero"}','sysuser', 'sysuser' from app.cronactiontype cat, app.crontasks c where c.description = 'DB Alert: Item Level Receipts With 0 Quantity' and not exists (select 1 from app.cronaction c2 where c2.crontaskid = c.crontaskid) and cat.description = 'NONE';</v>
      </c>
      <c r="M25" t="s">
        <v>96</v>
      </c>
    </row>
    <row r="26" spans="1:13" x14ac:dyDescent="0.2">
      <c r="A26">
        <v>99</v>
      </c>
      <c r="B26">
        <f t="shared" si="5"/>
        <v>100</v>
      </c>
      <c r="C26" t="s">
        <v>97</v>
      </c>
      <c r="D26" t="s">
        <v>98</v>
      </c>
      <c r="E26" t="s">
        <v>99</v>
      </c>
      <c r="F26" t="s">
        <v>14</v>
      </c>
      <c r="G26" s="1" t="s">
        <v>15</v>
      </c>
      <c r="H26" t="str">
        <f t="shared" si="2"/>
        <v>insert into app.requesttype(requesttypeid, approute, description, longdescription) select (select max(r.requesttypeid) from app.requesttype r) + 1 requesttypeid, 99, 'pickpack-api-fail', 'pickpack-api-fail' where not exists (select 1 from app.requesttype r2 where r2.approute = 99 );</v>
      </c>
      <c r="I26" t="str">
        <f t="shared" si="3"/>
        <v>insert into app.requesttype(requesttypeid, approute, description, longdescription) select (select max(r.requesttypeid) from app.requesttype r) + 1 requesttypeid, 100, 'pickpack-api-fail Interactive', 'pickpack-api-fail Interactive' where not exists (select 1 from app.requesttype r2 where r2.approute = 100 );</v>
      </c>
      <c r="J26" t="str">
        <f t="shared" si="4"/>
        <v>insert into app.statemachinerepo(statemachine, description, requesttypeid) select 'tbd-' || rt.description, 'tbd-' || rt.description, rt.requesttypeid from app.requesttype rt where rt.description = 'pickpack-api-fail' and not exists (select 1 from app.statemachinerepo sr where sr.description = 'tbd-pickpack-api-fail');</v>
      </c>
      <c r="K26" s="16" t="str" cm="1">
        <f t="array" ref="K26">"insert into app.cronaction (CronTaskId, CronActionTypeId, Payload, CreatedBy, LastUpdatedBy) select c.crontaskid, cat.CronActionTypeId,'{""EmailTextOnError"":""tbd"",""TaskName"":""" &amp; E26 &amp; """,
""StateMachine"":""" &amp; IF(ISNUMBER(SEARCH("DB Alert", E)), "wms-tools-state-machine-db-alert", """ wms-tools-state-machine-" &amp; D26 &amp; "" ) &amp; """,
"" Lambda "":"" &amp; C2 &amp; "",
""RequestType"":""" &amp; D26 &amp;"""}','sysuser', 'sysuser' from app.cronactiontype cat, app.crontasks c where c.description = '" &amp; E26 &amp; "' and not exists (select 1 from app.cronaction c2 where c2.crontaskid = c.crontaskid) and cat.description = 'NONE';"</f>
        <v>insert into app.cronaction (CronTaskId, CronActionTypeId, Payload, CreatedBy, LastUpdatedBy) select c.crontaskid, cat.CronActionTypeId,'{"EmailTextOnError":"tbd","TaskName":"Open Pick Pack Task Details Api Failure",
"StateMachine":"" wms-tools-state-machine-pickpack-api-fail",
" Lambda ":" &amp; C2 &amp; ",
"RequestType":"pickpack-api-fail"}','sysuser', 'sysuser' from app.cronactiontype cat, app.crontasks c where c.description = 'Open Pick Pack Task Details Api Failure' and not exists (select 1 from app.cronaction c2 where c2.crontaskid = c.crontaskid) and cat.description = 'NONE';</v>
      </c>
      <c r="L26" s="16" t="str">
        <f t="shared" si="1"/>
        <v>insert into app.cronaction (CronTaskId, CronActionTypeId, Payload, CreatedBy, LastUpdatedBy) select c.crontaskid, cat.CronActionTypeId,'{"EmailTextOnError":"tbd","TaskName":"Open Pick Pack Task Details Api Failure",
"StateMachine":"" wms-tools-state-machine-pickpack-api-fail",
" Lambda ":"wms-tools-lambda-pickpack-api-fail",
"RequestType":"pickpack-api-fail"}','sysuser', 'sysuser' from app.cronactiontype cat, app.crontasks c where c.description = 'Open Pick Pack Task Details Api Failure' and not exists (select 1 from app.cronaction c2 where c2.crontaskid = c.crontaskid) and cat.description = 'NONE';</v>
      </c>
      <c r="M26" t="s">
        <v>100</v>
      </c>
    </row>
    <row r="27" spans="1:13" x14ac:dyDescent="0.2">
      <c r="A27">
        <v>101</v>
      </c>
      <c r="B27">
        <f t="shared" si="5"/>
        <v>102</v>
      </c>
      <c r="C27" t="s">
        <v>101</v>
      </c>
      <c r="D27" t="s">
        <v>102</v>
      </c>
      <c r="E27" t="s">
        <v>103</v>
      </c>
      <c r="F27" t="s">
        <v>14</v>
      </c>
      <c r="G27" s="1" t="s">
        <v>22</v>
      </c>
      <c r="H27" t="str">
        <f t="shared" si="2"/>
        <v>insert into app.requesttype(requesttypeid, approute, description, longdescription) select (select max(r.requesttypeid) from app.requesttype r) + 1 requesttypeid, 101, 'fs-asw-open-returns', 'fs-asw-open-returns' where not exists (select 1 from app.requesttype r2 where r2.approute = 101 );</v>
      </c>
      <c r="I27" t="str">
        <f t="shared" si="3"/>
        <v>insert into app.requesttype(requesttypeid, approute, description, longdescription) select (select max(r.requesttypeid) from app.requesttype r) + 1 requesttypeid, 102, 'fs-asw-open-returns Interactive', 'fs-asw-open-returns Interactive' where not exists (select 1 from app.requesttype r2 where r2.approute = 102 );</v>
      </c>
      <c r="J27" t="str">
        <f t="shared" si="4"/>
        <v>insert into app.statemachinerepo(statemachine, description, requesttypeid) select 'tbd-' || rt.description, 'tbd-' || rt.description, rt.requesttypeid from app.requesttype rt where rt.description = 'fs-asw-open-returns' and not exists (select 1 from app.statemachinerepo sr where sr.description = 'tbd-fs-asw-open-returns');</v>
      </c>
      <c r="K27" s="16" t="str" cm="1">
        <f t="array" ref="K27">"insert into app.cronaction (CronTaskId, CronActionTypeId, Payload, CreatedBy, LastUpdatedBy) select c.crontaskid, cat.CronActionTypeId,'{""EmailTextOnError"":""tbd"",""TaskName"":""" &amp; E27 &amp; """,
""StateMachine"":""" &amp; IF(ISNUMBER(SEARCH("DB Alert", E)), "wms-tools-state-machine-db-alert", """ wms-tools-state-machine-" &amp; D27 &amp; "" ) &amp; """,
"" Lambda "":"" &amp; C2 &amp; "",
""RequestType"":""" &amp; D27 &amp;"""}','sysuser', 'sysuser' from app.cronactiontype cat, app.crontasks c where c.description = '" &amp; E27 &amp; "' and not exists (select 1 from app.cronaction c2 where c2.crontaskid = c.crontaskid) and cat.description = 'NONE';"</f>
        <v>insert into app.cronaction (CronTaskId, CronActionTypeId, Payload, CreatedBy, LastUpdatedBy) select c.crontaskid, cat.CronActionTypeId,'{"EmailTextOnError":"tbd","TaskName":"FS: Asw Open Returns",
"StateMachine":"" wms-tools-state-machine-fs-asw-open-returns",
" Lambda ":" &amp; C2 &amp; ",
"RequestType":"fs-asw-open-returns"}','sysuser', 'sysuser' from app.cronactiontype cat, app.crontasks c where c.description = 'FS: Asw Open Returns' and not exists (select 1 from app.cronaction c2 where c2.crontaskid = c.crontaskid) and cat.description = 'NONE';</v>
      </c>
      <c r="L27" s="16" t="str">
        <f t="shared" si="1"/>
        <v>insert into app.cronaction (CronTaskId, CronActionTypeId, Payload, CreatedBy, LastUpdatedBy) select c.crontaskid, cat.CronActionTypeId,'{"EmailTextOnError":"tbd","TaskName":"FS: Asw Open Returns",
"StateMachine":"" wms-tools-state-machine-fs-asw-open-returns",
" Lambda ":"wms-tools-lambda-fs-asw-open-returns",
"RequestType":"fs-asw-open-returns"}','sysuser', 'sysuser' from app.cronactiontype cat, app.crontasks c where c.description = 'FS: Asw Open Returns' and not exists (select 1 from app.cronaction c2 where c2.crontaskid = c.crontaskid) and cat.description = 'NONE';</v>
      </c>
      <c r="M27" t="s">
        <v>104</v>
      </c>
    </row>
    <row r="28" spans="1:13" x14ac:dyDescent="0.2">
      <c r="A28">
        <v>103</v>
      </c>
      <c r="B28">
        <f t="shared" si="5"/>
        <v>104</v>
      </c>
      <c r="C28" t="s">
        <v>105</v>
      </c>
      <c r="D28" t="s">
        <v>106</v>
      </c>
      <c r="E28" t="s">
        <v>107</v>
      </c>
      <c r="F28" t="s">
        <v>14</v>
      </c>
      <c r="G28" s="1" t="s">
        <v>15</v>
      </c>
      <c r="H28" t="str">
        <f t="shared" si="2"/>
        <v>insert into app.requesttype(requesttypeid, approute, description, longdescription) select (select max(r.requesttypeid) from app.requesttype r) + 1 requesttypeid, 103, 'open-task-api-fail', 'open-task-api-fail' where not exists (select 1 from app.requesttype r2 where r2.approute = 103 );</v>
      </c>
      <c r="I28" t="str">
        <f t="shared" si="3"/>
        <v>insert into app.requesttype(requesttypeid, approute, description, longdescription) select (select max(r.requesttypeid) from app.requesttype r) + 1 requesttypeid, 104, 'open-task-api-fail Interactive', 'open-task-api-fail Interactive' where not exists (select 1 from app.requesttype r2 where r2.approute = 104 );</v>
      </c>
      <c r="J28" t="str">
        <f t="shared" si="4"/>
        <v>insert into app.statemachinerepo(statemachine, description, requesttypeid) select 'tbd-' || rt.description, 'tbd-' || rt.description, rt.requesttypeid from app.requesttype rt where rt.description = 'open-task-api-fail' and not exists (select 1 from app.statemachinerepo sr where sr.description = 'tbd-open-task-api-fail');</v>
      </c>
      <c r="K28" s="16" t="str" cm="1">
        <f t="array" ref="K28">"insert into app.cronaction (CronTaskId, CronActionTypeId, Payload, CreatedBy, LastUpdatedBy) select c.crontaskid, cat.CronActionTypeId,'{""EmailTextOnError"":""tbd"",""TaskName"":""" &amp; E28 &amp; """,
""StateMachine"":""" &amp; IF(ISNUMBER(SEARCH("DB Alert", E)), "wms-tools-state-machine-db-alert", """ wms-tools-state-machine-" &amp; D28 &amp; "" ) &amp; """,
"" Lambda "":"" &amp; C2 &amp; "",
""RequestType"":""" &amp; D28 &amp;"""}','sysuser', 'sysuser' from app.cronactiontype cat, app.crontasks c where c.description = '" &amp; E28 &amp; "' and not exists (select 1 from app.cronaction c2 where c2.crontaskid = c.crontaskid) and cat.description = 'NONE';"</f>
        <v>insert into app.cronaction (CronTaskId, CronActionTypeId, Payload, CreatedBy, LastUpdatedBy) select c.crontaskid, cat.CronActionTypeId,'{"EmailTextOnError":"tbd","TaskName":"Open Task Api Failure",
"StateMachine":"" wms-tools-state-machine-open-task-api-fail",
" Lambda ":" &amp; C2 &amp; ",
"RequestType":"open-task-api-fail"}','sysuser', 'sysuser' from app.cronactiontype cat, app.crontasks c where c.description = 'Open Task Api Failure' and not exists (select 1 from app.cronaction c2 where c2.crontaskid = c.crontaskid) and cat.description = 'NONE';</v>
      </c>
      <c r="L28" s="16" t="str">
        <f t="shared" si="1"/>
        <v>insert into app.cronaction (CronTaskId, CronActionTypeId, Payload, CreatedBy, LastUpdatedBy) select c.crontaskid, cat.CronActionTypeId,'{"EmailTextOnError":"tbd","TaskName":"Open Task Api Failure",
"StateMachine":"" wms-tools-state-machine-open-task-api-fail",
" Lambda ":"wms-tools-lambda-open-task-api-fail",
"RequestType":"open-task-api-fail"}','sysuser', 'sysuser' from app.cronactiontype cat, app.crontasks c where c.description = 'Open Task Api Failure' and not exists (select 1 from app.cronaction c2 where c2.crontaskid = c.crontaskid) and cat.description = 'NONE';</v>
      </c>
      <c r="M28" t="s">
        <v>108</v>
      </c>
    </row>
    <row r="29" spans="1:13" x14ac:dyDescent="0.2">
      <c r="A29">
        <v>105</v>
      </c>
      <c r="B29">
        <f t="shared" si="5"/>
        <v>106</v>
      </c>
      <c r="C29" t="s">
        <v>109</v>
      </c>
      <c r="D29" t="s">
        <v>110</v>
      </c>
      <c r="E29" t="s">
        <v>111</v>
      </c>
      <c r="F29" t="s">
        <v>14</v>
      </c>
      <c r="G29" s="1" t="s">
        <v>15</v>
      </c>
      <c r="H29" t="str">
        <f t="shared" si="2"/>
        <v>insert into app.requesttype(requesttypeid, approute, description, longdescription) select (select max(r.requesttypeid) from app.requesttype r) + 1 requesttypeid, 105, 'taskdet-api-fail', 'taskdet-api-fail' where not exists (select 1 from app.requesttype r2 where r2.approute = 105 );</v>
      </c>
      <c r="I29" t="str">
        <f t="shared" si="3"/>
        <v>insert into app.requesttype(requesttypeid, approute, description, longdescription) select (select max(r.requesttypeid) from app.requesttype r) + 1 requesttypeid, 106, 'taskdet-api-fail Interactive', 'taskdet-api-fail Interactive' where not exists (select 1 from app.requesttype r2 where r2.approute = 106 );</v>
      </c>
      <c r="J29" t="str">
        <f t="shared" si="4"/>
        <v>insert into app.statemachinerepo(statemachine, description, requesttypeid) select 'tbd-' || rt.description, 'tbd-' || rt.description, rt.requesttypeid from app.requesttype rt where rt.description = 'taskdet-api-fail' and not exists (select 1 from app.statemachinerepo sr where sr.description = 'tbd-taskdet-api-fail');</v>
      </c>
      <c r="K29" s="16" t="str" cm="1">
        <f t="array" ref="K29">"insert into app.cronaction (CronTaskId, CronActionTypeId, Payload, CreatedBy, LastUpdatedBy) select c.crontaskid, cat.CronActionTypeId,'{""EmailTextOnError"":""tbd"",""TaskName"":""" &amp; E29 &amp; """,
""StateMachine"":""" &amp; IF(ISNUMBER(SEARCH("DB Alert", E)), "wms-tools-state-machine-db-alert", """ wms-tools-state-machine-" &amp; D29 &amp; "" ) &amp; """,
"" Lambda "":"" &amp; C2 &amp; "",
""RequestType"":""" &amp; D29 &amp;"""}','sysuser', 'sysuser' from app.cronactiontype cat, app.crontasks c where c.description = '" &amp; E29 &amp; "' and not exists (select 1 from app.cronaction c2 where c2.crontaskid = c.crontaskid) and cat.description = 'NONE';"</f>
        <v>insert into app.cronaction (CronTaskId, CronActionTypeId, Payload, CreatedBy, LastUpdatedBy) select c.crontaskid, cat.CronActionTypeId,'{"EmailTextOnError":"tbd","TaskName":"Open Task Details Api Failure",
"StateMachine":"" wms-tools-state-machine-taskdet-api-fail",
" Lambda ":" &amp; C2 &amp; ",
"RequestType":"taskdet-api-fail"}','sysuser', 'sysuser' from app.cronactiontype cat, app.crontasks c where c.description = 'Open Task Details Api Failure' and not exists (select 1 from app.cronaction c2 where c2.crontaskid = c.crontaskid) and cat.description = 'NONE';</v>
      </c>
      <c r="L29" s="16" t="str">
        <f t="shared" si="1"/>
        <v>insert into app.cronaction (CronTaskId, CronActionTypeId, Payload, CreatedBy, LastUpdatedBy) select c.crontaskid, cat.CronActionTypeId,'{"EmailTextOnError":"tbd","TaskName":"Open Task Details Api Failure",
"StateMachine":"" wms-tools-state-machine-taskdet-api-fail",
" Lambda ":"wms-tools-lambda-taskdet-api-fail",
"RequestType":"taskdet-api-fail"}','sysuser', 'sysuser' from app.cronactiontype cat, app.crontasks c where c.description = 'Open Task Details Api Failure' and not exists (select 1 from app.cronaction c2 where c2.crontaskid = c.crontaskid) and cat.description = 'NONE';</v>
      </c>
      <c r="M29" t="s">
        <v>112</v>
      </c>
    </row>
    <row r="30" spans="1:13" x14ac:dyDescent="0.2">
      <c r="A30">
        <v>107</v>
      </c>
      <c r="B30">
        <f t="shared" si="5"/>
        <v>108</v>
      </c>
      <c r="C30" t="s">
        <v>18</v>
      </c>
      <c r="D30" t="s">
        <v>113</v>
      </c>
      <c r="E30" t="s">
        <v>114</v>
      </c>
      <c r="F30" t="s">
        <v>14</v>
      </c>
      <c r="G30" s="1" t="s">
        <v>22</v>
      </c>
      <c r="H30" t="str">
        <f t="shared" si="2"/>
        <v>insert into app.requesttype(requesttypeid, approute, description, longdescription) select (select max(r.requesttypeid) from app.requesttype r) + 1 requesttypeid, 107, 'db-alert-waves-long-abort', 'db-alert-waves-long-abort' where not exists (select 1 from app.requesttype r2 where r2.approute = 107 );</v>
      </c>
      <c r="I30" t="str">
        <f t="shared" si="3"/>
        <v>insert into app.requesttype(requesttypeid, approute, description, longdescription) select (select max(r.requesttypeid) from app.requesttype r) + 1 requesttypeid, 108, 'db-alert-waves-long-abort Interactive', 'db-alert-waves-long-abort Interactive' where not exists (select 1 from app.requesttype r2 where r2.approute = 108 );</v>
      </c>
      <c r="J30" t="str">
        <f t="shared" si="4"/>
        <v>insert into app.statemachinerepo(statemachine, description, requesttypeid) select 'tbd-' || rt.description, 'tbd-' || rt.description, rt.requesttypeid from app.requesttype rt where rt.description = 'db-alert-waves-long-abort' and not exists (select 1 from app.statemachinerepo sr where sr.description = 'tbd-db-alert-waves-long-abort');</v>
      </c>
      <c r="K30" s="16" t="str" cm="1">
        <f t="array" ref="K30">"insert into app.cronaction (CronTaskId, CronActionTypeId, Payload, CreatedBy, LastUpdatedBy) select c.crontaskid, cat.CronActionTypeId,'{""EmailTextOnError"":""tbd"",""TaskName"":""" &amp; E30 &amp; """,
""StateMachine"":""" &amp; IF(ISNUMBER(SEARCH("DB Alert", E)), "wms-tools-state-machine-db-alert", """ wms-tools-state-machine-" &amp; D30 &amp; "" ) &amp; """,
"" Lambda "":"" &amp; C2 &amp; "",
""RequestType"":""" &amp; D30 &amp;"""}','sysuser', 'sysuser' from app.cronactiontype cat, app.crontasks c where c.description = '" &amp; E30 &amp; "' and not exists (select 1 from app.cronaction c2 where c2.crontaskid = c.crontaskid) and cat.description = 'NONE';"</f>
        <v>insert into app.cronaction (CronTaskId, CronActionTypeId, Payload, CreatedBy, LastUpdatedBy) select c.crontaskid, cat.CronActionTypeId,'{"EmailTextOnError":"tbd","TaskName":"DB Alert: Long Running Or Aborted Waves",
"StateMachine":"" wms-tools-state-machine-db-alert-waves-long-abort",
" Lambda ":" &amp; C2 &amp; ",
"RequestType":"db-alert-waves-long-abort"}','sysuser', 'sysuser' from app.cronactiontype cat, app.crontasks c where c.description = 'DB Alert: Long Running Or Aborted Waves' and not exists (select 1 from app.cronaction c2 where c2.crontaskid = c.crontaskid) and cat.description = 'NONE';</v>
      </c>
      <c r="L30" s="16" t="str">
        <f t="shared" si="1"/>
        <v>insert into app.cronaction (CronTaskId, CronActionTypeId, Payload, CreatedBy, LastUpdatedBy) select c.crontaskid, cat.CronActionTypeId,'{"EmailTextOnError":"tbd","TaskName":"DB Alert: Long Running Or Aborted Waves",
"StateMachine":"wms-tools-state-machine-db-alert",
" Lambda ":"wms-tools-lambda-db-alert",
"RequestType":"db-alert-waves-long-abort"}','sysuser', 'sysuser' from app.cronactiontype cat, app.crontasks c where c.description = 'DB Alert: Long Running Or Aborted Waves' and not exists (select 1 from app.cronaction c2 where c2.crontaskid = c.crontaskid) and cat.description = 'NONE';</v>
      </c>
      <c r="M30" t="s">
        <v>115</v>
      </c>
    </row>
    <row r="31" spans="1:13" x14ac:dyDescent="0.2">
      <c r="A31">
        <v>109</v>
      </c>
      <c r="B31">
        <f t="shared" si="5"/>
        <v>110</v>
      </c>
      <c r="C31" t="s">
        <v>28</v>
      </c>
      <c r="D31" t="s">
        <v>116</v>
      </c>
      <c r="E31" t="s">
        <v>117</v>
      </c>
      <c r="F31" t="s">
        <v>14</v>
      </c>
      <c r="G31" s="1" t="s">
        <v>22</v>
      </c>
      <c r="H31" t="str">
        <f t="shared" si="2"/>
        <v>insert into app.requesttype(requesttypeid, approute, description, longdescription) select (select max(r.requesttypeid) from app.requesttype r) + 1 requesttypeid, 109, 'db-alert-miss-item-verif', 'db-alert-miss-item-verif' where not exists (select 1 from app.requesttype r2 where r2.approute = 109 );</v>
      </c>
      <c r="I31" t="str">
        <f t="shared" si="3"/>
        <v>insert into app.requesttype(requesttypeid, approute, description, longdescription) select (select max(r.requesttypeid) from app.requesttype r) + 1 requesttypeid, 110, 'db-alert-miss-item-verif Interactive', 'db-alert-miss-item-verif Interactive' where not exists (select 1 from app.requesttype r2 where r2.approute = 110 );</v>
      </c>
      <c r="J31" t="str">
        <f t="shared" si="4"/>
        <v>insert into app.statemachinerepo(statemachine, description, requesttypeid) select 'tbd-' || rt.description, 'tbd-' || rt.description, rt.requesttypeid from app.requesttype rt where rt.description = 'db-alert-miss-item-verif' and not exists (select 1 from app.statemachinerepo sr where sr.description = 'tbd-db-alert-miss-item-verif');</v>
      </c>
      <c r="K31" s="16" t="str" cm="1">
        <f t="array" ref="K31">"insert into app.cronaction (CronTaskId, CronActionTypeId, Payload, CreatedBy, LastUpdatedBy) select c.crontaskid, cat.CronActionTypeId,'{""EmailTextOnError"":""tbd"",""TaskName"":""" &amp; E31 &amp; """,
""StateMachine"":""" &amp; IF(ISNUMBER(SEARCH("DB Alert", E)), "wms-tools-state-machine-db-alert", """ wms-tools-state-machine-" &amp; D31 &amp; "" ) &amp; """,
"" Lambda "":"" &amp; C2 &amp; "",
""RequestType"":""" &amp; D31 &amp;"""}','sysuser', 'sysuser' from app.cronactiontype cat, app.crontasks c where c.description = '" &amp; E31 &amp; "' and not exists (select 1 from app.cronaction c2 where c2.crontaskid = c.crontaskid) and cat.description = 'NONE';"</f>
        <v>insert into app.cronaction (CronTaskId, CronActionTypeId, Payload, CreatedBy, LastUpdatedBy) select c.crontaskid, cat.CronActionTypeId,'{"EmailTextOnError":"tbd","TaskName":"DB Alert: Missing Item Level Verification Pix",
"StateMachine":"" wms-tools-state-machine-db-alert-miss-item-verif",
" Lambda ":" &amp; C2 &amp; ",
"RequestType":"db-alert-miss-item-verif"}','sysuser', 'sysuser' from app.cronactiontype cat, app.crontasks c where c.description = 'DB Alert: Missing Item Level Verification Pix' and not exists (select 1 from app.cronaction c2 where c2.crontaskid = c.crontaskid) and cat.description = 'NONE';</v>
      </c>
      <c r="L31" s="16" t="str">
        <f t="shared" si="1"/>
        <v>insert into app.cronaction (CronTaskId, CronActionTypeId, Payload, CreatedBy, LastUpdatedBy) select c.crontaskid, cat.CronActionTypeId,'{"EmailTextOnError":"tbd","TaskName":"DB Alert: Missing Item Level Verification Pix",
"StateMachine":"wms-tools-state-machine-db-alert",
" Lambda ":"wms-tools-lambda-oracle-db-alert",
"RequestType":"db-alert-miss-item-verif"}','sysuser', 'sysuser' from app.cronactiontype cat, app.crontasks c where c.description = 'DB Alert: Missing Item Level Verification Pix' and not exists (select 1 from app.cronaction c2 where c2.crontaskid = c.crontaskid) and cat.description = 'NONE';</v>
      </c>
      <c r="M31" t="s">
        <v>118</v>
      </c>
    </row>
    <row r="32" spans="1:13" x14ac:dyDescent="0.2">
      <c r="A32">
        <v>111</v>
      </c>
      <c r="B32">
        <f t="shared" si="5"/>
        <v>112</v>
      </c>
      <c r="C32" t="s">
        <v>119</v>
      </c>
      <c r="D32" t="s">
        <v>120</v>
      </c>
      <c r="E32" t="s">
        <v>121</v>
      </c>
      <c r="F32" t="s">
        <v>14</v>
      </c>
      <c r="G32" s="1" t="s">
        <v>15</v>
      </c>
      <c r="H32" t="str">
        <f t="shared" si="2"/>
        <v>insert into app.requesttype(requesttypeid, approute, description, longdescription) select (select max(r.requesttypeid) from app.requesttype r) + 1 requesttypeid, 111, 'fs-asw-pend-ship1w', 'fs-asw-pend-ship1w' where not exists (select 1 from app.requesttype r2 where r2.approute = 111 );</v>
      </c>
      <c r="I32" t="str">
        <f t="shared" si="3"/>
        <v>insert into app.requesttype(requesttypeid, approute, description, longdescription) select (select max(r.requesttypeid) from app.requesttype r) + 1 requesttypeid, 112, 'fs-asw-pend-ship1w Interactive', 'fs-asw-pend-ship1w Interactive' where not exists (select 1 from app.requesttype r2 where r2.approute = 112 );</v>
      </c>
      <c r="J32" t="str">
        <f t="shared" si="4"/>
        <v>insert into app.statemachinerepo(statemachine, description, requesttypeid) select 'tbd-' || rt.description, 'tbd-' || rt.description, rt.requesttypeid from app.requesttype rt where rt.description = 'fs-asw-pend-ship1w' and not exists (select 1 from app.statemachinerepo sr where sr.description = 'tbd-fs-asw-pend-ship1w');</v>
      </c>
      <c r="K32" s="16" t="str" cm="1">
        <f t="array" ref="K32">"insert into app.cronaction (CronTaskId, CronActionTypeId, Payload, CreatedBy, LastUpdatedBy) select c.crontaskid, cat.CronActionTypeId,'{""EmailTextOnError"":""tbd"",""TaskName"":""" &amp; E32 &amp; """,
""StateMachine"":""" &amp; IF(ISNUMBER(SEARCH("DB Alert", E)), "wms-tools-state-machine-db-alert", """ wms-tools-state-machine-" &amp; D32 &amp; "" ) &amp; """,
"" Lambda "":"" &amp; C2 &amp; "",
""RequestType"":""" &amp; D32 &amp;"""}','sysuser', 'sysuser' from app.cronactiontype cat, app.crontasks c where c.description = '" &amp; E32 &amp; "' and not exists (select 1 from app.cronaction c2 where c2.crontaskid = c.crontaskid) and cat.description = 'NONE';"</f>
        <v>insert into app.cronaction (CronTaskId, CronActionTypeId, Payload, CreatedBy, LastUpdatedBy) select c.crontaskid, cat.CronActionTypeId,'{"EmailTextOnError":"tbd","TaskName":"FS: ELP ASW - Pending Shipment Quantities &gt; 1 Week",
"StateMachine":"" wms-tools-state-machine-fs-asw-pend-ship1w",
" Lambda ":" &amp; C2 &amp; ",
"RequestType":"fs-asw-pend-ship1w"}','sysuser', 'sysuser' from app.cronactiontype cat, app.crontasks c where c.description = 'FS: ELP ASW - Pending Shipment Quantities &gt; 1 Week' and not exists (select 1 from app.cronaction c2 where c2.crontaskid = c.crontaskid) and cat.description = 'NONE';</v>
      </c>
      <c r="L32" s="16" t="str">
        <f t="shared" si="1"/>
        <v>insert into app.cronaction (CronTaskId, CronActionTypeId, Payload, CreatedBy, LastUpdatedBy) select c.crontaskid, cat.CronActionTypeId,'{"EmailTextOnError":"tbd","TaskName":"FS: ELP ASW - Pending Shipment Quantities &gt; 1 Week",
"StateMachine":"" wms-tools-state-machine-fs-asw-pend-ship1w",
" Lambda ":"wms-tools-lambda-fs-asw-pend-ship1w",
"RequestType":"fs-asw-pend-ship1w"}','sysuser', 'sysuser' from app.cronactiontype cat, app.crontasks c where c.description = 'FS: ELP ASW - Pending Shipment Quantities &gt; 1 Week' and not exists (select 1 from app.cronaction c2 where c2.crontaskid = c.crontaskid) and cat.description = 'NONE';</v>
      </c>
      <c r="M32" t="s">
        <v>122</v>
      </c>
    </row>
    <row r="33" spans="1:13" x14ac:dyDescent="0.2">
      <c r="A33">
        <v>113</v>
      </c>
      <c r="B33">
        <f t="shared" si="5"/>
        <v>114</v>
      </c>
      <c r="C33" t="s">
        <v>123</v>
      </c>
      <c r="D33" t="s">
        <v>124</v>
      </c>
      <c r="E33" t="s">
        <v>125</v>
      </c>
      <c r="F33" t="s">
        <v>14</v>
      </c>
      <c r="G33" s="1" t="s">
        <v>15</v>
      </c>
      <c r="H33" t="str">
        <f t="shared" si="2"/>
        <v>insert into app.requesttype(requesttypeid, approute, description, longdescription) select (select max(r.requesttypeid) from app.requesttype r) + 1 requesttypeid, 113, 'pick-neg-tbf-api', 'pick-neg-tbf-api' where not exists (select 1 from app.requesttype r2 where r2.approute = 113 );</v>
      </c>
      <c r="I33" t="str">
        <f t="shared" si="3"/>
        <v>insert into app.requesttype(requesttypeid, approute, description, longdescription) select (select max(r.requesttypeid) from app.requesttype r) + 1 requesttypeid, 114, 'pick-neg-tbf-api Interactive', 'pick-neg-tbf-api Interactive' where not exists (select 1 from app.requesttype r2 where r2.approute = 114 );</v>
      </c>
      <c r="J33" t="str">
        <f t="shared" si="4"/>
        <v>insert into app.statemachinerepo(statemachine, description, requesttypeid) select 'tbd-' || rt.description, 'tbd-' || rt.description, rt.requesttypeid from app.requesttype rt where rt.description = 'pick-neg-tbf-api' and not exists (select 1 from app.statemachinerepo sr where sr.description = 'tbd-pick-neg-tbf-api');</v>
      </c>
      <c r="K33" s="16" t="str" cm="1">
        <f t="array" ref="K33">"insert into app.cronaction (CronTaskId, CronActionTypeId, Payload, CreatedBy, LastUpdatedBy) select c.crontaskid, cat.CronActionTypeId,'{""EmailTextOnError"":""tbd"",""TaskName"":""" &amp; E33 &amp; """,
""StateMachine"":""" &amp; IF(ISNUMBER(SEARCH("DB Alert", E)), "wms-tools-state-machine-db-alert", """ wms-tools-state-machine-" &amp; D33 &amp; "" ) &amp; """,
"" Lambda "":"" &amp; C2 &amp; "",
""RequestType"":""" &amp; D33 &amp;"""}','sysuser', 'sysuser' from app.cronactiontype cat, app.crontasks c where c.description = '" &amp; E33 &amp; "' and not exists (select 1 from app.cronaction c2 where c2.crontaskid = c.crontaskid) and cat.description = 'NONE';"</f>
        <v>insert into app.cronaction (CronTaskId, CronActionTypeId, Payload, CreatedBy, LastUpdatedBy) select c.crontaskid, cat.CronActionTypeId,'{"EmailTextOnError":"tbd","TaskName":"Pick Locations With Negative Tbf Api Failure",
"StateMachine":"" wms-tools-state-machine-pick-neg-tbf-api",
" Lambda ":" &amp; C2 &amp; ",
"RequestType":"pick-neg-tbf-api"}','sysuser', 'sysuser' from app.cronactiontype cat, app.crontasks c where c.description = 'Pick Locations With Negative Tbf Api Failure' and not exists (select 1 from app.cronaction c2 where c2.crontaskid = c.crontaskid) and cat.description = 'NONE';</v>
      </c>
      <c r="L33" s="16" t="str">
        <f t="shared" si="1"/>
        <v>insert into app.cronaction (CronTaskId, CronActionTypeId, Payload, CreatedBy, LastUpdatedBy) select c.crontaskid, cat.CronActionTypeId,'{"EmailTextOnError":"tbd","TaskName":"Pick Locations With Negative Tbf Api Failure",
"StateMachine":"" wms-tools-state-machine-pick-neg-tbf-api",
" Lambda ":"wms-tools-lambda-pick-neg-tbf-api",
"RequestType":"pick-neg-tbf-api"}','sysuser', 'sysuser' from app.cronactiontype cat, app.crontasks c where c.description = 'Pick Locations With Negative Tbf Api Failure' and not exists (select 1 from app.cronaction c2 where c2.crontaskid = c.crontaskid) and cat.description = 'NONE';</v>
      </c>
      <c r="M33" t="s">
        <v>126</v>
      </c>
    </row>
    <row r="34" spans="1:13" x14ac:dyDescent="0.2">
      <c r="A34">
        <v>115</v>
      </c>
      <c r="B34">
        <f t="shared" si="5"/>
        <v>116</v>
      </c>
      <c r="C34" t="s">
        <v>127</v>
      </c>
      <c r="D34" t="s">
        <v>128</v>
      </c>
      <c r="E34" t="s">
        <v>129</v>
      </c>
      <c r="F34" t="s">
        <v>14</v>
      </c>
      <c r="G34" s="1" t="s">
        <v>15</v>
      </c>
      <c r="H34" t="str">
        <f t="shared" si="2"/>
        <v>insert into app.requesttype(requesttypeid, approute, description, longdescription) select (select max(r.requesttypeid) from app.requesttype r) + 1 requesttypeid, 115, 'pick-tbf-no-task', 'pick-tbf-no-task' where not exists (select 1 from app.requesttype r2 where r2.approute = 115 );</v>
      </c>
      <c r="I34" t="str">
        <f t="shared" si="3"/>
        <v>insert into app.requesttype(requesttypeid, approute, description, longdescription) select (select max(r.requesttypeid) from app.requesttype r) + 1 requesttypeid, 116, 'pick-tbf-no-task Interactive', 'pick-tbf-no-task Interactive' where not exists (select 1 from app.requesttype r2 where r2.approute = 116 );</v>
      </c>
      <c r="J34" t="str">
        <f t="shared" si="4"/>
        <v>insert into app.statemachinerepo(statemachine, description, requesttypeid) select 'tbd-' || rt.description, 'tbd-' || rt.description, rt.requesttypeid from app.requesttype rt where rt.description = 'pick-tbf-no-task' and not exists (select 1 from app.statemachinerepo sr where sr.description = 'tbd-pick-tbf-no-task');</v>
      </c>
      <c r="K34" s="16" t="str" cm="1">
        <f t="array" ref="K34">"insert into app.cronaction (CronTaskId, CronActionTypeId, Payload, CreatedBy, LastUpdatedBy) select c.crontaskid, cat.CronActionTypeId,'{""EmailTextOnError"":""tbd"",""TaskName"":""" &amp; E34 &amp; """,
""StateMachine"":""" &amp; IF(ISNUMBER(SEARCH("DB Alert", E)), "wms-tools-state-machine-db-alert", """ wms-tools-state-machine-" &amp; D34 &amp; "" ) &amp; """,
"" Lambda "":"" &amp; C2 &amp; "",
""RequestType"":""" &amp; D34 &amp;"""}','sysuser', 'sysuser' from app.cronactiontype cat, app.crontasks c where c.description = '" &amp; E34 &amp; "' and not exists (select 1 from app.cronaction c2 where c2.crontaskid = c.crontaskid) and cat.description = 'NONE';"</f>
        <v>insert into app.cronaction (CronTaskId, CronActionTypeId, Payload, CreatedBy, LastUpdatedBy) select c.crontaskid, cat.CronActionTypeId,'{"EmailTextOnError":"tbd","TaskName":"Pick Locations With Tbf Quantity And No Open Task Details Api Failure",
"StateMachine":"" wms-tools-state-machine-pick-tbf-no-task",
" Lambda ":" &amp; C2 &amp; ",
"RequestType":"pick-tbf-no-task"}','sysuser', 'sysuser' from app.cronactiontype cat, app.crontasks c where c.description = 'Pick Locations With Tbf Quantity And No Open Task Details Api Failure' and not exists (select 1 from app.cronaction c2 where c2.crontaskid = c.crontaskid) and cat.description = 'NONE';</v>
      </c>
      <c r="L34" s="16" t="str">
        <f t="shared" si="1"/>
        <v>insert into app.cronaction (CronTaskId, CronActionTypeId, Payload, CreatedBy, LastUpdatedBy) select c.crontaskid, cat.CronActionTypeId,'{"EmailTextOnError":"tbd","TaskName":"Pick Locations With Tbf Quantity And No Open Task Details Api Failure",
"StateMachine":"" wms-tools-state-machine-pick-tbf-no-task",
" Lambda ":"wms-tools-lambda-pick-tbf-no-task",
"RequestType":"pick-tbf-no-task"}','sysuser', 'sysuser' from app.cronactiontype cat, app.crontasks c where c.description = 'Pick Locations With Tbf Quantity And No Open Task Details Api Failure' and not exists (select 1 from app.cronaction c2 where c2.crontaskid = c.crontaskid) and cat.description = 'NONE';</v>
      </c>
      <c r="M34" t="s">
        <v>130</v>
      </c>
    </row>
    <row r="35" spans="1:13" x14ac:dyDescent="0.2">
      <c r="A35">
        <v>117</v>
      </c>
      <c r="B35">
        <f t="shared" si="5"/>
        <v>118</v>
      </c>
      <c r="C35" t="s">
        <v>131</v>
      </c>
      <c r="D35" t="s">
        <v>132</v>
      </c>
      <c r="E35" t="s">
        <v>133</v>
      </c>
      <c r="F35" t="s">
        <v>14</v>
      </c>
      <c r="G35" s="1" t="s">
        <v>15</v>
      </c>
      <c r="H35" t="str">
        <f t="shared" si="2"/>
        <v>insert into app.requesttype(requesttypeid, approute, description, longdescription) select (select max(r.requesttypeid) from app.requesttype r) + 1 requesttypeid, 117, 'putaway-api-fail', 'putaway-api-fail' where not exists (select 1 from app.requesttype r2 where r2.approute = 117 );</v>
      </c>
      <c r="I35" t="str">
        <f t="shared" si="3"/>
        <v>insert into app.requesttype(requesttypeid, approute, description, longdescription) select (select max(r.requesttypeid) from app.requesttype r) + 1 requesttypeid, 118, 'putaway-api-fail Interactive', 'putaway-api-fail Interactive' where not exists (select 1 from app.requesttype r2 where r2.approute = 118 );</v>
      </c>
      <c r="J35" t="str">
        <f t="shared" si="4"/>
        <v>insert into app.statemachinerepo(statemachine, description, requesttypeid) select 'tbd-' || rt.description, 'tbd-' || rt.description, rt.requesttypeid from app.requesttype rt where rt.description = 'putaway-api-fail' and not exists (select 1 from app.statemachinerepo sr where sr.description = 'tbd-putaway-api-fail');</v>
      </c>
      <c r="K35" s="16" t="str" cm="1">
        <f t="array" ref="K35">"insert into app.cronaction (CronTaskId, CronActionTypeId, Payload, CreatedBy, LastUpdatedBy) select c.crontaskid, cat.CronActionTypeId,'{""EmailTextOnError"":""tbd"",""TaskName"":""" &amp; E35 &amp; """,
""StateMachine"":""" &amp; IF(ISNUMBER(SEARCH("DB Alert", E)), "wms-tools-state-machine-db-alert", """ wms-tools-state-machine-" &amp; D35 &amp; "" ) &amp; """,
"" Lambda "":"" &amp; C2 &amp; "",
""RequestType"":""" &amp; D35 &amp;"""}','sysuser', 'sysuser' from app.cronactiontype cat, app.crontasks c where c.description = '" &amp; E35 &amp; "' and not exists (select 1 from app.cronaction c2 where c2.crontaskid = c.crontaskid) and cat.description = 'NONE';"</f>
        <v>insert into app.cronaction (CronTaskId, CronActionTypeId, Payload, CreatedBy, LastUpdatedBy) select c.crontaskid, cat.CronActionTypeId,'{"EmailTextOnError":"tbd","TaskName":"Putaway Task Details Api Failure",
"StateMachine":"" wms-tools-state-machine-putaway-api-fail",
" Lambda ":" &amp; C2 &amp; ",
"RequestType":"putaway-api-fail"}','sysuser', 'sysuser' from app.cronactiontype cat, app.crontasks c where c.description = 'Putaway Task Details Api Failure' and not exists (select 1 from app.cronaction c2 where c2.crontaskid = c.crontaskid) and cat.description = 'NONE';</v>
      </c>
      <c r="L35" s="16" t="str">
        <f t="shared" si="1"/>
        <v>insert into app.cronaction (CronTaskId, CronActionTypeId, Payload, CreatedBy, LastUpdatedBy) select c.crontaskid, cat.CronActionTypeId,'{"EmailTextOnError":"tbd","TaskName":"Putaway Task Details Api Failure",
"StateMachine":"" wms-tools-state-machine-putaway-api-fail",
" Lambda ":"wms-tools-lambda-putaway-api-fail",
"RequestType":"putaway-api-fail"}','sysuser', 'sysuser' from app.cronactiontype cat, app.crontasks c where c.description = 'Putaway Task Details Api Failure' and not exists (select 1 from app.cronaction c2 where c2.crontaskid = c.crontaskid) and cat.description = 'NONE';</v>
      </c>
      <c r="M35" t="s">
        <v>134</v>
      </c>
    </row>
    <row r="36" spans="1:13" x14ac:dyDescent="0.2">
      <c r="A36">
        <v>119</v>
      </c>
      <c r="B36">
        <f t="shared" si="5"/>
        <v>120</v>
      </c>
      <c r="C36" t="s">
        <v>135</v>
      </c>
      <c r="D36" t="s">
        <v>136</v>
      </c>
      <c r="E36" t="s">
        <v>137</v>
      </c>
      <c r="F36" t="s">
        <v>14</v>
      </c>
      <c r="G36" s="1" t="s">
        <v>15</v>
      </c>
      <c r="H36" t="str">
        <f t="shared" si="2"/>
        <v>insert into app.requesttype(requesttypeid, approute, description, longdescription) select (select max(r.requesttypeid) from app.requesttype r) + 1 requesttypeid, 119, 'recoup-sort-api', 'recoup-sort-api' where not exists (select 1 from app.requesttype r2 where r2.approute = 119 );</v>
      </c>
      <c r="I36" t="str">
        <f t="shared" si="3"/>
        <v>insert into app.requesttype(requesttypeid, approute, description, longdescription) select (select max(r.requesttypeid) from app.requesttype r) + 1 requesttypeid, 120, 'recoup-sort-api Interactive', 'recoup-sort-api Interactive' where not exists (select 1 from app.requesttype r2 where r2.approute = 120 );</v>
      </c>
      <c r="J36" t="str">
        <f t="shared" si="4"/>
        <v>insert into app.statemachinerepo(statemachine, description, requesttypeid) select 'tbd-' || rt.description, 'tbd-' || rt.description, rt.requesttypeid from app.requesttype rt where rt.description = 'recoup-sort-api' and not exists (select 1 from app.statemachinerepo sr where sr.description = 'tbd-recoup-sort-api');</v>
      </c>
      <c r="K36" s="16" t="str" cm="1">
        <f t="array" ref="K36">"insert into app.cronaction (CronTaskId, CronActionTypeId, Payload, CreatedBy, LastUpdatedBy) select c.crontaskid, cat.CronActionTypeId,'{""EmailTextOnError"":""tbd"",""TaskName"":""" &amp; E36 &amp; """,
""StateMachine"":""" &amp; IF(ISNUMBER(SEARCH("DB Alert", E)), "wms-tools-state-machine-db-alert", """ wms-tools-state-machine-" &amp; D36 &amp; "" ) &amp; """,
"" Lambda "":"" &amp; C2 &amp; "",
""RequestType"":""" &amp; D36 &amp;"""}','sysuser', 'sysuser' from app.cronactiontype cat, app.crontasks c where c.description = '" &amp; E36 &amp; "' and not exists (select 1 from app.cronaction c2 where c2.crontaskid = c.crontaskid) and cat.description = 'NONE';"</f>
        <v>insert into app.cronaction (CronTaskId, CronActionTypeId, Payload, CreatedBy, LastUpdatedBy) select c.crontaskid, cat.CronActionTypeId,'{"EmailTextOnError":"tbd","TaskName":"Recoup Sorting Update Api Failure",
"StateMachine":"" wms-tools-state-machine-recoup-sort-api",
" Lambda ":" &amp; C2 &amp; ",
"RequestType":"recoup-sort-api"}','sysuser', 'sysuser' from app.cronactiontype cat, app.crontasks c where c.description = 'Recoup Sorting Update Api Failure' and not exists (select 1 from app.cronaction c2 where c2.crontaskid = c.crontaskid) and cat.description = 'NONE';</v>
      </c>
      <c r="L36" s="16" t="str">
        <f t="shared" si="1"/>
        <v>insert into app.cronaction (CronTaskId, CronActionTypeId, Payload, CreatedBy, LastUpdatedBy) select c.crontaskid, cat.CronActionTypeId,'{"EmailTextOnError":"tbd","TaskName":"Recoup Sorting Update Api Failure",
"StateMachine":"" wms-tools-state-machine-recoup-sort-api",
" Lambda ":"wms-tools-lambda-recoup-sort-api",
"RequestType":"recoup-sort-api"}','sysuser', 'sysuser' from app.cronactiontype cat, app.crontasks c where c.description = 'Recoup Sorting Update Api Failure' and not exists (select 1 from app.cronaction c2 where c2.crontaskid = c.crontaskid) and cat.description = 'NONE';</v>
      </c>
      <c r="M36" t="s">
        <v>138</v>
      </c>
    </row>
    <row r="37" spans="1:13" x14ac:dyDescent="0.2">
      <c r="A37">
        <v>121</v>
      </c>
      <c r="B37">
        <f t="shared" si="5"/>
        <v>122</v>
      </c>
      <c r="C37" t="s">
        <v>18</v>
      </c>
      <c r="D37" t="s">
        <v>139</v>
      </c>
      <c r="E37" t="s">
        <v>140</v>
      </c>
      <c r="F37" t="s">
        <v>14</v>
      </c>
      <c r="G37" s="1" t="s">
        <v>22</v>
      </c>
      <c r="H37" t="str">
        <f t="shared" si="2"/>
        <v>insert into app.requesttype(requesttypeid, approute, description, longdescription) select (select max(r.requesttypeid) from app.requesttype r) + 1 requesttypeid, 121, 'db-alert-routed-cancelled', 'db-alert-routed-cancelled' where not exists (select 1 from app.requesttype r2 where r2.approute = 121 );</v>
      </c>
      <c r="I37" t="str">
        <f t="shared" si="3"/>
        <v>insert into app.requesttype(requesttypeid, approute, description, longdescription) select (select max(r.requesttypeid) from app.requesttype r) + 1 requesttypeid, 122, 'db-alert-routed-cancelled Interactive', 'db-alert-routed-cancelled Interactive' where not exists (select 1 from app.requesttype r2 where r2.approute = 122 );</v>
      </c>
      <c r="J37" t="str">
        <f t="shared" si="4"/>
        <v>insert into app.statemachinerepo(statemachine, description, requesttypeid) select 'tbd-' || rt.description, 'tbd-' || rt.description, rt.requesttypeid from app.requesttype rt where rt.description = 'db-alert-routed-cancelled' and not exists (select 1 from app.statemachinerepo sr where sr.description = 'tbd-db-alert-routed-cancelled');</v>
      </c>
      <c r="K37" s="16" t="str" cm="1">
        <f t="array" ref="K37">"insert into app.cronaction (CronTaskId, CronActionTypeId, Payload, CreatedBy, LastUpdatedBy) select c.crontaskid, cat.CronActionTypeId,'{""EmailTextOnError"":""tbd"",""TaskName"":""" &amp; E37 &amp; """,
""StateMachine"":""" &amp; IF(ISNUMBER(SEARCH("DB Alert", E)), "wms-tools-state-machine-db-alert", """ wms-tools-state-machine-" &amp; D37 &amp; "" ) &amp; """,
"" Lambda "":"" &amp; C2 &amp; "",
""RequestType"":""" &amp; D37 &amp;"""}','sysuser', 'sysuser' from app.cronactiontype cat, app.crontasks c where c.description = '" &amp; E37 &amp; "' and not exists (select 1 from app.cronaction c2 where c2.crontaskid = c.crontaskid) and cat.description = 'NONE';"</f>
        <v>insert into app.cronaction (CronTaskId, CronActionTypeId, Payload, CreatedBy, LastUpdatedBy) select c.crontaskid, cat.CronActionTypeId,'{"EmailTextOnError":"tbd","TaskName":"DB Alert: Routed Orders Cancelled",
"StateMachine":"" wms-tools-state-machine-db-alert-routed-cancelled",
" Lambda ":" &amp; C2 &amp; ",
"RequestType":"db-alert-routed-cancelled"}','sysuser', 'sysuser' from app.cronactiontype cat, app.crontasks c where c.description = 'DB Alert: Routed Orders Cancelled' and not exists (select 1 from app.cronaction c2 where c2.crontaskid = c.crontaskid) and cat.description = 'NONE';</v>
      </c>
      <c r="L37" s="16" t="str">
        <f t="shared" si="1"/>
        <v>insert into app.cronaction (CronTaskId, CronActionTypeId, Payload, CreatedBy, LastUpdatedBy) select c.crontaskid, cat.CronActionTypeId,'{"EmailTextOnError":"tbd","TaskName":"DB Alert: Routed Orders Cancelled",
"StateMachine":"wms-tools-state-machine-db-alert",
" Lambda ":"wms-tools-lambda-db-alert",
"RequestType":"db-alert-routed-cancelled"}','sysuser', 'sysuser' from app.cronactiontype cat, app.crontasks c where c.description = 'DB Alert: Routed Orders Cancelled' and not exists (select 1 from app.cronaction c2 where c2.crontaskid = c.crontaskid) and cat.description = 'NONE';</v>
      </c>
      <c r="M37" t="s">
        <v>141</v>
      </c>
    </row>
    <row r="38" spans="1:13" x14ac:dyDescent="0.2">
      <c r="A38">
        <v>123</v>
      </c>
      <c r="B38">
        <f t="shared" si="5"/>
        <v>124</v>
      </c>
      <c r="C38" t="s">
        <v>18</v>
      </c>
      <c r="D38" t="s">
        <v>142</v>
      </c>
      <c r="E38" t="s">
        <v>143</v>
      </c>
      <c r="F38" t="s">
        <v>14</v>
      </c>
      <c r="G38" s="1" t="s">
        <v>22</v>
      </c>
      <c r="H38" t="str">
        <f t="shared" si="2"/>
        <v>insert into app.requesttype(requesttypeid, approute, description, longdescription) select (select max(r.requesttypeid) from app.requesttype r) + 1 requesttypeid, 123, 'db-alert-pix-spec-gt1h', 'db-alert-pix-spec-gt1h' where not exists (select 1 from app.requesttype r2 where r2.approute = 123 );</v>
      </c>
      <c r="I38" t="str">
        <f t="shared" si="3"/>
        <v>insert into app.requesttype(requesttypeid, approute, description, longdescription) select (select max(r.requesttypeid) from app.requesttype r) + 1 requesttypeid, 124, 'db-alert-pix-spec-gt1h Interactive', 'db-alert-pix-spec-gt1h Interactive' where not exists (select 1 from app.requesttype r2 where r2.approute = 124 );</v>
      </c>
      <c r="J38" t="str">
        <f t="shared" si="4"/>
        <v>insert into app.statemachinerepo(statemachine, description, requesttypeid) select 'tbd-' || rt.description, 'tbd-' || rt.description, rt.requesttypeid from app.requesttype rt where rt.description = 'db-alert-pix-spec-gt1h' and not exists (select 1 from app.statemachinerepo sr where sr.description = 'tbd-db-alert-pix-spec-gt1h');</v>
      </c>
      <c r="K38" s="16" t="str" cm="1">
        <f t="array" ref="K38">"insert into app.cronaction (CronTaskId, CronActionTypeId, Payload, CreatedBy, LastUpdatedBy) select c.crontaskid, cat.CronActionTypeId,'{""EmailTextOnError"":""tbd"",""TaskName"":""" &amp; E38 &amp; """,
""StateMachine"":""" &amp; IF(ISNUMBER(SEARCH("DB Alert", E)), "wms-tools-state-machine-db-alert", """ wms-tools-state-machine-" &amp; D38 &amp; "" ) &amp; """,
"" Lambda "":"" &amp; C2 &amp; "",
""RequestType"":""" &amp; D38 &amp;"""}','sysuser', 'sysuser' from app.cronactiontype cat, app.crontasks c where c.description = '" &amp; E38 &amp; "' and not exists (select 1 from app.cronaction c2 where c2.crontaskid = c.crontaskid) and cat.description = 'NONE';"</f>
        <v>insert into app.cronaction (CronTaskId, CronActionTypeId, Payload, CreatedBy, LastUpdatedBy) select c.crontaskid, cat.CronActionTypeId,'{"EmailTextOnError":"tbd","TaskName":"DB Alert: MAWM PIX Specification Found &gt; 1 Hour",
"StateMachine":"" wms-tools-state-machine-db-alert-pix-spec-gt1h",
" Lambda ":" &amp; C2 &amp; ",
"RequestType":"db-alert-pix-spec-gt1h"}','sysuser', 'sysuser' from app.cronactiontype cat, app.crontasks c where c.description = 'DB Alert: MAWM PIX Specification Found &gt; 1 Hour' and not exists (select 1 from app.cronaction c2 where c2.crontaskid = c.crontaskid) and cat.description = 'NONE';</v>
      </c>
      <c r="L38" s="16" t="str">
        <f t="shared" si="1"/>
        <v>insert into app.cronaction (CronTaskId, CronActionTypeId, Payload, CreatedBy, LastUpdatedBy) select c.crontaskid, cat.CronActionTypeId,'{"EmailTextOnError":"tbd","TaskName":"DB Alert: MAWM PIX Specification Found &gt; 1 Hour",
"StateMachine":"wms-tools-state-machine-db-alert",
" Lambda ":"wms-tools-lambda-db-alert",
"RequestType":"db-alert-pix-spec-gt1h"}','sysuser', 'sysuser' from app.cronactiontype cat, app.crontasks c where c.description = 'DB Alert: MAWM PIX Specification Found &gt; 1 Hour' and not exists (select 1 from app.cronaction c2 where c2.crontaskid = c.crontaskid) and cat.description = 'NONE';</v>
      </c>
      <c r="M38" t="s">
        <v>144</v>
      </c>
    </row>
    <row r="39" spans="1:13" x14ac:dyDescent="0.2">
      <c r="A39">
        <v>125</v>
      </c>
      <c r="B39">
        <f t="shared" si="5"/>
        <v>126</v>
      </c>
      <c r="C39" t="s">
        <v>18</v>
      </c>
      <c r="D39" t="s">
        <v>145</v>
      </c>
      <c r="E39" t="s">
        <v>146</v>
      </c>
      <c r="F39" t="s">
        <v>14</v>
      </c>
      <c r="G39" s="1" t="s">
        <v>22</v>
      </c>
      <c r="H39" t="str">
        <f t="shared" si="2"/>
        <v>insert into app.requesttype(requesttypeid, approute, description, longdescription) select (select max(r.requesttypeid) from app.requesttype r) + 1 requesttypeid, 125, 'db-alert-shipconf-24h-fail', 'db-alert-shipconf-24h-fail' where not exists (select 1 from app.requesttype r2 where r2.approute = 125 );</v>
      </c>
      <c r="I39" t="str">
        <f t="shared" si="3"/>
        <v>insert into app.requesttype(requesttypeid, approute, description, longdescription) select (select max(r.requesttypeid) from app.requesttype r) + 1 requesttypeid, 126, 'db-alert-shipconf-24h-fail Interactive', 'db-alert-shipconf-24h-fail Interactive' where not exists (select 1 from app.requesttype r2 where r2.approute = 126 );</v>
      </c>
      <c r="J39" t="str">
        <f t="shared" si="4"/>
        <v>insert into app.statemachinerepo(statemachine, description, requesttypeid) select 'tbd-' || rt.description, 'tbd-' || rt.description, rt.requesttypeid from app.requesttype rt where rt.description = 'db-alert-shipconf-24h-fail' and not exists (select 1 from app.statemachinerepo sr where sr.description = 'tbd-db-alert-shipconf-24h-fail');</v>
      </c>
      <c r="K39" s="16" t="str" cm="1">
        <f t="array" ref="K39">"insert into app.cronaction (CronTaskId, CronActionTypeId, Payload, CreatedBy, LastUpdatedBy) select c.crontaskid, cat.CronActionTypeId,'{""EmailTextOnError"":""tbd"",""TaskName"":""" &amp; E39 &amp; """,
""StateMachine"":""" &amp; IF(ISNUMBER(SEARCH("DB Alert", E)), "wms-tools-state-machine-db-alert", """ wms-tools-state-machine-" &amp; D39 &amp; "" ) &amp; """,
"" Lambda "":"" &amp; C2 &amp; "",
""RequestType"":""" &amp; D39 &amp;"""}','sysuser', 'sysuser' from app.cronactiontype cat, app.crontasks c where c.description = '" &amp; E39 &amp; "' and not exists (select 1 from app.cronaction c2 where c2.crontaskid = c.crontaskid) and cat.description = 'NONE';"</f>
        <v>insert into app.cronaction (CronTaskId, CronActionTypeId, Payload, CreatedBy, LastUpdatedBy) select c.crontaskid, cat.CronActionTypeId,'{"EmailTextOnError":"tbd","TaskName":"DB Alert: MAWM Unprocessed Or Failed Ship Confirms Last 24 Hours",
"StateMachine":"" wms-tools-state-machine-db-alert-shipconf-24h-fail",
" Lambda ":" &amp; C2 &amp; ",
"RequestType":"db-alert-shipconf-24h-fail"}','sysuser', 'sysuser' from app.cronactiontype cat, app.crontasks c where c.description = 'DB Alert: MAWM Unprocessed Or Failed Ship Confirms Last 24 Hours' and not exists (select 1 from app.cronaction c2 where c2.crontaskid = c.crontaskid) and cat.description = 'NONE';</v>
      </c>
      <c r="L39" s="16" t="str">
        <f t="shared" si="1"/>
        <v>insert into app.cronaction (CronTaskId, CronActionTypeId, Payload, CreatedBy, LastUpdatedBy) select c.crontaskid, cat.CronActionTypeId,'{"EmailTextOnError":"tbd","TaskName":"DB Alert: MAWM Unprocessed Or Failed Ship Confirms Last 24 Hours",
"StateMachine":"wms-tools-state-machine-db-alert",
" Lambda ":"wms-tools-lambda-db-alert",
"RequestType":"db-alert-shipconf-24h-fail"}','sysuser', 'sysuser' from app.cronactiontype cat, app.crontasks c where c.description = 'DB Alert: MAWM Unprocessed Or Failed Ship Confirms Last 24 Hours' and not exists (select 1 from app.cronaction c2 where c2.crontaskid = c.crontaskid) and cat.description = 'NONE';</v>
      </c>
      <c r="M39" t="s">
        <v>147</v>
      </c>
    </row>
    <row r="40" spans="1:13" x14ac:dyDescent="0.2">
      <c r="A40">
        <v>127</v>
      </c>
      <c r="B40">
        <f t="shared" si="5"/>
        <v>128</v>
      </c>
      <c r="C40" t="s">
        <v>148</v>
      </c>
      <c r="D40" t="s">
        <v>149</v>
      </c>
      <c r="E40" t="s">
        <v>150</v>
      </c>
      <c r="F40" t="s">
        <v>14</v>
      </c>
      <c r="G40" s="1" t="s">
        <v>15</v>
      </c>
      <c r="H40" t="str">
        <f t="shared" si="2"/>
        <v>insert into app.requesttype(requesttypeid, approute, description, longdescription) select (select max(r.requesttypeid) from app.requesttype r) + 1 requesttypeid, 127, 'slot-pack-fail', 'slot-pack-fail' where not exists (select 1 from app.requesttype r2 where r2.approute = 127 );</v>
      </c>
      <c r="I40" t="str">
        <f t="shared" si="3"/>
        <v>insert into app.requesttype(requesttypeid, approute, description, longdescription) select (select max(r.requesttypeid) from app.requesttype r) + 1 requesttypeid, 128, 'slot-pack-fail Interactive', 'slot-pack-fail Interactive' where not exists (select 1 from app.requesttype r2 where r2.approute = 128 );</v>
      </c>
      <c r="J40" t="str">
        <f t="shared" si="4"/>
        <v>insert into app.statemachinerepo(statemachine, description, requesttypeid) select 'tbd-' || rt.description, 'tbd-' || rt.description, rt.requesttypeid from app.requesttype rt where rt.description = 'slot-pack-fail' and not exists (select 1 from app.statemachinerepo sr where sr.description = 'tbd-slot-pack-fail');</v>
      </c>
      <c r="K40" s="16" t="str" cm="1">
        <f t="array" ref="K40">"insert into app.cronaction (CronTaskId, CronActionTypeId, Payload, CreatedBy, LastUpdatedBy) select c.crontaskid, cat.CronActionTypeId,'{""EmailTextOnError"":""tbd"",""TaskName"":""" &amp; E40 &amp; """,
""StateMachine"":""" &amp; IF(ISNUMBER(SEARCH("DB Alert", E)), "wms-tools-state-machine-db-alert", """ wms-tools-state-machine-" &amp; D40 &amp; "" ) &amp; """,
"" Lambda "":"" &amp; C2 &amp; "",
""RequestType"":""" &amp; D40 &amp;"""}','sysuser', 'sysuser' from app.cronactiontype cat, app.crontasks c where c.description = '" &amp; E40 &amp; "' and not exists (select 1 from app.cronaction c2 where c2.crontaskid = c.crontaskid) and cat.description = 'NONE';"</f>
        <v>insert into app.cronaction (CronTaskId, CronActionTypeId, Payload, CreatedBy, LastUpdatedBy) select c.crontaskid, cat.CronActionTypeId,'{"EmailTextOnError":"tbd","TaskName":"Slotting Item Demand Pack Failure",
"StateMachine":"" wms-tools-state-machine-slot-pack-fail",
" Lambda ":" &amp; C2 &amp; ",
"RequestType":"slot-pack-fail"}','sysuser', 'sysuser' from app.cronactiontype cat, app.crontasks c where c.description = 'Slotting Item Demand Pack Failure' and not exists (select 1 from app.cronaction c2 where c2.crontaskid = c.crontaskid) and cat.description = 'NONE';</v>
      </c>
      <c r="L40" s="16" t="str">
        <f t="shared" si="1"/>
        <v>insert into app.cronaction (CronTaskId, CronActionTypeId, Payload, CreatedBy, LastUpdatedBy) select c.crontaskid, cat.CronActionTypeId,'{"EmailTextOnError":"tbd","TaskName":"Slotting Item Demand Pack Failure",
"StateMachine":"" wms-tools-state-machine-slot-pack-fail",
" Lambda ":"wms-tools-lambda-slot-pack-fail",
"RequestType":"slot-pack-fail"}','sysuser', 'sysuser' from app.cronactiontype cat, app.crontasks c where c.description = 'Slotting Item Demand Pack Failure' and not exists (select 1 from app.cronaction c2 where c2.crontaskid = c.crontaskid) and cat.description = 'NONE';</v>
      </c>
      <c r="M40" t="s">
        <v>151</v>
      </c>
    </row>
    <row r="41" spans="1:13" x14ac:dyDescent="0.2">
      <c r="A41">
        <v>129</v>
      </c>
      <c r="B41">
        <f t="shared" si="5"/>
        <v>130</v>
      </c>
      <c r="C41" t="s">
        <v>152</v>
      </c>
      <c r="D41" t="s">
        <v>153</v>
      </c>
      <c r="E41" t="s">
        <v>154</v>
      </c>
      <c r="F41" t="s">
        <v>14</v>
      </c>
      <c r="G41" s="1" t="s">
        <v>15</v>
      </c>
      <c r="H41" t="str">
        <f t="shared" si="2"/>
        <v>insert into app.requesttype(requesttypeid, approute, description, longdescription) select (select max(r.requesttypeid) from app.requesttype r) + 1 requesttypeid, 129, 'slot-unit-fail', 'slot-unit-fail' where not exists (select 1 from app.requesttype r2 where r2.approute = 129 );</v>
      </c>
      <c r="I41" t="str">
        <f t="shared" si="3"/>
        <v>insert into app.requesttype(requesttypeid, approute, description, longdescription) select (select max(r.requesttypeid) from app.requesttype r) + 1 requesttypeid, 130, 'slot-unit-fail Interactive', 'slot-unit-fail Interactive' where not exists (select 1 from app.requesttype r2 where r2.approute = 130 );</v>
      </c>
      <c r="J41" t="str">
        <f t="shared" si="4"/>
        <v>insert into app.statemachinerepo(statemachine, description, requesttypeid) select 'tbd-' || rt.description, 'tbd-' || rt.description, rt.requesttypeid from app.requesttype rt where rt.description = 'slot-unit-fail' and not exists (select 1 from app.statemachinerepo sr where sr.description = 'tbd-slot-unit-fail');</v>
      </c>
      <c r="K41" s="16" t="str" cm="1">
        <f t="array" ref="K41">"insert into app.cronaction (CronTaskId, CronActionTypeId, Payload, CreatedBy, LastUpdatedBy) select c.crontaskid, cat.CronActionTypeId,'{""EmailTextOnError"":""tbd"",""TaskName"":""" &amp; E41 &amp; """,
""StateMachine"":""" &amp; IF(ISNUMBER(SEARCH("DB Alert", E)), "wms-tools-state-machine-db-alert", """ wms-tools-state-machine-" &amp; D41 &amp; "" ) &amp; """,
"" Lambda "":"" &amp; C2 &amp; "",
""RequestType"":""" &amp; D41 &amp;"""}','sysuser', 'sysuser' from app.cronactiontype cat, app.crontasks c where c.description = '" &amp; E41 &amp; "' and not exists (select 1 from app.cronaction c2 where c2.crontaskid = c.crontaskid) and cat.description = 'NONE';"</f>
        <v>insert into app.cronaction (CronTaskId, CronActionTypeId, Payload, CreatedBy, LastUpdatedBy) select c.crontaskid, cat.CronActionTypeId,'{"EmailTextOnError":"tbd","TaskName":"Slotting Item Demand Unit Failure",
"StateMachine":"" wms-tools-state-machine-slot-unit-fail",
" Lambda ":" &amp; C2 &amp; ",
"RequestType":"slot-unit-fail"}','sysuser', 'sysuser' from app.cronactiontype cat, app.crontasks c where c.description = 'Slotting Item Demand Unit Failure' and not exists (select 1 from app.cronaction c2 where c2.crontaskid = c.crontaskid) and cat.description = 'NONE';</v>
      </c>
      <c r="L41" s="16" t="str">
        <f t="shared" si="1"/>
        <v>insert into app.cronaction (CronTaskId, CronActionTypeId, Payload, CreatedBy, LastUpdatedBy) select c.crontaskid, cat.CronActionTypeId,'{"EmailTextOnError":"tbd","TaskName":"Slotting Item Demand Unit Failure",
"StateMachine":"" wms-tools-state-machine-slot-unit-fail",
" Lambda ":"wms-tools-lambda-slot-unit-fail",
"RequestType":"slot-unit-fail"}','sysuser', 'sysuser' from app.cronactiontype cat, app.crontasks c where c.description = 'Slotting Item Demand Unit Failure' and not exists (select 1 from app.cronaction c2 where c2.crontaskid = c.crontaskid) and cat.description = 'NONE';</v>
      </c>
      <c r="M41" t="s">
        <v>155</v>
      </c>
    </row>
    <row r="42" spans="1:13" x14ac:dyDescent="0.2">
      <c r="A42">
        <v>131</v>
      </c>
      <c r="B42">
        <f t="shared" si="5"/>
        <v>132</v>
      </c>
      <c r="C42" t="s">
        <v>156</v>
      </c>
      <c r="D42" t="s">
        <v>157</v>
      </c>
      <c r="E42" t="s">
        <v>158</v>
      </c>
      <c r="F42" t="s">
        <v>14</v>
      </c>
      <c r="G42" s="1" t="s">
        <v>15</v>
      </c>
      <c r="H42" t="str">
        <f t="shared" si="2"/>
        <v>insert into app.requesttype(requesttypeid, approute, description, longdescription) select (select max(r.requesttypeid) from app.requesttype r) + 1 requesttypeid, 131, 'lia-delpk-api-fail', 'lia-delpk-api-fail' where not exists (select 1 from app.requesttype r2 where r2.approute = 131 );</v>
      </c>
      <c r="I42" t="str">
        <f t="shared" si="3"/>
        <v>insert into app.requesttype(requesttypeid, approute, description, longdescription) select (select max(r.requesttypeid) from app.requesttype r) + 1 requesttypeid, 132, 'lia-delpk-api-fail Interactive', 'lia-delpk-api-fail Interactive' where not exists (select 1 from app.requesttype r2 where r2.approute = 132 );</v>
      </c>
      <c r="J42" t="str">
        <f t="shared" si="4"/>
        <v>insert into app.statemachinerepo(statemachine, description, requesttypeid) select 'tbd-' || rt.description, 'tbd-' || rt.description, rt.requesttypeid from app.requesttype rt where rt.description = 'lia-delpk-api-fail' and not exists (select 1 from app.statemachinerepo sr where sr.description = 'tbd-lia-delpk-api-fail');</v>
      </c>
      <c r="K42" s="16" t="str" cm="1">
        <f t="array" ref="K42">"insert into app.cronaction (CronTaskId, CronActionTypeId, Payload, CreatedBy, LastUpdatedBy) select c.crontaskid, cat.CronActionTypeId,'{""EmailTextOnError"":""tbd"",""TaskName"":""" &amp; E42 &amp; """,
""StateMachine"":""" &amp; IF(ISNUMBER(SEARCH("DB Alert", E)), "wms-tools-state-machine-db-alert", """ wms-tools-state-machine-" &amp; D42 &amp; "" ) &amp; """,
"" Lambda "":"" &amp; C2 &amp; "",
""RequestType"":""" &amp; D42 &amp;"""}','sysuser', 'sysuser' from app.cronactiontype cat, app.crontasks c where c.description = '" &amp; E42 &amp; "' and not exists (select 1 from app.cronaction c2 where c2.crontaskid = c.crontaskid) and cat.description = 'NONE';"</f>
        <v>insert into app.cronaction (CronTaskId, CronActionTypeId, Payload, CreatedBy, LastUpdatedBy) select c.crontaskid, cat.CronActionTypeId,'{"EmailTextOnError":"tbd","TaskName":"Slotting Lia Delete Pk Records Api Failure",
"StateMachine":"" wms-tools-state-machine-lia-delpk-api-fail",
" Lambda ":" &amp; C2 &amp; ",
"RequestType":"lia-delpk-api-fail"}','sysuser', 'sysuser' from app.cronactiontype cat, app.crontasks c where c.description = 'Slotting Lia Delete Pk Records Api Failure' and not exists (select 1 from app.cronaction c2 where c2.crontaskid = c.crontaskid) and cat.description = 'NONE';</v>
      </c>
      <c r="L42" s="16" t="str">
        <f t="shared" si="1"/>
        <v>insert into app.cronaction (CronTaskId, CronActionTypeId, Payload, CreatedBy, LastUpdatedBy) select c.crontaskid, cat.CronActionTypeId,'{"EmailTextOnError":"tbd","TaskName":"Slotting Lia Delete Pk Records Api Failure",
"StateMachine":"" wms-tools-state-machine-lia-delpk-api-fail",
" Lambda ":"wms-tools-lambda-lia-delpk-api-fail",
"RequestType":"lia-delpk-api-fail"}','sysuser', 'sysuser' from app.cronactiontype cat, app.crontasks c where c.description = 'Slotting Lia Delete Pk Records Api Failure' and not exists (select 1 from app.cronaction c2 where c2.crontaskid = c.crontaskid) and cat.description = 'NONE';</v>
      </c>
      <c r="M42" t="s">
        <v>159</v>
      </c>
    </row>
    <row r="43" spans="1:13" x14ac:dyDescent="0.2">
      <c r="A43">
        <v>133</v>
      </c>
      <c r="B43">
        <f t="shared" si="5"/>
        <v>134</v>
      </c>
      <c r="C43" t="s">
        <v>18</v>
      </c>
      <c r="D43" t="s">
        <v>160</v>
      </c>
      <c r="E43" t="s">
        <v>161</v>
      </c>
      <c r="F43" t="s">
        <v>14</v>
      </c>
      <c r="G43" s="1" t="s">
        <v>22</v>
      </c>
      <c r="H43" t="str">
        <f t="shared" si="2"/>
        <v>insert into app.requesttype(requesttypeid, approute, description, longdescription) select (select max(r.requesttypeid) from app.requesttype r) + 1 requesttypeid, 133, 'db-alert-matm-spo-import', 'db-alert-matm-spo-import' where not exists (select 1 from app.requesttype r2 where r2.approute = 133 );</v>
      </c>
      <c r="I43" t="str">
        <f t="shared" si="3"/>
        <v>insert into app.requesttype(requesttypeid, approute, description, longdescription) select (select max(r.requesttypeid) from app.requesttype r) + 1 requesttypeid, 134, 'db-alert-matm-spo-import Interactive', 'db-alert-matm-spo-import Interactive' where not exists (select 1 from app.requesttype r2 where r2.approute = 134 );</v>
      </c>
      <c r="J43" t="str">
        <f t="shared" si="4"/>
        <v>insert into app.statemachinerepo(statemachine, description, requesttypeid) select 'tbd-' || rt.description, 'tbd-' || rt.description, rt.requesttypeid from app.requesttype rt where rt.description = 'db-alert-matm-spo-import' and not exists (select 1 from app.statemachinerepo sr where sr.description = 'tbd-db-alert-matm-spo-import');</v>
      </c>
      <c r="K43" s="16" t="str" cm="1">
        <f t="array" ref="K43">"insert into app.cronaction (CronTaskId, CronActionTypeId, Payload, CreatedBy, LastUpdatedBy) select c.crontaskid, cat.CronActionTypeId,'{""EmailTextOnError"":""tbd"",""TaskName"":""" &amp; E43 &amp; """,
""StateMachine"":""" &amp; IF(ISNUMBER(SEARCH("DB Alert", E)), "wms-tools-state-machine-db-alert", """ wms-tools-state-machine-" &amp; D43 &amp; "" ) &amp; """,
"" Lambda "":"" &amp; C2 &amp; "",
""RequestType"":""" &amp; D43 &amp;"""}','sysuser', 'sysuser' from app.cronactiontype cat, app.crontasks c where c.description = '" &amp; E43 &amp; "' and not exists (select 1 from app.cronaction c2 where c2.crontaskid = c.crontaskid) and cat.description = 'NONE';"</f>
        <v>insert into app.cronaction (CronTaskId, CronActionTypeId, Payload, CreatedBy, LastUpdatedBy) select c.crontaskid, cat.CronActionTypeId,'{"EmailTextOnError":"tbd","TaskName":"DB Alert: SPO Import Failure",
"StateMachine":"" wms-tools-state-machine-db-alert-matm-spo-import",
" Lambda ":" &amp; C2 &amp; ",
"RequestType":"db-alert-matm-spo-import"}','sysuser', 'sysuser' from app.cronactiontype cat, app.crontasks c where c.description = 'DB Alert: SPO Import Failure' and not exists (select 1 from app.cronaction c2 where c2.crontaskid = c.crontaskid) and cat.description = 'NONE';</v>
      </c>
      <c r="L43" s="16" t="str">
        <f t="shared" si="1"/>
        <v>insert into app.cronaction (CronTaskId, CronActionTypeId, Payload, CreatedBy, LastUpdatedBy) select c.crontaskid, cat.CronActionTypeId,'{"EmailTextOnError":"tbd","TaskName":"DB Alert: SPO Import Failure",
"StateMachine":"wms-tools-state-machine-db-alert",
" Lambda ":"wms-tools-lambda-db-alert",
"RequestType":"db-alert-matm-spo-import"}','sysuser', 'sysuser' from app.cronactiontype cat, app.crontasks c where c.description = 'DB Alert: SPO Import Failure' and not exists (select 1 from app.cronaction c2 where c2.crontaskid = c.crontaskid) and cat.description = 'NONE';</v>
      </c>
      <c r="M43" t="s">
        <v>162</v>
      </c>
    </row>
    <row r="44" spans="1:13" x14ac:dyDescent="0.2">
      <c r="A44">
        <v>135</v>
      </c>
      <c r="B44">
        <f t="shared" si="5"/>
        <v>136</v>
      </c>
      <c r="C44" t="s">
        <v>28</v>
      </c>
      <c r="D44" t="s">
        <v>163</v>
      </c>
      <c r="E44" t="s">
        <v>164</v>
      </c>
      <c r="F44" t="s">
        <v>14</v>
      </c>
      <c r="G44" s="1" t="s">
        <v>22</v>
      </c>
      <c r="H44" t="str">
        <f t="shared" si="2"/>
        <v>insert into app.requesttype(requesttypeid, approute, description, longdescription) select (select max(r.requesttypeid) from app.requesttype r) + 1 requesttypeid, 135, 'db-alert-abq-travel-4m', 'db-alert-abq-travel-4m' where not exists (select 1 from app.requesttype r2 where r2.approute = 135 );</v>
      </c>
      <c r="I44" t="str">
        <f t="shared" si="3"/>
        <v>insert into app.requesttype(requesttypeid, approute, description, longdescription) select (select max(r.requesttypeid) from app.requesttype r) + 1 requesttypeid, 136, 'db-alert-abq-travel-4m Interactive', 'db-alert-abq-travel-4m Interactive' where not exists (select 1 from app.requesttype r2 where r2.approute = 136 );</v>
      </c>
      <c r="J44" t="str">
        <f t="shared" si="4"/>
        <v>insert into app.statemachinerepo(statemachine, description, requesttypeid) select 'tbd-' || rt.description, 'tbd-' || rt.description, rt.requesttypeid from app.requesttype rt where rt.description = 'db-alert-abq-travel-4m' and not exists (select 1 from app.statemachinerepo sr where sr.description = 'tbd-db-alert-abq-travel-4m');</v>
      </c>
      <c r="K44" s="16" t="str" cm="1">
        <f t="array" ref="K44">"insert into app.cronaction (CronTaskId, CronActionTypeId, Payload, CreatedBy, LastUpdatedBy) select c.crontaskid, cat.CronActionTypeId,'{""EmailTextOnError"":""tbd"",""TaskName"":""" &amp; E44 &amp; """,
""StateMachine"":""" &amp; IF(ISNUMBER(SEARCH("DB Alert", E)), "wms-tools-state-machine-db-alert", """ wms-tools-state-machine-" &amp; D44 &amp; "" ) &amp; """,
"" Lambda "":"" &amp; C2 &amp; "",
""RequestType"":""" &amp; D44 &amp;"""}','sysuser', 'sysuser' from app.cronactiontype cat, app.crontasks c where c.description = '" &amp; E44 &amp; "' and not exists (select 1 from app.cronaction c2 where c2.crontaskid = c.crontaskid) and cat.description = 'NONE';"</f>
        <v>insert into app.cronaction (CronTaskId, CronActionTypeId, Payload, CreatedBy, LastUpdatedBy) select c.crontaskid, cat.CronActionTypeId,'{"EmailTextOnError":"tbd","TaskName":"DB Alert: MAWM - Travel &gt; 4 Mins",
"StateMachine":"" wms-tools-state-machine-db-alert-abq-travel-4m",
" Lambda ":" &amp; C2 &amp; ",
"RequestType":"db-alert-abq-travel-4m"}','sysuser', 'sysuser' from app.cronactiontype cat, app.crontasks c where c.description = 'DB Alert: MAWM - Travel &gt; 4 Mins' and not exists (select 1 from app.cronaction c2 where c2.crontaskid = c.crontaskid) and cat.description = 'NONE';</v>
      </c>
      <c r="L44" s="16" t="str">
        <f t="shared" si="1"/>
        <v>insert into app.cronaction (CronTaskId, CronActionTypeId, Payload, CreatedBy, LastUpdatedBy) select c.crontaskid, cat.CronActionTypeId,'{"EmailTextOnError":"tbd","TaskName":"DB Alert: MAWM - Travel &gt; 4 Mins",
"StateMachine":"wms-tools-state-machine-db-alert",
" Lambda ":"wms-tools-lambda-oracle-db-alert",
"RequestType":"db-alert-abq-travel-4m"}','sysuser', 'sysuser' from app.cronactiontype cat, app.crontasks c where c.description = 'DB Alert: MAWM - Travel &gt; 4 Mins' and not exists (select 1 from app.cronaction c2 where c2.crontaskid = c.crontaskid) and cat.description = 'NONE';</v>
      </c>
      <c r="M44" t="s">
        <v>165</v>
      </c>
    </row>
    <row r="45" spans="1:13" x14ac:dyDescent="0.2">
      <c r="A45">
        <v>137</v>
      </c>
      <c r="B45">
        <f t="shared" si="5"/>
        <v>138</v>
      </c>
      <c r="C45" t="s">
        <v>28</v>
      </c>
      <c r="D45" t="s">
        <v>166</v>
      </c>
      <c r="E45" t="s">
        <v>167</v>
      </c>
      <c r="F45" t="s">
        <v>14</v>
      </c>
      <c r="G45" s="1" t="s">
        <v>22</v>
      </c>
      <c r="H45" t="str">
        <f t="shared" si="2"/>
        <v>insert into app.requesttype(requesttypeid, approute, description, longdescription) select (select max(r.requesttypeid) from app.requesttype r) + 1 requesttypeid, 137, 'db-alert-asn-no-verif-5d', 'db-alert-asn-no-verif-5d' where not exists (select 1 from app.requesttype r2 where r2.approute = 137 );</v>
      </c>
      <c r="I45" t="str">
        <f t="shared" si="3"/>
        <v>insert into app.requesttype(requesttypeid, approute, description, longdescription) select (select max(r.requesttypeid) from app.requesttype r) + 1 requesttypeid, 138, 'db-alert-asn-no-verif-5d Interactive', 'db-alert-asn-no-verif-5d Interactive' where not exists (select 1 from app.requesttype r2 where r2.approute = 138 );</v>
      </c>
      <c r="J45" t="str">
        <f t="shared" si="4"/>
        <v>insert into app.statemachinerepo(statemachine, description, requesttypeid) select 'tbd-' || rt.description, 'tbd-' || rt.description, rt.requesttypeid from app.requesttype rt where rt.description = 'db-alert-asn-no-verif-5d' and not exists (select 1 from app.statemachinerepo sr where sr.description = 'tbd-db-alert-asn-no-verif-5d');</v>
      </c>
      <c r="K45" s="16" t="str" cm="1">
        <f t="array" ref="K45">"insert into app.cronaction (CronTaskId, CronActionTypeId, Payload, CreatedBy, LastUpdatedBy) select c.crontaskid, cat.CronActionTypeId,'{""EmailTextOnError"":""tbd"",""TaskName"":""" &amp; E45 &amp; """,
""StateMachine"":""" &amp; IF(ISNUMBER(SEARCH("DB Alert", E)), "wms-tools-state-machine-db-alert", """ wms-tools-state-machine-" &amp; D45 &amp; "" ) &amp; """,
"" Lambda "":"" &amp; C2 &amp; "",
""RequestType"":""" &amp; D45 &amp;"""}','sysuser', 'sysuser' from app.cronactiontype cat, app.crontasks c where c.description = '" &amp; E45 &amp; "' and not exists (select 1 from app.cronaction c2 where c2.crontaskid = c.crontaskid) and cat.description = 'NONE';"</f>
        <v>insert into app.cronaction (CronTaskId, CronActionTypeId, Payload, CreatedBy, LastUpdatedBy) select c.crontaskid, cat.CronActionTypeId,'{"EmailTextOnError":"tbd","TaskName":"DB Alert: ASNs With No ASN Level Verification &gt; 5 Days",
"StateMachine":"" wms-tools-state-machine-db-alert-asn-no-verif-5d",
" Lambda ":" &amp; C2 &amp; ",
"RequestType":"db-alert-asn-no-verif-5d"}','sysuser', 'sysuser' from app.cronactiontype cat, app.crontasks c where c.description = 'DB Alert: ASNs With No ASN Level Verification &gt; 5 Days' and not exists (select 1 from app.cronaction c2 where c2.crontaskid = c.crontaskid) and cat.description = 'NONE';</v>
      </c>
      <c r="L45" s="16" t="str">
        <f t="shared" si="1"/>
        <v>insert into app.cronaction (CronTaskId, CronActionTypeId, Payload, CreatedBy, LastUpdatedBy) select c.crontaskid, cat.CronActionTypeId,'{"EmailTextOnError":"tbd","TaskName":"DB Alert: ASNs With No ASN Level Verification &gt; 5 Days",
"StateMachine":"wms-tools-state-machine-db-alert",
" Lambda ":"wms-tools-lambda-oracle-db-alert",
"RequestType":"db-alert-asn-no-verif-5d"}','sysuser', 'sysuser' from app.cronactiontype cat, app.crontasks c where c.description = 'DB Alert: ASNs With No ASN Level Verification &gt; 5 Days' and not exists (select 1 from app.cronaction c2 where c2.crontaskid = c.crontaskid) and cat.description = 'NONE';</v>
      </c>
      <c r="M45" t="s">
        <v>168</v>
      </c>
    </row>
    <row r="46" spans="1:13" x14ac:dyDescent="0.2">
      <c r="A46">
        <v>139</v>
      </c>
      <c r="B46">
        <f t="shared" si="5"/>
        <v>140</v>
      </c>
      <c r="C46" t="s">
        <v>18</v>
      </c>
      <c r="D46" t="s">
        <v>169</v>
      </c>
      <c r="E46" t="s">
        <v>170</v>
      </c>
      <c r="F46" t="s">
        <v>14</v>
      </c>
      <c r="G46" s="1" t="s">
        <v>22</v>
      </c>
      <c r="H46" t="str">
        <f t="shared" si="2"/>
        <v>insert into app.requesttype(requesttypeid, approute, description, longdescription) select (select max(r.requesttypeid) from app.requesttype r) + 1 requesttypeid, 139, 'db-alert-ilpns-miss-phys', 'db-alert-ilpns-miss-phys' where not exists (select 1 from app.requesttype r2 where r2.approute = 139 );</v>
      </c>
      <c r="I46" t="str">
        <f t="shared" si="3"/>
        <v>insert into app.requesttype(requesttypeid, approute, description, longdescription) select (select max(r.requesttypeid) from app.requesttype r) + 1 requesttypeid, 140, 'db-alert-ilpns-miss-phys Interactive', 'db-alert-ilpns-miss-phys Interactive' where not exists (select 1 from app.requesttype r2 where r2.approute = 140 );</v>
      </c>
      <c r="J46" t="str">
        <f t="shared" si="4"/>
        <v>insert into app.statemachinerepo(statemachine, description, requesttypeid) select 'tbd-' || rt.description, 'tbd-' || rt.description, rt.requesttypeid from app.requesttype rt where rt.description = 'db-alert-ilpns-miss-phys' and not exists (select 1 from app.statemachinerepo sr where sr.description = 'tbd-db-alert-ilpns-miss-phys');</v>
      </c>
      <c r="K46" s="16" t="str" cm="1">
        <f t="array" ref="K46">"insert into app.cronaction (CronTaskId, CronActionTypeId, Payload, CreatedBy, LastUpdatedBy) select c.crontaskid, cat.CronActionTypeId,'{""EmailTextOnError"":""tbd"",""TaskName"":""" &amp; E46 &amp; """,
""StateMachine"":""" &amp; IF(ISNUMBER(SEARCH("DB Alert", E)), "wms-tools-state-machine-db-alert", """ wms-tools-state-machine-" &amp; D46 &amp; "" ) &amp; """,
"" Lambda "":"" &amp; C2 &amp; "",
""RequestType"":""" &amp; D46 &amp;"""}','sysuser', 'sysuser' from app.cronactiontype cat, app.crontasks c where c.description = '" &amp; E46 &amp; "' and not exists (select 1 from app.cronaction c2 where c2.crontaskid = c.crontaskid) and cat.description = 'NONE';"</f>
        <v>insert into app.cronaction (CronTaskId, CronActionTypeId, Payload, CreatedBy, LastUpdatedBy) select c.crontaskid, cat.CronActionTypeId,'{"EmailTextOnError":"tbd","TaskName":"DB Alert: iLPNS with Missing Physical Entity codeid",
"StateMachine":"" wms-tools-state-machine-db-alert-ilpns-miss-phys",
" Lambda ":" &amp; C2 &amp; ",
"RequestType":"db-alert-ilpns-miss-phys"}','sysuser', 'sysuser' from app.cronactiontype cat, app.crontasks c where c.description = 'DB Alert: iLPNS with Missing Physical Entity codeid' and not exists (select 1 from app.cronaction c2 where c2.crontaskid = c.crontaskid) and cat.description = 'NONE';</v>
      </c>
      <c r="L46" s="16" t="str">
        <f t="shared" si="1"/>
        <v>insert into app.cronaction (CronTaskId, CronActionTypeId, Payload, CreatedBy, LastUpdatedBy) select c.crontaskid, cat.CronActionTypeId,'{"EmailTextOnError":"tbd","TaskName":"DB Alert: iLPNS with Missing Physical Entity codeid",
"StateMachine":"wms-tools-state-machine-db-alert",
" Lambda ":"wms-tools-lambda-db-alert",
"RequestType":"db-alert-ilpns-miss-phys"}','sysuser', 'sysuser' from app.cronactiontype cat, app.crontasks c where c.description = 'DB Alert: iLPNS with Missing Physical Entity codeid' and not exists (select 1 from app.cronaction c2 where c2.crontaskid = c.crontaskid) and cat.description = 'NONE';</v>
      </c>
      <c r="M46" t="s">
        <v>171</v>
      </c>
    </row>
    <row r="47" spans="1:13" x14ac:dyDescent="0.2">
      <c r="A47">
        <v>141</v>
      </c>
      <c r="B47">
        <f t="shared" si="5"/>
        <v>142</v>
      </c>
      <c r="C47" t="s">
        <v>18</v>
      </c>
      <c r="D47" t="s">
        <v>172</v>
      </c>
      <c r="E47" t="s">
        <v>173</v>
      </c>
      <c r="F47" t="s">
        <v>14</v>
      </c>
      <c r="G47" s="1" t="s">
        <v>22</v>
      </c>
      <c r="H47" t="str">
        <f t="shared" si="2"/>
        <v>insert into app.requesttype(requesttypeid, approute, description, longdescription) select (select max(r.requesttypeid) from app.requesttype r) + 1 requesttypeid, 141, 'db-alert-loc-pos-street', 'db-alert-loc-pos-street' where not exists (select 1 from app.requesttype r2 where r2.approute = 141 );</v>
      </c>
      <c r="I47" t="str">
        <f t="shared" si="3"/>
        <v>insert into app.requesttype(requesttypeid, approute, description, longdescription) select (select max(r.requesttypeid) from app.requesttype r) + 1 requesttypeid, 142, 'db-alert-loc-pos-street Interactive', 'db-alert-loc-pos-street Interactive' where not exists (select 1 from app.requesttype r2 where r2.approute = 142 );</v>
      </c>
      <c r="J47" t="str">
        <f t="shared" si="4"/>
        <v>insert into app.statemachinerepo(statemachine, description, requesttypeid) select 'tbd-' || rt.description, 'tbd-' || rt.description, rt.requesttypeid from app.requesttype rt where rt.description = 'db-alert-loc-pos-street' and not exists (select 1 from app.statemachinerepo sr where sr.description = 'tbd-db-alert-loc-pos-street');</v>
      </c>
      <c r="K47" s="16" t="str" cm="1">
        <f t="array" ref="K47">"insert into app.cronaction (CronTaskId, CronActionTypeId, Payload, CreatedBy, LastUpdatedBy) select c.crontaskid, cat.CronActionTypeId,'{""EmailTextOnError"":""tbd"",""TaskName"":""" &amp; E47 &amp; """,
""StateMachine"":""" &amp; IF(ISNUMBER(SEARCH("DB Alert", E)), "wms-tools-state-machine-db-alert", """ wms-tools-state-machine-" &amp; D47 &amp; "" ) &amp; """,
"" Lambda "":"" &amp; C2 &amp; "",
""RequestType"":""" &amp; D47 &amp;"""}','sysuser', 'sysuser' from app.cronactiontype cat, app.crontasks c where c.description = '" &amp; E47 &amp; "' and not exists (select 1 from app.cronaction c2 where c2.crontaskid = c.crontaskid) and cat.description = 'NONE';"</f>
        <v>insert into app.cronaction (CronTaskId, CronActionTypeId, Payload, CreatedBy, LastUpdatedBy) select c.crontaskid, cat.CronActionTypeId,'{"EmailTextOnError":"tbd","TaskName":"DB Alert: Location Position &gt; Street Length",
"StateMachine":"" wms-tools-state-machine-db-alert-loc-pos-street",
" Lambda ":" &amp; C2 &amp; ",
"RequestType":"db-alert-loc-pos-street"}','sysuser', 'sysuser' from app.cronactiontype cat, app.crontasks c where c.description = 'DB Alert: Location Position &gt; Street Length' and not exists (select 1 from app.cronaction c2 where c2.crontaskid = c.crontaskid) and cat.description = 'NONE';</v>
      </c>
      <c r="L47" s="16" t="str">
        <f t="shared" si="1"/>
        <v>insert into app.cronaction (CronTaskId, CronActionTypeId, Payload, CreatedBy, LastUpdatedBy) select c.crontaskid, cat.CronActionTypeId,'{"EmailTextOnError":"tbd","TaskName":"DB Alert: Location Position &gt; Street Length",
"StateMachine":"wms-tools-state-machine-db-alert",
" Lambda ":"wms-tools-lambda-db-alert",
"RequestType":"db-alert-loc-pos-street"}','sysuser', 'sysuser' from app.cronactiontype cat, app.crontasks c where c.description = 'DB Alert: Location Position &gt; Street Length' and not exists (select 1 from app.cronaction c2 where c2.crontaskid = c.crontaskid) and cat.description = 'NONE';</v>
      </c>
      <c r="M47" t="s">
        <v>174</v>
      </c>
    </row>
    <row r="48" spans="1:13" x14ac:dyDescent="0.2">
      <c r="A48">
        <v>143</v>
      </c>
      <c r="B48">
        <f t="shared" si="5"/>
        <v>144</v>
      </c>
      <c r="C48" t="s">
        <v>18</v>
      </c>
      <c r="D48" t="s">
        <v>175</v>
      </c>
      <c r="E48" t="s">
        <v>176</v>
      </c>
      <c r="F48" t="s">
        <v>14</v>
      </c>
      <c r="G48" s="1" t="s">
        <v>22</v>
      </c>
      <c r="H48" t="str">
        <f t="shared" si="2"/>
        <v>insert into app.requesttype(requesttypeid, approute, description, longdescription) select (select max(r.requesttypeid) from app.requesttype r) + 1 requesttypeid, 143, 'db-alert-loc-inv-no-item', 'db-alert-loc-inv-no-item' where not exists (select 1 from app.requesttype r2 where r2.approute = 143 );</v>
      </c>
      <c r="I48" t="str">
        <f t="shared" si="3"/>
        <v>insert into app.requesttype(requesttypeid, approute, description, longdescription) select (select max(r.requesttypeid) from app.requesttype r) + 1 requesttypeid, 144, 'db-alert-loc-inv-no-item Interactive', 'db-alert-loc-inv-no-item Interactive' where not exists (select 1 from app.requesttype r2 where r2.approute = 144 );</v>
      </c>
      <c r="J48" t="str">
        <f t="shared" si="4"/>
        <v>insert into app.statemachinerepo(statemachine, description, requesttypeid) select 'tbd-' || rt.description, 'tbd-' || rt.description, rt.requesttypeid from app.requesttype rt where rt.description = 'db-alert-loc-inv-no-item' and not exists (select 1 from app.statemachinerepo sr where sr.description = 'tbd-db-alert-loc-inv-no-item');</v>
      </c>
      <c r="K48" s="16" t="str" cm="1">
        <f t="array" ref="K48">"insert into app.cronaction (CronTaskId, CronActionTypeId, Payload, CreatedBy, LastUpdatedBy) select c.crontaskid, cat.CronActionTypeId,'{""EmailTextOnError"":""tbd"",""TaskName"":""" &amp; E48 &amp; """,
""StateMachine"":""" &amp; IF(ISNUMBER(SEARCH("DB Alert", E)), "wms-tools-state-machine-db-alert", """ wms-tools-state-machine-" &amp; D48 &amp; "" ) &amp; """,
"" Lambda "":"" &amp; C2 &amp; "",
""RequestType"":""" &amp; D48 &amp;"""}','sysuser', 'sysuser' from app.cronactiontype cat, app.crontasks c where c.description = '" &amp; E48 &amp; "' and not exists (select 1 from app.cronaction c2 where c2.crontaskid = c.crontaskid) and cat.description = 'NONE';"</f>
        <v>insert into app.cronaction (CronTaskId, CronActionTypeId, Payload, CreatedBy, LastUpdatedBy) select c.crontaskid, cat.CronActionTypeId,'{"EmailTextOnError":"tbd","TaskName":"DB Alert: Locations W/ Inventory For Items Not Assigned",
"StateMachine":"" wms-tools-state-machine-db-alert-loc-inv-no-item",
" Lambda ":" &amp; C2 &amp; ",
"RequestType":"db-alert-loc-inv-no-item"}','sysuser', 'sysuser' from app.cronactiontype cat, app.crontasks c where c.description = 'DB Alert: Locations W/ Inventory For Items Not Assigned' and not exists (select 1 from app.cronaction c2 where c2.crontaskid = c.crontaskid) and cat.description = 'NONE';</v>
      </c>
      <c r="L48" s="16" t="str">
        <f t="shared" si="1"/>
        <v>insert into app.cronaction (CronTaskId, CronActionTypeId, Payload, CreatedBy, LastUpdatedBy) select c.crontaskid, cat.CronActionTypeId,'{"EmailTextOnError":"tbd","TaskName":"DB Alert: Locations W/ Inventory For Items Not Assigned",
"StateMachine":"wms-tools-state-machine-db-alert",
" Lambda ":"wms-tools-lambda-db-alert",
"RequestType":"db-alert-loc-inv-no-item"}','sysuser', 'sysuser' from app.cronactiontype cat, app.crontasks c where c.description = 'DB Alert: Locations W/ Inventory For Items Not Assigned' and not exists (select 1 from app.cronaction c2 where c2.crontaskid = c.crontaskid) and cat.description = 'NONE';</v>
      </c>
      <c r="M48" t="s">
        <v>177</v>
      </c>
    </row>
    <row r="49" spans="1:13" x14ac:dyDescent="0.2">
      <c r="A49">
        <v>145</v>
      </c>
      <c r="B49">
        <f t="shared" si="5"/>
        <v>146</v>
      </c>
      <c r="C49" t="s">
        <v>18</v>
      </c>
      <c r="D49" t="s">
        <v>178</v>
      </c>
      <c r="E49" t="s">
        <v>179</v>
      </c>
      <c r="F49" t="s">
        <v>14</v>
      </c>
      <c r="G49" s="1" t="s">
        <v>22</v>
      </c>
      <c r="H49" t="str">
        <f t="shared" si="2"/>
        <v>insert into app.requesttype(requesttypeid, approute, description, longdescription) select (select max(r.requesttypeid) from app.requesttype r) + 1 requesttypeid, 145, 'db-alert-user-def-config', 'db-alert-user-def-config' where not exists (select 1 from app.requesttype r2 where r2.approute = 145 );</v>
      </c>
      <c r="I49" t="str">
        <f t="shared" si="3"/>
        <v>insert into app.requesttype(requesttypeid, approute, description, longdescription) select (select max(r.requesttypeid) from app.requesttype r) + 1 requesttypeid, 146, 'db-alert-user-def-config Interactive', 'db-alert-user-def-config Interactive' where not exists (select 1 from app.requesttype r2 where r2.approute = 146 );</v>
      </c>
      <c r="J49" t="str">
        <f t="shared" si="4"/>
        <v>insert into app.statemachinerepo(statemachine, description, requesttypeid) select 'tbd-' || rt.description, 'tbd-' || rt.description, rt.requesttypeid from app.requesttype rt where rt.description = 'db-alert-user-def-config' and not exists (select 1 from app.statemachinerepo sr where sr.description = 'tbd-db-alert-user-def-config');</v>
      </c>
      <c r="K49" s="16" t="str" cm="1">
        <f t="array" ref="K49">"insert into app.cronaction (CronTaskId, CronActionTypeId, Payload, CreatedBy, LastUpdatedBy) select c.crontaskid, cat.CronActionTypeId,'{""EmailTextOnError"":""tbd"",""TaskName"":""" &amp; E49 &amp; """,
""StateMachine"":""" &amp; IF(ISNUMBER(SEARCH("DB Alert", E)), "wms-tools-state-machine-db-alert", """ wms-tools-state-machine-" &amp; D49 &amp; "" ) &amp; """,
"" Lambda "":"" &amp; C2 &amp; "",
""RequestType"":""" &amp; D49 &amp;"""}','sysuser', 'sysuser' from app.cronactiontype cat, app.crontasks c where c.description = '" &amp; E49 &amp; "' and not exists (select 1 from app.cronaction c2 where c2.crontaskid = c.crontaskid) and cat.description = 'NONE';"</f>
        <v>insert into app.cronaction (CronTaskId, CronActionTypeId, Payload, CreatedBy, LastUpdatedBy) select c.crontaskid, cat.CronActionTypeId,'{"EmailTextOnError":"tbd","TaskName":"DB Alert: Users W/ Incorrect User Default Configuration",
"StateMachine":"" wms-tools-state-machine-db-alert-user-def-config",
" Lambda ":" &amp; C2 &amp; ",
"RequestType":"db-alert-user-def-config"}','sysuser', 'sysuser' from app.cronactiontype cat, app.crontasks c where c.description = 'DB Alert: Users W/ Incorrect User Default Configuration' and not exists (select 1 from app.cronaction c2 where c2.crontaskid = c.crontaskid) and cat.description = 'NONE';</v>
      </c>
      <c r="L49" s="16" t="str">
        <f t="shared" si="1"/>
        <v>insert into app.cronaction (CronTaskId, CronActionTypeId, Payload, CreatedBy, LastUpdatedBy) select c.crontaskid, cat.CronActionTypeId,'{"EmailTextOnError":"tbd","TaskName":"DB Alert: Users W/ Incorrect User Default Configuration",
"StateMachine":"wms-tools-state-machine-db-alert",
" Lambda ":"wms-tools-lambda-db-alert",
"RequestType":"db-alert-user-def-config"}','sysuser', 'sysuser' from app.cronactiontype cat, app.crontasks c where c.description = 'DB Alert: Users W/ Incorrect User Default Configuration' and not exists (select 1 from app.cronaction c2 where c2.crontaskid = c.crontaskid) and cat.description = 'NONE';</v>
      </c>
      <c r="M49" t="s">
        <v>180</v>
      </c>
    </row>
    <row r="50" spans="1:13" x14ac:dyDescent="0.2">
      <c r="A50">
        <v>147</v>
      </c>
      <c r="B50">
        <f t="shared" si="5"/>
        <v>148</v>
      </c>
      <c r="C50" t="s">
        <v>18</v>
      </c>
      <c r="D50" t="s">
        <v>181</v>
      </c>
      <c r="E50" t="s">
        <v>182</v>
      </c>
      <c r="F50" t="s">
        <v>14</v>
      </c>
      <c r="G50" s="1" t="s">
        <v>22</v>
      </c>
      <c r="H50" t="str">
        <f t="shared" si="2"/>
        <v>insert into app.requesttype(requesttypeid, approute, description, longdescription) select (select max(r.requesttypeid) from app.requesttype r) + 1 requesttypeid, 147, 'db-alert-lpn-loc-notied', 'db-alert-lpn-loc-notied' where not exists (select 1 from app.requesttype r2 where r2.approute = 147 );</v>
      </c>
      <c r="I50" t="str">
        <f t="shared" si="3"/>
        <v>insert into app.requesttype(requesttypeid, approute, description, longdescription) select (select max(r.requesttypeid) from app.requesttype r) + 1 requesttypeid, 148, 'db-alert-lpn-loc-notied Interactive', 'db-alert-lpn-loc-notied Interactive' where not exists (select 1 from app.requesttype r2 where r2.approute = 148 );</v>
      </c>
      <c r="J50" t="str">
        <f t="shared" si="4"/>
        <v>insert into app.statemachinerepo(statemachine, description, requesttypeid) select 'tbd-' || rt.description, 'tbd-' || rt.description, rt.requesttypeid from app.requesttype rt where rt.description = 'db-alert-lpn-loc-notied' and not exists (select 1 from app.statemachinerepo sr where sr.description = 'tbd-db-alert-lpn-loc-notied');</v>
      </c>
      <c r="K50" s="16" t="str" cm="1">
        <f t="array" ref="K50">"insert into app.cronaction (CronTaskId, CronActionTypeId, Payload, CreatedBy, LastUpdatedBy) select c.crontaskid, cat.CronActionTypeId,'{""EmailTextOnError"":""tbd"",""TaskName"":""" &amp; E50 &amp; """,
""StateMachine"":""" &amp; IF(ISNUMBER(SEARCH("DB Alert", E)), "wms-tools-state-machine-db-alert", """ wms-tools-state-machine-" &amp; D50 &amp; "" ) &amp; """,
"" Lambda "":"" &amp; C2 &amp; "",
""RequestType"":""" &amp; D50 &amp;"""}','sysuser', 'sysuser' from app.cronactiontype cat, app.crontasks c where c.description = '" &amp; E50 &amp; "' and not exists (select 1 from app.cronaction c2 where c2.crontaskid = c.crontaskid) and cat.description = 'NONE';"</f>
        <v>insert into app.cronaction (CronTaskId, CronActionTypeId, Payload, CreatedBy, LastUpdatedBy) select c.crontaskid, cat.CronActionTypeId,'{"EmailTextOnError":"tbd","TaskName":"DB Alert: MAWM - Lpn Storage Locs With Inventory Not Tied To Lpn",
"StateMachine":"" wms-tools-state-machine-db-alert-lpn-loc-notied",
" Lambda ":" &amp; C2 &amp; ",
"RequestType":"db-alert-lpn-loc-notied"}','sysuser', 'sysuser' from app.cronactiontype cat, app.crontasks c where c.description = 'DB Alert: MAWM - Lpn Storage Locs With Inventory Not Tied To Lpn' and not exists (select 1 from app.cronaction c2 where c2.crontaskid = c.crontaskid) and cat.description = 'NONE';</v>
      </c>
      <c r="L50" s="16" t="str">
        <f t="shared" si="1"/>
        <v>insert into app.cronaction (CronTaskId, CronActionTypeId, Payload, CreatedBy, LastUpdatedBy) select c.crontaskid, cat.CronActionTypeId,'{"EmailTextOnError":"tbd","TaskName":"DB Alert: MAWM - Lpn Storage Locs With Inventory Not Tied To Lpn",
"StateMachine":"wms-tools-state-machine-db-alert",
" Lambda ":"wms-tools-lambda-db-alert",
"RequestType":"db-alert-lpn-loc-notied"}','sysuser', 'sysuser' from app.cronactiontype cat, app.crontasks c where c.description = 'DB Alert: MAWM - Lpn Storage Locs With Inventory Not Tied To Lpn' and not exists (select 1 from app.cronaction c2 where c2.crontaskid = c.crontaskid) and cat.description = 'NONE';</v>
      </c>
      <c r="M50" t="s">
        <v>183</v>
      </c>
    </row>
    <row r="51" spans="1:13" x14ac:dyDescent="0.2">
      <c r="A51">
        <v>149</v>
      </c>
      <c r="B51">
        <f t="shared" si="5"/>
        <v>150</v>
      </c>
      <c r="C51" t="s">
        <v>184</v>
      </c>
      <c r="D51" t="s">
        <v>185</v>
      </c>
      <c r="E51" t="s">
        <v>186</v>
      </c>
      <c r="F51" t="s">
        <v>14</v>
      </c>
      <c r="G51" s="1" t="s">
        <v>15</v>
      </c>
      <c r="H51" t="str">
        <f t="shared" si="2"/>
        <v>insert into app.requesttype(requesttypeid, approute, description, longdescription) select (select max(r.requesttypeid) from app.requesttype r) + 1 requesttypeid, 149, 'taskgrp-bulk-fail', 'taskgrp-bulk-fail' where not exists (select 1 from app.requesttype r2 where r2.approute = 149 );</v>
      </c>
      <c r="I51" t="str">
        <f t="shared" si="3"/>
        <v>insert into app.requesttype(requesttypeid, approute, description, longdescription) select (select max(r.requesttypeid) from app.requesttype r) + 1 requesttypeid, 150, 'taskgrp-bulk-fail Interactive', 'taskgrp-bulk-fail Interactive' where not exists (select 1 from app.requesttype r2 where r2.approute = 150 );</v>
      </c>
      <c r="J51" t="str">
        <f t="shared" si="4"/>
        <v>insert into app.statemachinerepo(statemachine, description, requesttypeid) select 'tbd-' || rt.description, 'tbd-' || rt.description, rt.requesttypeid from app.requesttype rt where rt.description = 'taskgrp-bulk-fail' and not exists (select 1 from app.statemachinerepo sr where sr.description = 'tbd-taskgrp-bulk-fail');</v>
      </c>
      <c r="K51" s="16" t="str" cm="1">
        <f t="array" ref="K51">"insert into app.cronaction (CronTaskId, CronActionTypeId, Payload, CreatedBy, LastUpdatedBy) select c.crontaskid, cat.CronActionTypeId,'{""EmailTextOnError"":""tbd"",""TaskName"":""" &amp; E51 &amp; """,
""StateMachine"":""" &amp; IF(ISNUMBER(SEARCH("DB Alert", E)), "wms-tools-state-machine-db-alert", """ wms-tools-state-machine-" &amp; D51 &amp; "" ) &amp; """,
"" Lambda "":"" &amp; C2 &amp; "",
""RequestType"":""" &amp; D51 &amp;"""}','sysuser', 'sysuser' from app.cronactiontype cat, app.crontasks c where c.description = '" &amp; E51 &amp; "' and not exists (select 1 from app.cronaction c2 where c2.crontaskid = c.crontaskid) and cat.description = 'NONE';"</f>
        <v>insert into app.cronaction (CronTaskId, CronActionTypeId, Payload, CreatedBy, LastUpdatedBy) select c.crontaskid, cat.CronActionTypeId,'{"EmailTextOnError":"tbd","TaskName":"User Task Group Bulk Import Failure",
"StateMachine":"" wms-tools-state-machine-taskgrp-bulk-fail",
" Lambda ":" &amp; C2 &amp; ",
"RequestType":"taskgrp-bulk-fail"}','sysuser', 'sysuser' from app.cronactiontype cat, app.crontasks c where c.description = 'User Task Group Bulk Import Failure' and not exists (select 1 from app.cronaction c2 where c2.crontaskid = c.crontaskid) and cat.description = 'NONE';</v>
      </c>
      <c r="L51" s="16" t="str">
        <f t="shared" si="1"/>
        <v>insert into app.cronaction (CronTaskId, CronActionTypeId, Payload, CreatedBy, LastUpdatedBy) select c.crontaskid, cat.CronActionTypeId,'{"EmailTextOnError":"tbd","TaskName":"User Task Group Bulk Import Failure",
"StateMachine":"" wms-tools-state-machine-taskgrp-bulk-fail",
" Lambda ":"wms-tools-lambda-taskgrp-bulk-fail",
"RequestType":"taskgrp-bulk-fail"}','sysuser', 'sysuser' from app.cronactiontype cat, app.crontasks c where c.description = 'User Task Group Bulk Import Failure' and not exists (select 1 from app.cronaction c2 where c2.crontaskid = c.crontaskid) and cat.description = 'NONE';</v>
      </c>
      <c r="M51" t="s">
        <v>187</v>
      </c>
    </row>
    <row r="52" spans="1:13" x14ac:dyDescent="0.2">
      <c r="A52">
        <v>151</v>
      </c>
      <c r="B52">
        <f t="shared" si="5"/>
        <v>152</v>
      </c>
      <c r="C52" t="s">
        <v>18</v>
      </c>
      <c r="D52" t="s">
        <v>188</v>
      </c>
      <c r="E52" t="s">
        <v>189</v>
      </c>
      <c r="F52" t="s">
        <v>14</v>
      </c>
      <c r="G52" s="1" t="s">
        <v>22</v>
      </c>
      <c r="H52" t="str">
        <f t="shared" si="2"/>
        <v>insert into app.requesttype(requesttypeid, approute, description, longdescription) select (select max(r.requesttypeid) from app.requesttype r) + 1 requesttypeid, 151, 'db-alert-pallet-lpns-inv', 'db-alert-pallet-lpns-inv' where not exists (select 1 from app.requesttype r2 where r2.approute = 151 );</v>
      </c>
      <c r="I52" t="str">
        <f t="shared" si="3"/>
        <v>insert into app.requesttype(requesttypeid, approute, description, longdescription) select (select max(r.requesttypeid) from app.requesttype r) + 1 requesttypeid, 152, 'db-alert-pallet-lpns-inv Interactive', 'db-alert-pallet-lpns-inv Interactive' where not exists (select 1 from app.requesttype r2 where r2.approute = 152 );</v>
      </c>
      <c r="J52" t="str">
        <f t="shared" si="4"/>
        <v>insert into app.statemachinerepo(statemachine, description, requesttypeid) select 'tbd-' || rt.description, 'tbd-' || rt.description, rt.requesttypeid from app.requesttype rt where rt.description = 'db-alert-pallet-lpns-inv' and not exists (select 1 from app.statemachinerepo sr where sr.description = 'tbd-db-alert-pallet-lpns-inv');</v>
      </c>
      <c r="K52" s="16" t="str" cm="1">
        <f t="array" ref="K52">"insert into app.cronaction (CronTaskId, CronActionTypeId, Payload, CreatedBy, LastUpdatedBy) select c.crontaskid, cat.CronActionTypeId,'{""EmailTextOnError"":""tbd"",""TaskName"":""" &amp; E52 &amp; """,
""StateMachine"":""" &amp; IF(ISNUMBER(SEARCH("DB Alert", E)), "wms-tools-state-machine-db-alert", """ wms-tools-state-machine-" &amp; D52 &amp; "" ) &amp; """,
"" Lambda "":"" &amp; C2 &amp; "",
""RequestType"":""" &amp; D52 &amp;"""}','sysuser', 'sysuser' from app.cronactiontype cat, app.crontasks c where c.description = '" &amp; E52 &amp; "' and not exists (select 1 from app.cronaction c2 where c2.crontaskid = c.crontaskid) and cat.description = 'NONE';"</f>
        <v>insert into app.cronaction (CronTaskId, CronActionTypeId, Payload, CreatedBy, LastUpdatedBy) select c.crontaskid, cat.CronActionTypeId,'{"EmailTextOnError":"tbd","TaskName":"DB Alert: MAWM - Pallet Lpns W/ Inventory Records",
"StateMachine":"" wms-tools-state-machine-db-alert-pallet-lpns-inv",
" Lambda ":" &amp; C2 &amp; ",
"RequestType":"db-alert-pallet-lpns-inv"}','sysuser', 'sysuser' from app.cronactiontype cat, app.crontasks c where c.description = 'DB Alert: MAWM - Pallet Lpns W/ Inventory Records' and not exists (select 1 from app.cronaction c2 where c2.crontaskid = c.crontaskid) and cat.description = 'NONE';</v>
      </c>
      <c r="L52" s="16" t="str">
        <f t="shared" si="1"/>
        <v>insert into app.cronaction (CronTaskId, CronActionTypeId, Payload, CreatedBy, LastUpdatedBy) select c.crontaskid, cat.CronActionTypeId,'{"EmailTextOnError":"tbd","TaskName":"DB Alert: MAWM - Pallet Lpns W/ Inventory Records",
"StateMachine":"wms-tools-state-machine-db-alert",
" Lambda ":"wms-tools-lambda-db-alert",
"RequestType":"db-alert-pallet-lpns-inv"}','sysuser', 'sysuser' from app.cronactiontype cat, app.crontasks c where c.description = 'DB Alert: MAWM - Pallet Lpns W/ Inventory Records' and not exists (select 1 from app.cronaction c2 where c2.crontaskid = c.crontaskid) and cat.description = 'NONE';</v>
      </c>
      <c r="M52" t="s">
        <v>190</v>
      </c>
    </row>
    <row r="53" spans="1:13" x14ac:dyDescent="0.2">
      <c r="A53">
        <v>153</v>
      </c>
      <c r="B53">
        <f t="shared" si="5"/>
        <v>154</v>
      </c>
      <c r="C53" t="s">
        <v>18</v>
      </c>
      <c r="D53" t="s">
        <v>191</v>
      </c>
      <c r="E53" t="s">
        <v>192</v>
      </c>
      <c r="F53" t="s">
        <v>14</v>
      </c>
      <c r="G53" s="1" t="s">
        <v>22</v>
      </c>
      <c r="H53" t="str">
        <f t="shared" si="2"/>
        <v>insert into app.requesttype(requesttypeid, approute, description, longdescription) select (select max(r.requesttypeid) from app.requesttype r) + 1 requesttypeid, 153, 'db-alert-olpn-multi-det', 'db-alert-olpn-multi-det' where not exists (select 1 from app.requesttype r2 where r2.approute = 153 );</v>
      </c>
      <c r="I53" t="str">
        <f t="shared" si="3"/>
        <v>insert into app.requesttype(requesttypeid, approute, description, longdescription) select (select max(r.requesttypeid) from app.requesttype r) + 1 requesttypeid, 154, 'db-alert-olpn-multi-det Interactive', 'db-alert-olpn-multi-det Interactive' where not exists (select 1 from app.requesttype r2 where r2.approute = 154 );</v>
      </c>
      <c r="J53" t="str">
        <f t="shared" si="4"/>
        <v>insert into app.statemachinerepo(statemachine, description, requesttypeid) select 'tbd-' || rt.description, 'tbd-' || rt.description, rt.requesttypeid from app.requesttype rt where rt.description = 'db-alert-olpn-multi-det' and not exists (select 1 from app.statemachinerepo sr where sr.description = 'tbd-db-alert-olpn-multi-det');</v>
      </c>
      <c r="K53" s="16" t="str" cm="1">
        <f t="array" ref="K53">"insert into app.cronaction (CronTaskId, CronActionTypeId, Payload, CreatedBy, LastUpdatedBy) select c.crontaskid, cat.CronActionTypeId,'{""EmailTextOnError"":""tbd"",""TaskName"":""" &amp; E53 &amp; """,
""StateMachine"":""" &amp; IF(ISNUMBER(SEARCH("DB Alert", E)), "wms-tools-state-machine-db-alert", """ wms-tools-state-machine-" &amp; D53 &amp; "" ) &amp; """,
"" Lambda "":"" &amp; C2 &amp; "",
""RequestType"":""" &amp; D53 &amp;"""}','sysuser', 'sysuser' from app.cronactiontype cat, app.crontasks c where c.description = '" &amp; E53 &amp; "' and not exists (select 1 from app.cronaction c2 where c2.crontaskid = c.crontaskid) and cat.description = 'NONE';"</f>
        <v>insert into app.cronaction (CronTaskId, CronActionTypeId, Payload, CreatedBy, LastUpdatedBy) select c.crontaskid, cat.CronActionTypeId,'{"EmailTextOnError":"tbd","TaskName":"DB Alert: MAWM - Olpns W/ Multiple Details Of The Same Item",
"StateMachine":"" wms-tools-state-machine-db-alert-olpn-multi-det",
" Lambda ":" &amp; C2 &amp; ",
"RequestType":"db-alert-olpn-multi-det"}','sysuser', 'sysuser' from app.cronactiontype cat, app.crontasks c where c.description = 'DB Alert: MAWM - Olpns W/ Multiple Details Of The Same Item' and not exists (select 1 from app.cronaction c2 where c2.crontaskid = c.crontaskid) and cat.description = 'NONE';</v>
      </c>
      <c r="L53" s="16" t="str">
        <f t="shared" si="1"/>
        <v>insert into app.cronaction (CronTaskId, CronActionTypeId, Payload, CreatedBy, LastUpdatedBy) select c.crontaskid, cat.CronActionTypeId,'{"EmailTextOnError":"tbd","TaskName":"DB Alert: MAWM - Olpns W/ Multiple Details Of The Same Item",
"StateMachine":"wms-tools-state-machine-db-alert",
" Lambda ":"wms-tools-lambda-db-alert",
"RequestType":"db-alert-olpn-multi-det"}','sysuser', 'sysuser' from app.cronactiontype cat, app.crontasks c where c.description = 'DB Alert: MAWM - Olpns W/ Multiple Details Of The Same Item' and not exists (select 1 from app.cronaction c2 where c2.crontaskid = c.crontaskid) and cat.description = 'NONE';</v>
      </c>
      <c r="M53" t="s">
        <v>193</v>
      </c>
    </row>
    <row r="54" spans="1:13" x14ac:dyDescent="0.2">
      <c r="A54">
        <v>155</v>
      </c>
      <c r="B54">
        <f t="shared" si="5"/>
        <v>156</v>
      </c>
      <c r="C54" t="s">
        <v>18</v>
      </c>
      <c r="D54" t="s">
        <v>194</v>
      </c>
      <c r="E54" t="s">
        <v>195</v>
      </c>
      <c r="F54" t="s">
        <v>14</v>
      </c>
      <c r="G54" s="1" t="s">
        <v>22</v>
      </c>
      <c r="H54" t="str">
        <f t="shared" si="2"/>
        <v>insert into app.requesttype(requesttypeid, approute, description, longdescription) select (select max(r.requesttypeid) from app.requesttype r) + 1 requesttypeid, 155, 'db-alert-open-order-1w', 'db-alert-open-order-1w' where not exists (select 1 from app.requesttype r2 where r2.approute = 155 );</v>
      </c>
      <c r="I54" t="str">
        <f t="shared" si="3"/>
        <v>insert into app.requesttype(requesttypeid, approute, description, longdescription) select (select max(r.requesttypeid) from app.requesttype r) + 1 requesttypeid, 156, 'db-alert-open-order-1w Interactive', 'db-alert-open-order-1w Interactive' where not exists (select 1 from app.requesttype r2 where r2.approute = 156 );</v>
      </c>
      <c r="J54" t="str">
        <f t="shared" si="4"/>
        <v>insert into app.statemachinerepo(statemachine, description, requesttypeid) select 'tbd-' || rt.description, 'tbd-' || rt.description, rt.requesttypeid from app.requesttype rt where rt.description = 'db-alert-open-order-1w' and not exists (select 1 from app.statemachinerepo sr where sr.description = 'tbd-db-alert-open-order-1w');</v>
      </c>
      <c r="K54" s="16" t="str" cm="1">
        <f t="array" ref="K54">"insert into app.cronaction (CronTaskId, CronActionTypeId, Payload, CreatedBy, LastUpdatedBy) select c.crontaskid, cat.CronActionTypeId,'{""EmailTextOnError"":""tbd"",""TaskName"":""" &amp; E54 &amp; """,
""StateMachine"":""" &amp; IF(ISNUMBER(SEARCH("DB Alert", E)), "wms-tools-state-machine-db-alert", """ wms-tools-state-machine-" &amp; D54 &amp; "" ) &amp; """,
"" Lambda "":"" &amp; C2 &amp; "",
""RequestType"":""" &amp; D54 &amp;"""}','sysuser', 'sysuser' from app.cronactiontype cat, app.crontasks c where c.description = '" &amp; E54 &amp; "' and not exists (select 1 from app.cronaction c2 where c2.crontaskid = c.crontaskid) and cat.description = 'NONE';"</f>
        <v>insert into app.cronaction (CronTaskId, CronActionTypeId, Payload, CreatedBy, LastUpdatedBy) select c.crontaskid, cat.CronActionTypeId,'{"EmailTextOnError":"tbd","TaskName":"DB Alert: Open Order In Wm &gt; 1 Week",
"StateMachine":"" wms-tools-state-machine-db-alert-open-order-1w",
" Lambda ":" &amp; C2 &amp; ",
"RequestType":"db-alert-open-order-1w"}','sysuser', 'sysuser' from app.cronactiontype cat, app.crontasks c where c.description = 'DB Alert: Open Order In Wm &gt; 1 Week' and not exists (select 1 from app.cronaction c2 where c2.crontaskid = c.crontaskid) and cat.description = 'NONE';</v>
      </c>
      <c r="L54" s="16" t="str">
        <f t="shared" si="1"/>
        <v>insert into app.cronaction (CronTaskId, CronActionTypeId, Payload, CreatedBy, LastUpdatedBy) select c.crontaskid, cat.CronActionTypeId,'{"EmailTextOnError":"tbd","TaskName":"DB Alert: Open Order In Wm &gt; 1 Week",
"StateMachine":"wms-tools-state-machine-db-alert",
" Lambda ":"wms-tools-lambda-db-alert",
"RequestType":"db-alert-open-order-1w"}','sysuser', 'sysuser' from app.cronactiontype cat, app.crontasks c where c.description = 'DB Alert: Open Order In Wm &gt; 1 Week' and not exists (select 1 from app.cronaction c2 where c2.crontaskid = c.crontaskid) and cat.description = 'NONE';</v>
      </c>
      <c r="M54" t="s">
        <v>196</v>
      </c>
    </row>
    <row r="55" spans="1:13" x14ac:dyDescent="0.2">
      <c r="A55">
        <v>157</v>
      </c>
      <c r="B55">
        <f t="shared" si="5"/>
        <v>158</v>
      </c>
      <c r="C55" t="s">
        <v>18</v>
      </c>
      <c r="D55" t="s">
        <v>197</v>
      </c>
      <c r="E55" t="s">
        <v>198</v>
      </c>
      <c r="F55" t="s">
        <v>14</v>
      </c>
      <c r="G55" s="1" t="s">
        <v>22</v>
      </c>
      <c r="H55" t="str">
        <f t="shared" si="2"/>
        <v>insert into app.requesttype(requesttypeid, approute, description, longdescription) select (select max(r.requesttypeid) from app.requesttype r) + 1 requesttypeid, 157, 'db-alert-multi-ord-lines', 'db-alert-multi-ord-lines' where not exists (select 1 from app.requesttype r2 where r2.approute = 157 );</v>
      </c>
      <c r="I55" t="str">
        <f t="shared" si="3"/>
        <v>insert into app.requesttype(requesttypeid, approute, description, longdescription) select (select max(r.requesttypeid) from app.requesttype r) + 1 requesttypeid, 158, 'db-alert-multi-ord-lines Interactive', 'db-alert-multi-ord-lines Interactive' where not exists (select 1 from app.requesttype r2 where r2.approute = 158 );</v>
      </c>
      <c r="J55" t="str">
        <f t="shared" si="4"/>
        <v>insert into app.statemachinerepo(statemachine, description, requesttypeid) select 'tbd-' || rt.description, 'tbd-' || rt.description, rt.requesttypeid from app.requesttype rt where rt.description = 'db-alert-multi-ord-lines' and not exists (select 1 from app.statemachinerepo sr where sr.description = 'tbd-db-alert-multi-ord-lines');</v>
      </c>
      <c r="K55" s="16" t="str" cm="1">
        <f t="array" ref="K55">"insert into app.cronaction (CronTaskId, CronActionTypeId, Payload, CreatedBy, LastUpdatedBy) select c.crontaskid, cat.CronActionTypeId,'{""EmailTextOnError"":""tbd"",""TaskName"":""" &amp; E55 &amp; """,
""StateMachine"":""" &amp; IF(ISNUMBER(SEARCH("DB Alert", E)), "wms-tools-state-machine-db-alert", """ wms-tools-state-machine-" &amp; D55 &amp; "" ) &amp; """,
"" Lambda "":"" &amp; C2 &amp; "",
""RequestType"":""" &amp; D55 &amp;"""}','sysuser', 'sysuser' from app.cronactiontype cat, app.crontasks c where c.description = '" &amp; E55 &amp; "' and not exists (select 1 from app.cronaction c2 where c2.crontaskid = c.crontaskid) and cat.description = 'NONE';"</f>
        <v>insert into app.cronaction (CronTaskId, CronActionTypeId, Payload, CreatedBy, LastUpdatedBy) select c.crontaskid, cat.CronActionTypeId,'{"EmailTextOnError":"tbd","TaskName":"DB Alert: MAWM - Multiple Order Lines Per Original Order Line",
"StateMachine":"" wms-tools-state-machine-db-alert-multi-ord-lines",
" Lambda ":" &amp; C2 &amp; ",
"RequestType":"db-alert-multi-ord-lines"}','sysuser', 'sysuser' from app.cronactiontype cat, app.crontasks c where c.description = 'DB Alert: MAWM - Multiple Order Lines Per Original Order Line' and not exists (select 1 from app.cronaction c2 where c2.crontaskid = c.crontaskid) and cat.description = 'NONE';</v>
      </c>
      <c r="L55" s="16" t="str">
        <f t="shared" si="1"/>
        <v>insert into app.cronaction (CronTaskId, CronActionTypeId, Payload, CreatedBy, LastUpdatedBy) select c.crontaskid, cat.CronActionTypeId,'{"EmailTextOnError":"tbd","TaskName":"DB Alert: MAWM - Multiple Order Lines Per Original Order Line",
"StateMachine":"wms-tools-state-machine-db-alert",
" Lambda ":"wms-tools-lambda-db-alert",
"RequestType":"db-alert-multi-ord-lines"}','sysuser', 'sysuser' from app.cronactiontype cat, app.crontasks c where c.description = 'DB Alert: MAWM - Multiple Order Lines Per Original Order Line' and not exists (select 1 from app.cronaction c2 where c2.crontaskid = c.crontaskid) and cat.description = 'NONE';</v>
      </c>
      <c r="M55" t="s">
        <v>199</v>
      </c>
    </row>
    <row r="56" spans="1:13" x14ac:dyDescent="0.2">
      <c r="A56">
        <v>159</v>
      </c>
      <c r="B56">
        <f t="shared" si="5"/>
        <v>160</v>
      </c>
      <c r="C56" t="s">
        <v>200</v>
      </c>
      <c r="D56" t="s">
        <v>201</v>
      </c>
      <c r="E56" t="s">
        <v>202</v>
      </c>
      <c r="F56" t="s">
        <v>14</v>
      </c>
      <c r="G56" s="1" t="s">
        <v>15</v>
      </c>
      <c r="H56" t="str">
        <f t="shared" si="2"/>
        <v>insert into app.requesttype(requesttypeid, approute, description, longdescription) select (select max(r.requesttypeid) from app.requesttype r) + 1 requesttypeid, 159, 'dyn-casepick', 'dyn-casepick' where not exists (select 1 from app.requesttype r2 where r2.approute = 159 );</v>
      </c>
      <c r="I56" t="str">
        <f t="shared" si="3"/>
        <v>insert into app.requesttype(requesttypeid, approute, description, longdescription) select (select max(r.requesttypeid) from app.requesttype r) + 1 requesttypeid, 160, 'dyn-casepick Interactive', 'dyn-casepick Interactive' where not exists (select 1 from app.requesttype r2 where r2.approute = 160 );</v>
      </c>
      <c r="J56" t="str">
        <f t="shared" si="4"/>
        <v>insert into app.statemachinerepo(statemachine, description, requesttypeid) select 'tbd-' || rt.description, 'tbd-' || rt.description, rt.requesttypeid from app.requesttype rt where rt.description = 'dyn-casepick' and not exists (select 1 from app.statemachinerepo sr where sr.description = 'tbd-dyn-casepick');</v>
      </c>
      <c r="K56" s="16" t="str" cm="1">
        <f t="array" ref="K56">"insert into app.cronaction (CronTaskId, CronActionTypeId, Payload, CreatedBy, LastUpdatedBy) select c.crontaskid, cat.CronActionTypeId,'{""EmailTextOnError"":""tbd"",""TaskName"":""" &amp; E56 &amp; """,
""StateMachine"":""" &amp; IF(ISNUMBER(SEARCH("DB Alert", E)), "wms-tools-state-machine-db-alert", """ wms-tools-state-machine-" &amp; D56 &amp; "" ) &amp; """,
"" Lambda "":"" &amp; C2 &amp; "",
""RequestType"":""" &amp; D56 &amp;"""}','sysuser', 'sysuser' from app.cronactiontype cat, app.crontasks c where c.description = '" &amp; E56 &amp; "' and not exists (select 1 from app.cronaction c2 where c2.crontaskid = c.crontaskid) and cat.description = 'NONE';"</f>
        <v>insert into app.cronaction (CronTaskId, CronActionTypeId, Payload, CreatedBy, LastUpdatedBy) select c.crontaskid, cat.CronActionTypeId,'{"EmailTextOnError":"tbd","TaskName":"Mark Dynamic Case Pick",
"StateMachine":"" wms-tools-state-machine-dyn-casepick",
" Lambda ":" &amp; C2 &amp; ",
"RequestType":"dyn-casepick"}','sysuser', 'sysuser' from app.cronactiontype cat, app.crontasks c where c.description = 'Mark Dynamic Case Pick' and not exists (select 1 from app.cronaction c2 where c2.crontaskid = c.crontaskid) and cat.description = 'NONE';</v>
      </c>
      <c r="L56" s="16" t="str">
        <f t="shared" si="1"/>
        <v>insert into app.cronaction (CronTaskId, CronActionTypeId, Payload, CreatedBy, LastUpdatedBy) select c.crontaskid, cat.CronActionTypeId,'{"EmailTextOnError":"tbd","TaskName":"Mark Dynamic Case Pick",
"StateMachine":"" wms-tools-state-machine-dyn-casepick",
" Lambda ":"wms-tools-lambda-dyn-casepick",
"RequestType":"dyn-casepick"}','sysuser', 'sysuser' from app.cronactiontype cat, app.crontasks c where c.description = 'Mark Dynamic Case Pick' and not exists (select 1 from app.cronaction c2 where c2.crontaskid = c.crontaskid) and cat.description = 'NONE';</v>
      </c>
      <c r="M56" t="s">
        <v>203</v>
      </c>
    </row>
    <row r="57" spans="1:13" x14ac:dyDescent="0.2">
      <c r="A57">
        <v>161</v>
      </c>
      <c r="B57">
        <f t="shared" si="5"/>
        <v>162</v>
      </c>
      <c r="C57" t="s">
        <v>204</v>
      </c>
      <c r="D57" t="s">
        <v>205</v>
      </c>
      <c r="E57" t="s">
        <v>206</v>
      </c>
      <c r="F57" t="s">
        <v>14</v>
      </c>
      <c r="G57" s="1" t="s">
        <v>15</v>
      </c>
      <c r="H57" t="str">
        <f t="shared" si="2"/>
        <v>insert into app.requesttype(requesttypeid, approute, description, longdescription) select (select max(r.requesttypeid) from app.requesttype r) + 1 requesttypeid, 161, 'dyn-wine-pick', 'dyn-wine-pick' where not exists (select 1 from app.requesttype r2 where r2.approute = 161 );</v>
      </c>
      <c r="I57" t="str">
        <f t="shared" si="3"/>
        <v>insert into app.requesttype(requesttypeid, approute, description, longdescription) select (select max(r.requesttypeid) from app.requesttype r) + 1 requesttypeid, 162, 'dyn-wine-pick Interactive', 'dyn-wine-pick Interactive' where not exists (select 1 from app.requesttype r2 where r2.approute = 162 );</v>
      </c>
      <c r="J57" t="str">
        <f t="shared" si="4"/>
        <v>insert into app.statemachinerepo(statemachine, description, requesttypeid) select 'tbd-' || rt.description, 'tbd-' || rt.description, rt.requesttypeid from app.requesttype rt where rt.description = 'dyn-wine-pick' and not exists (select 1 from app.statemachinerepo sr where sr.description = 'tbd-dyn-wine-pick');</v>
      </c>
      <c r="K57" s="16" t="str" cm="1">
        <f t="array" ref="K57">"insert into app.cronaction (CronTaskId, CronActionTypeId, Payload, CreatedBy, LastUpdatedBy) select c.crontaskid, cat.CronActionTypeId,'{""EmailTextOnError"":""tbd"",""TaskName"":""" &amp; E57 &amp; """,
""StateMachine"":""" &amp; IF(ISNUMBER(SEARCH("DB Alert", E)), "wms-tools-state-machine-db-alert", """ wms-tools-state-machine-" &amp; D57 &amp; "" ) &amp; """,
"" Lambda "":"" &amp; C2 &amp; "",
""RequestType"":""" &amp; D57 &amp;"""}','sysuser', 'sysuser' from app.cronactiontype cat, app.crontasks c where c.description = '" &amp; E57 &amp; "' and not exists (select 1 from app.cronaction c2 where c2.crontaskid = c.crontaskid) and cat.description = 'NONE';"</f>
        <v>insert into app.cronaction (CronTaskId, CronActionTypeId, Payload, CreatedBy, LastUpdatedBy) select c.crontaskid, cat.CronActionTypeId,'{"EmailTextOnError":"tbd","TaskName":"Mark Dynamic Wine",
"StateMachine":"" wms-tools-state-machine-dyn-wine-pick",
" Lambda ":" &amp; C2 &amp; ",
"RequestType":"dyn-wine-pick"}','sysuser', 'sysuser' from app.cronactiontype cat, app.crontasks c where c.description = 'Mark Dynamic Wine' and not exists (select 1 from app.cronaction c2 where c2.crontaskid = c.crontaskid) and cat.description = 'NONE';</v>
      </c>
      <c r="L57" s="16" t="str">
        <f t="shared" si="1"/>
        <v>insert into app.cronaction (CronTaskId, CronActionTypeId, Payload, CreatedBy, LastUpdatedBy) select c.crontaskid, cat.CronActionTypeId,'{"EmailTextOnError":"tbd","TaskName":"Mark Dynamic Wine",
"StateMachine":"" wms-tools-state-machine-dyn-wine-pick",
" Lambda ":"wms-tools-lambda-dyn-wine-pick",
"RequestType":"dyn-wine-pick"}','sysuser', 'sysuser' from app.cronactiontype cat, app.crontasks c where c.description = 'Mark Dynamic Wine' and not exists (select 1 from app.cronaction c2 where c2.crontaskid = c.crontaskid) and cat.description = 'NONE';</v>
      </c>
      <c r="M57" t="s">
        <v>207</v>
      </c>
    </row>
    <row r="58" spans="1:13" x14ac:dyDescent="0.2">
      <c r="A58">
        <v>163</v>
      </c>
      <c r="B58">
        <f t="shared" si="5"/>
        <v>164</v>
      </c>
      <c r="C58" t="s">
        <v>18</v>
      </c>
      <c r="D58" t="s">
        <v>208</v>
      </c>
      <c r="E58" t="s">
        <v>209</v>
      </c>
      <c r="F58" t="s">
        <v>14</v>
      </c>
      <c r="G58" s="1" t="s">
        <v>22</v>
      </c>
      <c r="H58" t="str">
        <f t="shared" si="2"/>
        <v>insert into app.requesttype(requesttypeid, approute, description, longdescription) select (select max(r.requesttypeid) from app.requesttype r) + 1 requesttypeid, 163, 'db-alert-item-wt-large', 'db-alert-item-wt-large' where not exists (select 1 from app.requesttype r2 where r2.approute = 163 );</v>
      </c>
      <c r="I58" t="str">
        <f t="shared" si="3"/>
        <v>insert into app.requesttype(requesttypeid, approute, description, longdescription) select (select max(r.requesttypeid) from app.requesttype r) + 1 requesttypeid, 164, 'db-alert-item-wt-large Interactive', 'db-alert-item-wt-large Interactive' where not exists (select 1 from app.requesttype r2 where r2.approute = 164 );</v>
      </c>
      <c r="J58" t="str">
        <f t="shared" si="4"/>
        <v>insert into app.statemachinerepo(statemachine, description, requesttypeid) select 'tbd-' || rt.description, 'tbd-' || rt.description, rt.requesttypeid from app.requesttype rt where rt.description = 'db-alert-item-wt-large' and not exists (select 1 from app.statemachinerepo sr where sr.description = 'tbd-db-alert-item-wt-large');</v>
      </c>
      <c r="K58" s="16" t="str" cm="1">
        <f t="array" ref="K58">"insert into app.cronaction (CronTaskId, CronActionTypeId, Payload, CreatedBy, LastUpdatedBy) select c.crontaskid, cat.CronActionTypeId,'{""EmailTextOnError"":""tbd"",""TaskName"":""" &amp; E58 &amp; """,
""StateMachine"":""" &amp; IF(ISNUMBER(SEARCH("DB Alert", E)), "wms-tools-state-machine-db-alert", """ wms-tools-state-machine-" &amp; D58 &amp; "" ) &amp; """,
"" Lambda "":"" &amp; C2 &amp; "",
""RequestType"":""" &amp; D58 &amp;"""}','sysuser', 'sysuser' from app.cronactiontype cat, app.crontasks c where c.description = '" &amp; E58 &amp; "' and not exists (select 1 from app.cronaction c2 where c2.crontaskid = c.crontaskid) and cat.description = 'NONE';"</f>
        <v>insert into app.cronaction (CronTaskId, CronActionTypeId, Payload, CreatedBy, LastUpdatedBy) select c.crontaskid, cat.CronActionTypeId,'{"EmailTextOnError":"tbd","TaskName":"DB Alert: MAWM - Items Weight With Large Dimensions",
"StateMachine":"" wms-tools-state-machine-db-alert-item-wt-large",
" Lambda ":" &amp; C2 &amp; ",
"RequestType":"db-alert-item-wt-large"}','sysuser', 'sysuser' from app.cronactiontype cat, app.crontasks c where c.description = 'DB Alert: MAWM - Items Weight With Large Dimensions' and not exists (select 1 from app.cronaction c2 where c2.crontaskid = c.crontaskid) and cat.description = 'NONE';</v>
      </c>
      <c r="L58" s="16" t="str">
        <f t="shared" si="1"/>
        <v>insert into app.cronaction (CronTaskId, CronActionTypeId, Payload, CreatedBy, LastUpdatedBy) select c.crontaskid, cat.CronActionTypeId,'{"EmailTextOnError":"tbd","TaskName":"DB Alert: MAWM - Items Weight With Large Dimensions",
"StateMachine":"wms-tools-state-machine-db-alert",
" Lambda ":"wms-tools-lambda-db-alert",
"RequestType":"db-alert-item-wt-large"}','sysuser', 'sysuser' from app.cronactiontype cat, app.crontasks c where c.description = 'DB Alert: MAWM - Items Weight With Large Dimensions' and not exists (select 1 from app.cronaction c2 where c2.crontaskid = c.crontaskid) and cat.description = 'NONE';</v>
      </c>
      <c r="M58" s="10" t="s">
        <v>210</v>
      </c>
    </row>
    <row r="59" spans="1:13" x14ac:dyDescent="0.2">
      <c r="A59">
        <v>165</v>
      </c>
      <c r="B59">
        <f t="shared" si="5"/>
        <v>166</v>
      </c>
      <c r="C59" t="s">
        <v>18</v>
      </c>
      <c r="D59" t="s">
        <v>211</v>
      </c>
      <c r="E59" t="s">
        <v>212</v>
      </c>
      <c r="F59" t="s">
        <v>14</v>
      </c>
      <c r="G59" s="1" t="s">
        <v>22</v>
      </c>
      <c r="H59" t="str">
        <f t="shared" si="2"/>
        <v>insert into app.requesttype(requesttypeid, approute, description, longdescription) select (select max(r.requesttypeid) from app.requesttype r) + 1 requesttypeid, 165, 'db-alert-item-vol-large', 'db-alert-item-vol-large' where not exists (select 1 from app.requesttype r2 where r2.approute = 165 );</v>
      </c>
      <c r="I59" t="str">
        <f t="shared" si="3"/>
        <v>insert into app.requesttype(requesttypeid, approute, description, longdescription) select (select max(r.requesttypeid) from app.requesttype r) + 1 requesttypeid, 166, 'db-alert-item-vol-large Interactive', 'db-alert-item-vol-large Interactive' where not exists (select 1 from app.requesttype r2 where r2.approute = 166 );</v>
      </c>
      <c r="J59" t="str">
        <f t="shared" si="4"/>
        <v>insert into app.statemachinerepo(statemachine, description, requesttypeid) select 'tbd-' || rt.description, 'tbd-' || rt.description, rt.requesttypeid from app.requesttype rt where rt.description = 'db-alert-item-vol-large' and not exists (select 1 from app.statemachinerepo sr where sr.description = 'tbd-db-alert-item-vol-large');</v>
      </c>
      <c r="K59" s="16" t="str" cm="1">
        <f t="array" ref="K59">"insert into app.cronaction (CronTaskId, CronActionTypeId, Payload, CreatedBy, LastUpdatedBy) select c.crontaskid, cat.CronActionTypeId,'{""EmailTextOnError"":""tbd"",""TaskName"":""" &amp; E59 &amp; """,
""StateMachine"":""" &amp; IF(ISNUMBER(SEARCH("DB Alert", E)), "wms-tools-state-machine-db-alert", """ wms-tools-state-machine-" &amp; D59 &amp; "" ) &amp; """,
"" Lambda "":"" &amp; C2 &amp; "",
""RequestType"":""" &amp; D59 &amp;"""}','sysuser', 'sysuser' from app.cronactiontype cat, app.crontasks c where c.description = '" &amp; E59 &amp; "' and not exists (select 1 from app.cronaction c2 where c2.crontaskid = c.crontaskid) and cat.description = 'NONE';"</f>
        <v>insert into app.cronaction (CronTaskId, CronActionTypeId, Payload, CreatedBy, LastUpdatedBy) select c.crontaskid, cat.CronActionTypeId,'{"EmailTextOnError":"tbd","TaskName":"DB Alert: MAWM - Items Volume With Large Dimensions",
"StateMachine":"" wms-tools-state-machine-db-alert-item-vol-large",
" Lambda ":" &amp; C2 &amp; ",
"RequestType":"db-alert-item-vol-large"}','sysuser', 'sysuser' from app.cronactiontype cat, app.crontasks c where c.description = 'DB Alert: MAWM - Items Volume With Large Dimensions' and not exists (select 1 from app.cronaction c2 where c2.crontaskid = c.crontaskid) and cat.description = 'NONE';</v>
      </c>
      <c r="L59" s="16" t="str">
        <f t="shared" si="1"/>
        <v>insert into app.cronaction (CronTaskId, CronActionTypeId, Payload, CreatedBy, LastUpdatedBy) select c.crontaskid, cat.CronActionTypeId,'{"EmailTextOnError":"tbd","TaskName":"DB Alert: MAWM - Items Volume With Large Dimensions",
"StateMachine":"wms-tools-state-machine-db-alert",
" Lambda ":"wms-tools-lambda-db-alert",
"RequestType":"db-alert-item-vol-large"}','sysuser', 'sysuser' from app.cronactiontype cat, app.crontasks c where c.description = 'DB Alert: MAWM - Items Volume With Large Dimensions' and not exists (select 1 from app.cronaction c2 where c2.crontaskid = c.crontaskid) and cat.description = 'NONE';</v>
      </c>
      <c r="M59" s="10" t="s">
        <v>213</v>
      </c>
    </row>
    <row r="60" spans="1:13" x14ac:dyDescent="0.2">
      <c r="A60">
        <v>167</v>
      </c>
      <c r="B60">
        <f t="shared" si="5"/>
        <v>168</v>
      </c>
      <c r="C60" t="s">
        <v>214</v>
      </c>
      <c r="D60" t="s">
        <v>215</v>
      </c>
      <c r="E60" t="s">
        <v>216</v>
      </c>
      <c r="F60" t="s">
        <v>14</v>
      </c>
      <c r="G60" s="1" t="s">
        <v>22</v>
      </c>
      <c r="H60" t="str">
        <f t="shared" si="2"/>
        <v>insert into app.requesttype(requesttypeid, approute, description, longdescription) select (select max(r.requesttypeid) from app.requesttype r) + 1 requesttypeid, 167, 'fs-alpha-adj-45d', 'fs-alpha-adj-45d' where not exists (select 1 from app.requesttype r2 where r2.approute = 167 );</v>
      </c>
      <c r="I60" t="str">
        <f t="shared" si="3"/>
        <v>insert into app.requesttype(requesttypeid, approute, description, longdescription) select (select max(r.requesttypeid) from app.requesttype r) + 1 requesttypeid, 168, 'fs-alpha-adj-45d Interactive', 'fs-alpha-adj-45d Interactive' where not exists (select 1 from app.requesttype r2 where r2.approute = 168 );</v>
      </c>
      <c r="J60" t="str">
        <f t="shared" si="4"/>
        <v>insert into app.statemachinerepo(statemachine, description, requesttypeid) select 'tbd-' || rt.description, 'tbd-' || rt.description, rt.requesttypeid from app.requesttype rt where rt.description = 'fs-alpha-adj-45d' and not exists (select 1 from app.statemachinerepo sr where sr.description = 'tbd-fs-alpha-adj-45d');</v>
      </c>
      <c r="K60" s="16" t="str" cm="1">
        <f t="array" ref="K60">"insert into app.cronaction (CronTaskId, CronActionTypeId, Payload, CreatedBy, LastUpdatedBy) select c.crontaskid, cat.CronActionTypeId,'{""EmailTextOnError"":""tbd"",""TaskName"":""" &amp; E60 &amp; """,
""StateMachine"":""" &amp; IF(ISNUMBER(SEARCH("DB Alert", E)), "wms-tools-state-machine-db-alert", """ wms-tools-state-machine-" &amp; D60 &amp; "" ) &amp; """,
"" Lambda "":"" &amp; C2 &amp; "",
""RequestType"":""" &amp; D60 &amp;"""}','sysuser', 'sysuser' from app.cronactiontype cat, app.crontasks c where c.description = '" &amp; E60 &amp; "' and not exists (select 1 from app.cronaction c2 where c2.crontaskid = c.crontaskid) and cat.description = 'NONE';"</f>
        <v>insert into app.cronaction (CronTaskId, CronActionTypeId, Payload, CreatedBy, LastUpdatedBy) select c.crontaskid, cat.CronActionTypeId,'{"EmailTextOnError":"tbd","TaskName":"FS: Alpha Open Adjustments &gt; 45 Days",
"StateMachine":"" wms-tools-state-machine-fs-alpha-adj-45d",
" Lambda ":" &amp; C2 &amp; ",
"RequestType":"fs-alpha-adj-45d"}','sysuser', 'sysuser' from app.cronactiontype cat, app.crontasks c where c.description = 'FS: Alpha Open Adjustments &gt; 45 Days' and not exists (select 1 from app.cronaction c2 where c2.crontaskid = c.crontaskid) and cat.description = 'NONE';</v>
      </c>
      <c r="L60" s="16" t="str">
        <f t="shared" si="1"/>
        <v>insert into app.cronaction (CronTaskId, CronActionTypeId, Payload, CreatedBy, LastUpdatedBy) select c.crontaskid, cat.CronActionTypeId,'{"EmailTextOnError":"tbd","TaskName":"FS: Alpha Open Adjustments &gt; 45 Days",
"StateMachine":"" wms-tools-state-machine-fs-alpha-adj-45d",
" Lambda ":"wms-tools-lambda-alpha-adj-45d",
"RequestType":"fs-alpha-adj-45d"}','sysuser', 'sysuser' from app.cronactiontype cat, app.crontasks c where c.description = 'FS: Alpha Open Adjustments &gt; 45 Days' and not exists (select 1 from app.cronaction c2 where c2.crontaskid = c.crontaskid) and cat.description = 'NONE';</v>
      </c>
      <c r="M60" t="s">
        <v>217</v>
      </c>
    </row>
    <row r="61" spans="1:13" x14ac:dyDescent="0.2">
      <c r="A61">
        <v>169</v>
      </c>
      <c r="B61">
        <f t="shared" si="5"/>
        <v>170</v>
      </c>
      <c r="C61" t="s">
        <v>18</v>
      </c>
      <c r="D61" t="s">
        <v>218</v>
      </c>
      <c r="E61" t="s">
        <v>219</v>
      </c>
      <c r="F61" t="s">
        <v>14</v>
      </c>
      <c r="G61" s="1" t="s">
        <v>22</v>
      </c>
      <c r="H61" t="str">
        <f t="shared" si="2"/>
        <v>insert into app.requesttype(requesttypeid, approute, description, longdescription) select (select max(r.requesttypeid) from app.requesttype r) + 1 requesttypeid, 169, 'db-alert-travel-4m', 'db-alert-travel-4m' where not exists (select 1 from app.requesttype r2 where r2.approute = 169 );</v>
      </c>
      <c r="I61" t="str">
        <f t="shared" si="3"/>
        <v>insert into app.requesttype(requesttypeid, approute, description, longdescription) select (select max(r.requesttypeid) from app.requesttype r) + 1 requesttypeid, 170, 'db-alert-travel-4m Interactive', 'db-alert-travel-4m Interactive' where not exists (select 1 from app.requesttype r2 where r2.approute = 170 );</v>
      </c>
      <c r="J61" t="str">
        <f t="shared" si="4"/>
        <v>insert into app.statemachinerepo(statemachine, description, requesttypeid) select 'tbd-' || rt.description, 'tbd-' || rt.description, rt.requesttypeid from app.requesttype rt where rt.description = 'db-alert-travel-4m' and not exists (select 1 from app.statemachinerepo sr where sr.description = 'tbd-db-alert-travel-4m');</v>
      </c>
      <c r="K61" s="16" t="str" cm="1">
        <f t="array" ref="K61">"insert into app.cronaction (CronTaskId, CronActionTypeId, Payload, CreatedBy, LastUpdatedBy) select c.crontaskid, cat.CronActionTypeId,'{""EmailTextOnError"":""tbd"",""TaskName"":""" &amp; E61 &amp; """,
""StateMachine"":""" &amp; IF(ISNUMBER(SEARCH("DB Alert", E)), "wms-tools-state-machine-db-alert", """ wms-tools-state-machine-" &amp; D61 &amp; "" ) &amp; """,
"" Lambda "":"" &amp; C2 &amp; "",
""RequestType"":""" &amp; D61 &amp;"""}','sysuser', 'sysuser' from app.cronactiontype cat, app.crontasks c where c.description = '" &amp; E61 &amp; "' and not exists (select 1 from app.cronaction c2 where c2.crontaskid = c.crontaskid) and cat.description = 'NONE';"</f>
        <v>insert into app.cronaction (CronTaskId, CronActionTypeId, Payload, CreatedBy, LastUpdatedBy) select c.crontaskid, cat.CronActionTypeId,'{"EmailTextOnError":"tbd","TaskName":"DB Alert: Travel &gt; 4 Mins",
"StateMachine":"" wms-tools-state-machine-db-alert-travel-4m",
" Lambda ":" &amp; C2 &amp; ",
"RequestType":"db-alert-travel-4m"}','sysuser', 'sysuser' from app.cronactiontype cat, app.crontasks c where c.description = 'DB Alert: Travel &gt; 4 Mins' and not exists (select 1 from app.cronaction c2 where c2.crontaskid = c.crontaskid) and cat.description = 'NONE';</v>
      </c>
      <c r="L61" s="16" t="str">
        <f t="shared" si="1"/>
        <v>insert into app.cronaction (CronTaskId, CronActionTypeId, Payload, CreatedBy, LastUpdatedBy) select c.crontaskid, cat.CronActionTypeId,'{"EmailTextOnError":"tbd","TaskName":"DB Alert: Travel &gt; 4 Mins",
"StateMachine":"wms-tools-state-machine-db-alert",
" Lambda ":"wms-tools-lambda-db-alert",
"RequestType":"db-alert-travel-4m"}','sysuser', 'sysuser' from app.cronactiontype cat, app.crontasks c where c.description = 'DB Alert: Travel &gt; 4 Mins' and not exists (select 1 from app.cronaction c2 where c2.crontaskid = c.crontaskid) and cat.description = 'NONE';</v>
      </c>
      <c r="M61" t="s">
        <v>220</v>
      </c>
    </row>
    <row r="62" spans="1:13" x14ac:dyDescent="0.2">
      <c r="A62">
        <v>171</v>
      </c>
      <c r="B62">
        <f t="shared" si="5"/>
        <v>172</v>
      </c>
      <c r="C62" t="s">
        <v>18</v>
      </c>
      <c r="D62" t="s">
        <v>221</v>
      </c>
      <c r="E62" t="s">
        <v>222</v>
      </c>
      <c r="F62" t="s">
        <v>14</v>
      </c>
      <c r="G62" s="1" t="s">
        <v>22</v>
      </c>
      <c r="H62" t="str">
        <f t="shared" si="2"/>
        <v>insert into app.requesttype(requesttypeid, approute, description, longdescription) select (select max(r.requesttypeid) from app.requesttype r) + 1 requesttypeid, 171, 'db-alert-olpn-cons-loc', 'db-alert-olpn-cons-loc' where not exists (select 1 from app.requesttype r2 where r2.approute = 171 );</v>
      </c>
      <c r="I62" t="str">
        <f t="shared" si="3"/>
        <v>insert into app.requesttype(requesttypeid, approute, description, longdescription) select (select max(r.requesttypeid) from app.requesttype r) + 1 requesttypeid, 172, 'db-alert-olpn-cons-loc Interactive', 'db-alert-olpn-cons-loc Interactive' where not exists (select 1 from app.requesttype r2 where r2.approute = 172 );</v>
      </c>
      <c r="J62" t="str">
        <f t="shared" si="4"/>
        <v>insert into app.statemachinerepo(statemachine, description, requesttypeid) select 'tbd-' || rt.description, 'tbd-' || rt.description, rt.requesttypeid from app.requesttype rt where rt.description = 'db-alert-olpn-cons-loc' and not exists (select 1 from app.statemachinerepo sr where sr.description = 'tbd-db-alert-olpn-cons-loc');</v>
      </c>
      <c r="K62" s="16" t="str" cm="1">
        <f t="array" ref="K62">"insert into app.cronaction (CronTaskId, CronActionTypeId, Payload, CreatedBy, LastUpdatedBy) select c.crontaskid, cat.CronActionTypeId,'{""EmailTextOnError"":""tbd"",""TaskName"":""" &amp; E62 &amp; """,
""StateMachine"":""" &amp; IF(ISNUMBER(SEARCH("DB Alert", E)), "wms-tools-state-machine-db-alert", """ wms-tools-state-machine-" &amp; D62 &amp; "" ) &amp; """,
"" Lambda "":"" &amp; C2 &amp; "",
""RequestType"":""" &amp; D62 &amp;"""}','sysuser', 'sysuser' from app.cronactiontype cat, app.crontasks c where c.description = '" &amp; E62 &amp; "' and not exists (select 1 from app.cronaction c2 where c2.crontaskid = c.crontaskid) and cat.description = 'NONE';"</f>
        <v>insert into app.cronaction (CronTaskId, CronActionTypeId, Payload, CreatedBy, LastUpdatedBy) select c.crontaskid, cat.CronActionTypeId,'{"EmailTextOnError":"tbd","TaskName":"DB Alert: Shipped Olpn W/ Consolidation Location Assignment",
"StateMachine":"" wms-tools-state-machine-db-alert-olpn-cons-loc",
" Lambda ":" &amp; C2 &amp; ",
"RequestType":"db-alert-olpn-cons-loc"}','sysuser', 'sysuser' from app.cronactiontype cat, app.crontasks c where c.description = 'DB Alert: Shipped Olpn W/ Consolidation Location Assignment' and not exists (select 1 from app.cronaction c2 where c2.crontaskid = c.crontaskid) and cat.description = 'NONE';</v>
      </c>
      <c r="L62" s="16" t="str">
        <f t="shared" si="1"/>
        <v>insert into app.cronaction (CronTaskId, CronActionTypeId, Payload, CreatedBy, LastUpdatedBy) select c.crontaskid, cat.CronActionTypeId,'{"EmailTextOnError":"tbd","TaskName":"DB Alert: Shipped Olpn W/ Consolidation Location Assignment",
"StateMachine":"wms-tools-state-machine-db-alert",
" Lambda ":"wms-tools-lambda-db-alert",
"RequestType":"db-alert-olpn-cons-loc"}','sysuser', 'sysuser' from app.cronactiontype cat, app.crontasks c where c.description = 'DB Alert: Shipped Olpn W/ Consolidation Location Assignment' and not exists (select 1 from app.cronaction c2 where c2.crontaskid = c.crontaskid) and cat.description = 'NONE';</v>
      </c>
      <c r="M62" t="s">
        <v>223</v>
      </c>
    </row>
    <row r="63" spans="1:13" x14ac:dyDescent="0.2">
      <c r="A63">
        <v>173</v>
      </c>
      <c r="B63">
        <f t="shared" si="5"/>
        <v>174</v>
      </c>
      <c r="C63" t="s">
        <v>18</v>
      </c>
      <c r="D63" t="s">
        <v>224</v>
      </c>
      <c r="E63" t="s">
        <v>225</v>
      </c>
      <c r="F63" t="s">
        <v>14</v>
      </c>
      <c r="G63" s="1" t="s">
        <v>22</v>
      </c>
      <c r="H63" t="str">
        <f t="shared" si="2"/>
        <v>insert into app.requesttype(requesttypeid, approute, description, longdescription) select (select max(r.requesttypeid) from app.requesttype r) + 1 requesttypeid, 173, 'db-alert-tmp-resv-no-inv', 'db-alert-tmp-resv-no-inv' where not exists (select 1 from app.requesttype r2 where r2.approute = 173 );</v>
      </c>
      <c r="I63" t="str">
        <f t="shared" si="3"/>
        <v>insert into app.requesttype(requesttypeid, approute, description, longdescription) select (select max(r.requesttypeid) from app.requesttype r) + 1 requesttypeid, 174, 'db-alert-tmp-resv-no-inv Interactive', 'db-alert-tmp-resv-no-inv Interactive' where not exists (select 1 from app.requesttype r2 where r2.approute = 174 );</v>
      </c>
      <c r="J63" t="str">
        <f t="shared" si="4"/>
        <v>insert into app.statemachinerepo(statemachine, description, requesttypeid) select 'tbd-' || rt.description, 'tbd-' || rt.description, rt.requesttypeid from app.requesttype rt where rt.description = 'db-alert-tmp-resv-no-inv' and not exists (select 1 from app.statemachinerepo sr where sr.description = 'tbd-db-alert-tmp-resv-no-inv');</v>
      </c>
      <c r="K63" s="16" t="str" cm="1">
        <f t="array" ref="K63">"insert into app.cronaction (CronTaskId, CronActionTypeId, Payload, CreatedBy, LastUpdatedBy) select c.crontaskid, cat.CronActionTypeId,'{""EmailTextOnError"":""tbd"",""TaskName"":""" &amp; E63 &amp; """,
""StateMachine"":""" &amp; IF(ISNUMBER(SEARCH("DB Alert", E)), "wms-tools-state-machine-db-alert", """ wms-tools-state-machine-" &amp; D63 &amp; "" ) &amp; """,
"" Lambda "":"" &amp; C2 &amp; "",
""RequestType"":""" &amp; D63 &amp;"""}','sysuser', 'sysuser' from app.cronactiontype cat, app.crontasks c where c.description = '" &amp; E63 &amp; "' and not exists (select 1 from app.cronaction c2 where c2.crontaskid = c.crontaskid) and cat.description = 'NONE';"</f>
        <v>insert into app.cronaction (CronTaskId, CronActionTypeId, Payload, CreatedBy, LastUpdatedBy) select c.crontaskid, cat.CronActionTypeId,'{"EmailTextOnError":"tbd","TaskName":"DB Alert: Temporary Reserve Locations W/ Assignments, But No Inventory",
"StateMachine":"" wms-tools-state-machine-db-alert-tmp-resv-no-inv",
" Lambda ":" &amp; C2 &amp; ",
"RequestType":"db-alert-tmp-resv-no-inv"}','sysuser', 'sysuser' from app.cronactiontype cat, app.crontasks c where c.description = 'DB Alert: Temporary Reserve Locations W/ Assignments, But No Inventory' and not exists (select 1 from app.cronaction c2 where c2.crontaskid = c.crontaskid) and cat.description = 'NONE';</v>
      </c>
      <c r="L63" s="16" t="str">
        <f t="shared" si="1"/>
        <v>insert into app.cronaction (CronTaskId, CronActionTypeId, Payload, CreatedBy, LastUpdatedBy) select c.crontaskid, cat.CronActionTypeId,'{"EmailTextOnError":"tbd","TaskName":"DB Alert: Temporary Reserve Locations W/ Assignments, But No Inventory",
"StateMachine":"wms-tools-state-machine-db-alert",
" Lambda ":"wms-tools-lambda-db-alert",
"RequestType":"db-alert-tmp-resv-no-inv"}','sysuser', 'sysuser' from app.cronactiontype cat, app.crontasks c where c.description = 'DB Alert: Temporary Reserve Locations W/ Assignments, But No Inventory' and not exists (select 1 from app.cronaction c2 where c2.crontaskid = c.crontaskid) and cat.description = 'NONE';</v>
      </c>
      <c r="M63" t="s">
        <v>226</v>
      </c>
    </row>
    <row r="64" spans="1:13" x14ac:dyDescent="0.2">
      <c r="A64">
        <v>175</v>
      </c>
      <c r="B64">
        <f t="shared" si="5"/>
        <v>176</v>
      </c>
      <c r="C64" t="s">
        <v>18</v>
      </c>
      <c r="D64" t="s">
        <v>227</v>
      </c>
      <c r="E64" t="s">
        <v>228</v>
      </c>
      <c r="F64" t="s">
        <v>14</v>
      </c>
      <c r="G64" s="1" t="s">
        <v>22</v>
      </c>
      <c r="H64" t="str">
        <f t="shared" si="2"/>
        <v>insert into app.requesttype(requesttypeid, approute, description, longdescription) select (select max(r.requesttypeid) from app.requesttype r) + 1 requesttypeid, 175, 'db-alert-tmp-inv-no-resv', 'db-alert-tmp-inv-no-resv' where not exists (select 1 from app.requesttype r2 where r2.approute = 175 );</v>
      </c>
      <c r="I64" t="str">
        <f t="shared" si="3"/>
        <v>insert into app.requesttype(requesttypeid, approute, description, longdescription) select (select max(r.requesttypeid) from app.requesttype r) + 1 requesttypeid, 176, 'db-alert-tmp-inv-no-resv Interactive', 'db-alert-tmp-inv-no-resv Interactive' where not exists (select 1 from app.requesttype r2 where r2.approute = 176 );</v>
      </c>
      <c r="J64" t="str">
        <f t="shared" si="4"/>
        <v>insert into app.statemachinerepo(statemachine, description, requesttypeid) select 'tbd-' || rt.description, 'tbd-' || rt.description, rt.requesttypeid from app.requesttype rt where rt.description = 'db-alert-tmp-inv-no-resv' and not exists (select 1 from app.statemachinerepo sr where sr.description = 'tbd-db-alert-tmp-inv-no-resv');</v>
      </c>
      <c r="K64" s="16" t="str" cm="1">
        <f t="array" ref="K64">"insert into app.cronaction (CronTaskId, CronActionTypeId, Payload, CreatedBy, LastUpdatedBy) select c.crontaskid, cat.CronActionTypeId,'{""EmailTextOnError"":""tbd"",""TaskName"":""" &amp; E64 &amp; """,
""StateMachine"":""" &amp; IF(ISNUMBER(SEARCH("DB Alert", E)), "wms-tools-state-machine-db-alert", """ wms-tools-state-machine-" &amp; D64 &amp; "" ) &amp; """,
"" Lambda "":"" &amp; C2 &amp; "",
""RequestType"":""" &amp; D64 &amp;"""}','sysuser', 'sysuser' from app.cronactiontype cat, app.crontasks c where c.description = '" &amp; E64 &amp; "' and not exists (select 1 from app.cronaction c2 where c2.crontaskid = c.crontaskid) and cat.description = 'NONE';"</f>
        <v>insert into app.cronaction (CronTaskId, CronActionTypeId, Payload, CreatedBy, LastUpdatedBy) select c.crontaskid, cat.CronActionTypeId,'{"EmailTextOnError":"tbd","TaskName":"DB Alert: Temporary Reserve Locations W/ Inventory, But No Assignments",
"StateMachine":"" wms-tools-state-machine-db-alert-tmp-inv-no-resv",
" Lambda ":" &amp; C2 &amp; ",
"RequestType":"db-alert-tmp-inv-no-resv"}','sysuser', 'sysuser' from app.cronactiontype cat, app.crontasks c where c.description = 'DB Alert: Temporary Reserve Locations W/ Inventory, But No Assignments' and not exists (select 1 from app.cronaction c2 where c2.crontaskid = c.crontaskid) and cat.description = 'NONE';</v>
      </c>
      <c r="L64" s="16" t="str">
        <f t="shared" si="1"/>
        <v>insert into app.cronaction (CronTaskId, CronActionTypeId, Payload, CreatedBy, LastUpdatedBy) select c.crontaskid, cat.CronActionTypeId,'{"EmailTextOnError":"tbd","TaskName":"DB Alert: Temporary Reserve Locations W/ Inventory, But No Assignments",
"StateMachine":"wms-tools-state-machine-db-alert",
" Lambda ":"wms-tools-lambda-db-alert",
"RequestType":"db-alert-tmp-inv-no-resv"}','sysuser', 'sysuser' from app.cronactiontype cat, app.crontasks c where c.description = 'DB Alert: Temporary Reserve Locations W/ Inventory, But No Assignments' and not exists (select 1 from app.cronaction c2 where c2.crontaskid = c.crontaskid) and cat.description = 'NONE';</v>
      </c>
      <c r="M64" t="s">
        <v>229</v>
      </c>
    </row>
    <row r="65" spans="1:13" x14ac:dyDescent="0.2">
      <c r="A65">
        <v>177</v>
      </c>
      <c r="B65">
        <f t="shared" si="5"/>
        <v>178</v>
      </c>
      <c r="C65" t="s">
        <v>18</v>
      </c>
      <c r="D65" t="s">
        <v>230</v>
      </c>
      <c r="E65" t="s">
        <v>231</v>
      </c>
      <c r="F65" t="s">
        <v>14</v>
      </c>
      <c r="G65" s="1" t="s">
        <v>22</v>
      </c>
      <c r="H65" t="str">
        <f t="shared" si="2"/>
        <v>insert into app.requesttype(requesttypeid, approute, description, longdescription) select (select max(r.requesttypeid) from app.requesttype r) + 1 requesttypeid, 177, 'db-alert-por-dup-pix', 'db-alert-por-dup-pix' where not exists (select 1 from app.requesttype r2 where r2.approute = 177 );</v>
      </c>
      <c r="I65" t="str">
        <f t="shared" si="3"/>
        <v>insert into app.requesttype(requesttypeid, approute, description, longdescription) select (select max(r.requesttypeid) from app.requesttype r) + 1 requesttypeid, 178, 'db-alert-por-dup-pix Interactive', 'db-alert-por-dup-pix Interactive' where not exists (select 1 from app.requesttype r2 where r2.approute = 178 );</v>
      </c>
      <c r="J65" t="str">
        <f t="shared" si="4"/>
        <v>insert into app.statemachinerepo(statemachine, description, requesttypeid) select 'tbd-' || rt.description, 'tbd-' || rt.description, rt.requesttypeid from app.requesttype rt where rt.description = 'db-alert-por-dup-pix' and not exists (select 1 from app.statemachinerepo sr where sr.description = 'tbd-db-alert-por-dup-pix');</v>
      </c>
      <c r="K65" s="16" t="str" cm="1">
        <f t="array" ref="K65">"insert into app.cronaction (CronTaskId, CronActionTypeId, Payload, CreatedBy, LastUpdatedBy) select c.crontaskid, cat.CronActionTypeId,'{""EmailTextOnError"":""tbd"",""TaskName"":""" &amp; E65 &amp; """,
""StateMachine"":""" &amp; IF(ISNUMBER(SEARCH("DB Alert", E)), "wms-tools-state-machine-db-alert", """ wms-tools-state-machine-" &amp; D65 &amp; "" ) &amp; """,
"" Lambda "":"" &amp; C2 &amp; "",
""RequestType"":""" &amp; D65 &amp;"""}','sysuser', 'sysuser' from app.cronactiontype cat, app.crontasks c where c.description = '" &amp; E65 &amp; "' and not exists (select 1 from app.cronaction c2 where c2.crontaskid = c.crontaskid) and cat.description = 'NONE';"</f>
        <v>insert into app.cronaction (CronTaskId, CronActionTypeId, Payload, CreatedBy, LastUpdatedBy) select c.crontaskid, cat.CronActionTypeId,'{"EmailTextOnError":"tbd","TaskName":"DB Alert: MAWM - Duplicate Pixs In Middleware Wms",
"StateMachine":"" wms-tools-state-machine-db-alert-por-dup-pix",
" Lambda ":" &amp; C2 &amp; ",
"RequestType":"db-alert-por-dup-pix"}','sysuser', 'sysuser' from app.cronactiontype cat, app.crontasks c where c.description = 'DB Alert: MAWM - Duplicate Pixs In Middleware Wms' and not exists (select 1 from app.cronaction c2 where c2.crontaskid = c.crontaskid) and cat.description = 'NONE';</v>
      </c>
      <c r="L65" s="16" t="str">
        <f t="shared" si="1"/>
        <v>insert into app.cronaction (CronTaskId, CronActionTypeId, Payload, CreatedBy, LastUpdatedBy) select c.crontaskid, cat.CronActionTypeId,'{"EmailTextOnError":"tbd","TaskName":"DB Alert: MAWM - Duplicate Pixs In Middleware Wms",
"StateMachine":"wms-tools-state-machine-db-alert",
" Lambda ":"wms-tools-lambda-db-alert",
"RequestType":"db-alert-por-dup-pix"}','sysuser', 'sysuser' from app.cronactiontype cat, app.crontasks c where c.description = 'DB Alert: MAWM - Duplicate Pixs In Middleware Wms' and not exists (select 1 from app.cronaction c2 where c2.crontaskid = c.crontaskid) and cat.description = 'NONE';</v>
      </c>
      <c r="M65" t="s">
        <v>232</v>
      </c>
    </row>
    <row r="66" spans="1:13" x14ac:dyDescent="0.2">
      <c r="A66">
        <v>179</v>
      </c>
      <c r="B66">
        <f t="shared" si="5"/>
        <v>180</v>
      </c>
      <c r="C66" t="s">
        <v>28</v>
      </c>
      <c r="D66" t="s">
        <v>233</v>
      </c>
      <c r="E66" t="s">
        <v>234</v>
      </c>
      <c r="F66" t="s">
        <v>14</v>
      </c>
      <c r="G66" s="1" t="s">
        <v>22</v>
      </c>
      <c r="H66" t="str">
        <f t="shared" si="2"/>
        <v>insert into app.requesttype(requesttypeid, approute, description, longdescription) select (select max(r.requesttypeid) from app.requesttype r) + 1 requesttypeid, 179, 'db-alert-inv-adj-null-po', 'db-alert-inv-adj-null-po' where not exists (select 1 from app.requesttype r2 where r2.approute = 179 );</v>
      </c>
      <c r="I66" t="str">
        <f t="shared" si="3"/>
        <v>insert into app.requesttype(requesttypeid, approute, description, longdescription) select (select max(r.requesttypeid) from app.requesttype r) + 1 requesttypeid, 180, 'db-alert-inv-adj-null-po Interactive', 'db-alert-inv-adj-null-po Interactive' where not exists (select 1 from app.requesttype r2 where r2.approute = 180 );</v>
      </c>
      <c r="J66" t="str">
        <f t="shared" si="4"/>
        <v>insert into app.statemachinerepo(statemachine, description, requesttypeid) select 'tbd-' || rt.description, 'tbd-' || rt.description, rt.requesttypeid from app.requesttype rt where rt.description = 'db-alert-inv-adj-null-po' and not exists (select 1 from app.statemachinerepo sr where sr.description = 'tbd-db-alert-inv-adj-null-po');</v>
      </c>
      <c r="K66" s="16" t="str" cm="1">
        <f t="array" ref="K66">"insert into app.cronaction (CronTaskId, CronActionTypeId, Payload, CreatedBy, LastUpdatedBy) select c.crontaskid, cat.CronActionTypeId,'{""EmailTextOnError"":""tbd"",""TaskName"":""" &amp; E66 &amp; """,
""StateMachine"":""" &amp; IF(ISNUMBER(SEARCH("DB Alert", E)), "wms-tools-state-machine-db-alert", """ wms-tools-state-machine-" &amp; D66 &amp; "" ) &amp; """,
"" Lambda "":"" &amp; C2 &amp; "",
""RequestType"":""" &amp; D66 &amp;"""}','sysuser', 'sysuser' from app.cronactiontype cat, app.crontasks c where c.description = '" &amp; E66 &amp; "' and not exists (select 1 from app.cronaction c2 where c2.crontaskid = c.crontaskid) and cat.description = 'NONE';"</f>
        <v>insert into app.cronaction (CronTaskId, CronActionTypeId, Payload, CreatedBy, LastUpdatedBy) select c.crontaskid, cat.CronActionTypeId,'{"EmailTextOnError":"tbd","TaskName":"DB Alert: MAWM -Inventory Adjustment Pix W/ Null Po Line",
"StateMachine":"" wms-tools-state-machine-db-alert-inv-adj-null-po",
" Lambda ":" &amp; C2 &amp; ",
"RequestType":"db-alert-inv-adj-null-po"}','sysuser', 'sysuser' from app.cronactiontype cat, app.crontasks c where c.description = 'DB Alert: MAWM -Inventory Adjustment Pix W/ Null Po Line' and not exists (select 1 from app.cronaction c2 where c2.crontaskid = c.crontaskid) and cat.description = 'NONE';</v>
      </c>
      <c r="L66" s="16" t="str">
        <f t="shared" si="1"/>
        <v>insert into app.cronaction (CronTaskId, CronActionTypeId, Payload, CreatedBy, LastUpdatedBy) select c.crontaskid, cat.CronActionTypeId,'{"EmailTextOnError":"tbd","TaskName":"DB Alert: MAWM -Inventory Adjustment Pix W/ Null Po Line",
"StateMachine":"wms-tools-state-machine-db-alert",
" Lambda ":"wms-tools-lambda-oracle-db-alert",
"RequestType":"db-alert-inv-adj-null-po"}','sysuser', 'sysuser' from app.cronactiontype cat, app.crontasks c where c.description = 'DB Alert: MAWM -Inventory Adjustment Pix W/ Null Po Line' and not exists (select 1 from app.cronaction c2 where c2.crontaskid = c.crontaskid) and cat.description = 'NONE';</v>
      </c>
      <c r="M66" t="s">
        <v>235</v>
      </c>
    </row>
    <row r="67" spans="1:13" x14ac:dyDescent="0.2">
      <c r="A67">
        <v>181</v>
      </c>
      <c r="B67">
        <f t="shared" si="5"/>
        <v>182</v>
      </c>
      <c r="C67" t="s">
        <v>18</v>
      </c>
      <c r="D67" t="s">
        <v>236</v>
      </c>
      <c r="E67" t="s">
        <v>237</v>
      </c>
      <c r="F67" t="s">
        <v>14</v>
      </c>
      <c r="G67" s="1" t="s">
        <v>22</v>
      </c>
      <c r="H67" t="str">
        <f t="shared" si="2"/>
        <v>insert into app.requesttype(requesttypeid, approute, description, longdescription) select (select max(r.requesttypeid) from app.requesttype r) + 1 requesttypeid, 181, 'db-alert-packing-olpn-5m', 'db-alert-packing-olpn-5m' where not exists (select 1 from app.requesttype r2 where r2.approute = 181 );</v>
      </c>
      <c r="I67" t="str">
        <f t="shared" si="3"/>
        <v>insert into app.requesttype(requesttypeid, approute, description, longdescription) select (select max(r.requesttypeid) from app.requesttype r) + 1 requesttypeid, 182, 'db-alert-packing-olpn-5m Interactive', 'db-alert-packing-olpn-5m Interactive' where not exists (select 1 from app.requesttype r2 where r2.approute = 182 );</v>
      </c>
      <c r="J67" t="str">
        <f t="shared" si="4"/>
        <v>insert into app.statemachinerepo(statemachine, description, requesttypeid) select 'tbd-' || rt.description, 'tbd-' || rt.description, rt.requesttypeid from app.requesttype rt where rt.description = 'db-alert-packing-olpn-5m' and not exists (select 1 from app.statemachinerepo sr where sr.description = 'tbd-db-alert-packing-olpn-5m');</v>
      </c>
      <c r="K67" s="16" t="str" cm="1">
        <f t="array" ref="K67">"insert into app.cronaction (CronTaskId, CronActionTypeId, Payload, CreatedBy, LastUpdatedBy) select c.crontaskid, cat.CronActionTypeId,'{""EmailTextOnError"":""tbd"",""TaskName"":""" &amp; E67 &amp; """,
""StateMachine"":""" &amp; IF(ISNUMBER(SEARCH("DB Alert", E)), "wms-tools-state-machine-db-alert", """ wms-tools-state-machine-" &amp; D67 &amp; "" ) &amp; """,
"" Lambda "":"" &amp; C2 &amp; "",
""RequestType"":""" &amp; D67 &amp;"""}','sysuser', 'sysuser' from app.cronactiontype cat, app.crontasks c where c.description = '" &amp; E67 &amp; "' and not exists (select 1 from app.cronaction c2 where c2.crontaskid = c.crontaskid) and cat.description = 'NONE';"</f>
        <v>insert into app.cronaction (CronTaskId, CronActionTypeId, Payload, CreatedBy, LastUpdatedBy) select c.crontaskid, cat.CronActionTypeId,'{"EmailTextOnError":"tbd","TaskName":"DB Alert: MAWM -In Packing Olpns &gt; 5 Minutes",
"StateMachine":"" wms-tools-state-machine-db-alert-packing-olpn-5m",
" Lambda ":" &amp; C2 &amp; ",
"RequestType":"db-alert-packing-olpn-5m"}','sysuser', 'sysuser' from app.cronactiontype cat, app.crontasks c where c.description = 'DB Alert: MAWM -In Packing Olpns &gt; 5 Minutes' and not exists (select 1 from app.cronaction c2 where c2.crontaskid = c.crontaskid) and cat.description = 'NONE';</v>
      </c>
      <c r="L67" s="16" t="str">
        <f t="shared" ref="L67:L74" si="6">"insert into app.cronaction (CronTaskId, CronActionTypeId, Payload, CreatedBy, LastUpdatedBy) select c.crontaskid, cat.CronActionTypeId,'{""EmailTextOnError"":""tbd"",""TaskName"":""" &amp; E67 &amp; """,
""StateMachine"":""" &amp; IF(ISNUMBER(SEARCH("DB Alert", E67)), "wms-tools-state-machine-db-alert", """ wms-tools-state-machine-" &amp; D67 &amp; "" ) &amp; """,
"" Lambda "":""" &amp; C67 &amp; """,
""RequestType"":""" &amp; D67 &amp;"""}','sysuser', 'sysuser' from app.cronactiontype cat, app.crontasks c where c.description = '" &amp; E67 &amp; "' and not exists (select 1 from app.cronaction c2 where c2.crontaskid = c.crontaskid) and cat.description = 'NONE';"</f>
        <v>insert into app.cronaction (CronTaskId, CronActionTypeId, Payload, CreatedBy, LastUpdatedBy) select c.crontaskid, cat.CronActionTypeId,'{"EmailTextOnError":"tbd","TaskName":"DB Alert: MAWM -In Packing Olpns &gt; 5 Minutes",
"StateMachine":"wms-tools-state-machine-db-alert",
" Lambda ":"wms-tools-lambda-db-alert",
"RequestType":"db-alert-packing-olpn-5m"}','sysuser', 'sysuser' from app.cronactiontype cat, app.crontasks c where c.description = 'DB Alert: MAWM -In Packing Olpns &gt; 5 Minutes' and not exists (select 1 from app.cronaction c2 where c2.crontaskid = c.crontaskid) and cat.description = 'NONE';</v>
      </c>
      <c r="M67" t="s">
        <v>238</v>
      </c>
    </row>
    <row r="68" spans="1:13" x14ac:dyDescent="0.2">
      <c r="A68">
        <v>183</v>
      </c>
      <c r="B68">
        <f t="shared" si="5"/>
        <v>184</v>
      </c>
      <c r="C68" t="s">
        <v>18</v>
      </c>
      <c r="D68" t="s">
        <v>239</v>
      </c>
      <c r="E68" t="s">
        <v>240</v>
      </c>
      <c r="F68" t="s">
        <v>14</v>
      </c>
      <c r="G68" s="1" t="s">
        <v>22</v>
      </c>
      <c r="H68" t="str">
        <f t="shared" si="2"/>
        <v>insert into app.requesttype(requesttypeid, approute, description, longdescription) select (select max(r.requesttypeid) from app.requesttype r) + 1 requesttypeid, 183, 'db-alert-load-no-ship-6h', 'db-alert-load-no-ship-6h' where not exists (select 1 from app.requesttype r2 where r2.approute = 183 );</v>
      </c>
      <c r="I68" t="str">
        <f t="shared" si="3"/>
        <v>insert into app.requesttype(requesttypeid, approute, description, longdescription) select (select max(r.requesttypeid) from app.requesttype r) + 1 requesttypeid, 184, 'db-alert-load-no-ship-6h Interactive', 'db-alert-load-no-ship-6h Interactive' where not exists (select 1 from app.requesttype r2 where r2.approute = 184 );</v>
      </c>
      <c r="J68" t="str">
        <f t="shared" si="4"/>
        <v>insert into app.statemachinerepo(statemachine, description, requesttypeid) select 'tbd-' || rt.description, 'tbd-' || rt.description, rt.requesttypeid from app.requesttype rt where rt.description = 'db-alert-load-no-ship-6h' and not exists (select 1 from app.statemachinerepo sr where sr.description = 'tbd-db-alert-load-no-ship-6h');</v>
      </c>
      <c r="K68" s="16" t="str" cm="1">
        <f t="array" ref="K68">"insert into app.cronaction (CronTaskId, CronActionTypeId, Payload, CreatedBy, LastUpdatedBy) select c.crontaskid, cat.CronActionTypeId,'{""EmailTextOnError"":""tbd"",""TaskName"":""" &amp; E68 &amp; """,
""StateMachine"":""" &amp; IF(ISNUMBER(SEARCH("DB Alert", E)), "wms-tools-state-machine-db-alert", """ wms-tools-state-machine-" &amp; D68 &amp; "" ) &amp; """,
"" Lambda "":"" &amp; C2 &amp; "",
""RequestType"":""" &amp; D68 &amp;"""}','sysuser', 'sysuser' from app.cronactiontype cat, app.crontasks c where c.description = '" &amp; E68 &amp; "' and not exists (select 1 from app.cronaction c2 where c2.crontaskid = c.crontaskid) and cat.description = 'NONE';"</f>
        <v>insert into app.cronaction (CronTaskId, CronActionTypeId, Payload, CreatedBy, LastUpdatedBy) select c.crontaskid, cat.CronActionTypeId,'{"EmailTextOnError":"tbd","TaskName":"DB Alert: MAWM -Loaded Shipments W/ No Ship Confirm &gt; 6 Hours",
"StateMachine":"" wms-tools-state-machine-db-alert-load-no-ship-6h",
" Lambda ":" &amp; C2 &amp; ",
"RequestType":"db-alert-load-no-ship-6h"}','sysuser', 'sysuser' from app.cronactiontype cat, app.crontasks c where c.description = 'DB Alert: MAWM -Loaded Shipments W/ No Ship Confirm &gt; 6 Hours' and not exists (select 1 from app.cronaction c2 where c2.crontaskid = c.crontaskid) and cat.description = 'NONE';</v>
      </c>
      <c r="L68" s="16" t="str">
        <f t="shared" si="6"/>
        <v>insert into app.cronaction (CronTaskId, CronActionTypeId, Payload, CreatedBy, LastUpdatedBy) select c.crontaskid, cat.CronActionTypeId,'{"EmailTextOnError":"tbd","TaskName":"DB Alert: MAWM -Loaded Shipments W/ No Ship Confirm &gt; 6 Hours",
"StateMachine":"wms-tools-state-machine-db-alert",
" Lambda ":"wms-tools-lambda-db-alert",
"RequestType":"db-alert-load-no-ship-6h"}','sysuser', 'sysuser' from app.cronactiontype cat, app.crontasks c where c.description = 'DB Alert: MAWM -Loaded Shipments W/ No Ship Confirm &gt; 6 Hours' and not exists (select 1 from app.cronaction c2 where c2.crontaskid = c.crontaskid) and cat.description = 'NONE';</v>
      </c>
      <c r="M68" t="s">
        <v>241</v>
      </c>
    </row>
    <row r="69" spans="1:13" x14ac:dyDescent="0.2">
      <c r="A69">
        <v>185</v>
      </c>
      <c r="B69">
        <f t="shared" si="5"/>
        <v>186</v>
      </c>
      <c r="C69" t="s">
        <v>18</v>
      </c>
      <c r="D69" t="s">
        <v>242</v>
      </c>
      <c r="E69" t="s">
        <v>243</v>
      </c>
      <c r="F69" t="s">
        <v>14</v>
      </c>
      <c r="G69" s="1" t="s">
        <v>22</v>
      </c>
      <c r="H69" t="str">
        <f t="shared" si="2"/>
        <v>insert into app.requesttype(requesttypeid, approute, description, longdescription) select (select max(r.requesttypeid) from app.requesttype r) + 1 requesttypeid, 185, 'db-alert-putaway-open-ilpn', 'db-alert-putaway-open-ilpn' where not exists (select 1 from app.requesttype r2 where r2.approute = 185 );</v>
      </c>
      <c r="I69" t="str">
        <f t="shared" si="3"/>
        <v>insert into app.requesttype(requesttypeid, approute, description, longdescription) select (select max(r.requesttypeid) from app.requesttype r) + 1 requesttypeid, 186, 'db-alert-putaway-open-ilpn Interactive', 'db-alert-putaway-open-ilpn Interactive' where not exists (select 1 from app.requesttype r2 where r2.approute = 186 );</v>
      </c>
      <c r="J69" t="str">
        <f t="shared" si="4"/>
        <v>insert into app.statemachinerepo(statemachine, description, requesttypeid) select 'tbd-' || rt.description, 'tbd-' || rt.description, rt.requesttypeid from app.requesttype rt where rt.description = 'db-alert-putaway-open-ilpn' and not exists (select 1 from app.statemachinerepo sr where sr.description = 'tbd-db-alert-putaway-open-ilpn');</v>
      </c>
      <c r="K69" s="16" t="str" cm="1">
        <f t="array" ref="K69">"insert into app.cronaction (CronTaskId, CronActionTypeId, Payload, CreatedBy, LastUpdatedBy) select c.crontaskid, cat.CronActionTypeId,'{""EmailTextOnError"":""tbd"",""TaskName"":""" &amp; E69 &amp; """,
""StateMachine"":""" &amp; IF(ISNUMBER(SEARCH("DB Alert", E)), "wms-tools-state-machine-db-alert", """ wms-tools-state-machine-" &amp; D69 &amp; "" ) &amp; """,
"" Lambda "":"" &amp; C2 &amp; "",
""RequestType"":""" &amp; D69 &amp;"""}','sysuser', 'sysuser' from app.cronactiontype cat, app.crontasks c where c.description = '" &amp; E69 &amp; "' and not exists (select 1 from app.cronaction c2 where c2.crontaskid = c.crontaskid) and cat.description = 'NONE';"</f>
        <v>insert into app.cronaction (CronTaskId, CronActionTypeId, Payload, CreatedBy, LastUpdatedBy) select c.crontaskid, cat.CronActionTypeId,'{"EmailTextOnError":"tbd","TaskName":"DB Alert: MAWM -Putaway Task Is Open But Ilpn Is Putaway",
"StateMachine":"" wms-tools-state-machine-db-alert-putaway-open-ilpn",
" Lambda ":" &amp; C2 &amp; ",
"RequestType":"db-alert-putaway-open-ilpn"}','sysuser', 'sysuser' from app.cronactiontype cat, app.crontasks c where c.description = 'DB Alert: MAWM -Putaway Task Is Open But Ilpn Is Putaway' and not exists (select 1 from app.cronaction c2 where c2.crontaskid = c.crontaskid) and cat.description = 'NONE';</v>
      </c>
      <c r="L69" s="16" t="str">
        <f t="shared" si="6"/>
        <v>insert into app.cronaction (CronTaskId, CronActionTypeId, Payload, CreatedBy, LastUpdatedBy) select c.crontaskid, cat.CronActionTypeId,'{"EmailTextOnError":"tbd","TaskName":"DB Alert: MAWM -Putaway Task Is Open But Ilpn Is Putaway",
"StateMachine":"wms-tools-state-machine-db-alert",
" Lambda ":"wms-tools-lambda-db-alert",
"RequestType":"db-alert-putaway-open-ilpn"}','sysuser', 'sysuser' from app.cronactiontype cat, app.crontasks c where c.description = 'DB Alert: MAWM -Putaway Task Is Open But Ilpn Is Putaway' and not exists (select 1 from app.cronaction c2 where c2.crontaskid = c.crontaskid) and cat.description = 'NONE';</v>
      </c>
      <c r="M69" t="s">
        <v>244</v>
      </c>
    </row>
    <row r="70" spans="1:13" x14ac:dyDescent="0.2">
      <c r="A70">
        <v>187</v>
      </c>
      <c r="B70">
        <f t="shared" si="5"/>
        <v>188</v>
      </c>
      <c r="C70" t="s">
        <v>18</v>
      </c>
      <c r="D70" t="s">
        <v>245</v>
      </c>
      <c r="E70" t="s">
        <v>246</v>
      </c>
      <c r="F70" t="s">
        <v>14</v>
      </c>
      <c r="G70" s="1" t="s">
        <v>22</v>
      </c>
      <c r="H70" t="str">
        <f t="shared" si="2"/>
        <v>insert into app.requesttype(requesttypeid, approute, description, longdescription) select (select max(r.requesttypeid) from app.requesttype r) + 1 requesttypeid, 187, 'db-alert-taskcomp-open-det', 'db-alert-taskcomp-open-det' where not exists (select 1 from app.requesttype r2 where r2.approute = 187 );</v>
      </c>
      <c r="I70" t="str">
        <f t="shared" si="3"/>
        <v>insert into app.requesttype(requesttypeid, approute, description, longdescription) select (select max(r.requesttypeid) from app.requesttype r) + 1 requesttypeid, 188, 'db-alert-taskcomp-open-det Interactive', 'db-alert-taskcomp-open-det Interactive' where not exists (select 1 from app.requesttype r2 where r2.approute = 188 );</v>
      </c>
      <c r="J70" t="str">
        <f t="shared" si="4"/>
        <v>insert into app.statemachinerepo(statemachine, description, requesttypeid) select 'tbd-' || rt.description, 'tbd-' || rt.description, rt.requesttypeid from app.requesttype rt where rt.description = 'db-alert-taskcomp-open-det' and not exists (select 1 from app.statemachinerepo sr where sr.description = 'tbd-db-alert-taskcomp-open-det');</v>
      </c>
      <c r="K70" s="16" t="str" cm="1">
        <f t="array" ref="K70">"insert into app.cronaction (CronTaskId, CronActionTypeId, Payload, CreatedBy, LastUpdatedBy) select c.crontaskid, cat.CronActionTypeId,'{""EmailTextOnError"":""tbd"",""TaskName"":""" &amp; E70 &amp; """,
""StateMachine"":""" &amp; IF(ISNUMBER(SEARCH("DB Alert", E)), "wms-tools-state-machine-db-alert", """ wms-tools-state-machine-" &amp; D70 &amp; "" ) &amp; """,
"" Lambda "":"" &amp; C2 &amp; "",
""RequestType"":""" &amp; D70 &amp;"""}','sysuser', 'sysuser' from app.cronactiontype cat, app.crontasks c where c.description = '" &amp; E70 &amp; "' and not exists (select 1 from app.cronaction c2 where c2.crontaskid = c.crontaskid) and cat.description = 'NONE';"</f>
        <v>insert into app.cronaction (CronTaskId, CronActionTypeId, Payload, CreatedBy, LastUpdatedBy) select c.crontaskid, cat.CronActionTypeId,'{"EmailTextOnError":"tbd","TaskName":"DB Alert: MAWM -Task Completed Or Cancelled W/ Open Task Details",
"StateMachine":"" wms-tools-state-machine-db-alert-taskcomp-open-det",
" Lambda ":" &amp; C2 &amp; ",
"RequestType":"db-alert-taskcomp-open-det"}','sysuser', 'sysuser' from app.cronactiontype cat, app.crontasks c where c.description = 'DB Alert: MAWM -Task Completed Or Cancelled W/ Open Task Details' and not exists (select 1 from app.cronaction c2 where c2.crontaskid = c.crontaskid) and cat.description = 'NONE';</v>
      </c>
      <c r="L70" s="16" t="str">
        <f t="shared" si="6"/>
        <v>insert into app.cronaction (CronTaskId, CronActionTypeId, Payload, CreatedBy, LastUpdatedBy) select c.crontaskid, cat.CronActionTypeId,'{"EmailTextOnError":"tbd","TaskName":"DB Alert: MAWM -Task Completed Or Cancelled W/ Open Task Details",
"StateMachine":"wms-tools-state-machine-db-alert",
" Lambda ":"wms-tools-lambda-db-alert",
"RequestType":"db-alert-taskcomp-open-det"}','sysuser', 'sysuser' from app.cronactiontype cat, app.crontasks c where c.description = 'DB Alert: MAWM -Task Completed Or Cancelled W/ Open Task Details' and not exists (select 1 from app.cronaction c2 where c2.crontaskid = c.crontaskid) and cat.description = 'NONE';</v>
      </c>
      <c r="M70" t="s">
        <v>247</v>
      </c>
    </row>
    <row r="71" spans="1:13" x14ac:dyDescent="0.2">
      <c r="A71">
        <v>189</v>
      </c>
      <c r="B71">
        <f t="shared" si="5"/>
        <v>190</v>
      </c>
      <c r="C71" t="s">
        <v>18</v>
      </c>
      <c r="D71" t="s">
        <v>248</v>
      </c>
      <c r="E71" t="s">
        <v>249</v>
      </c>
      <c r="F71" t="s">
        <v>14</v>
      </c>
      <c r="G71" s="1" t="s">
        <v>22</v>
      </c>
      <c r="H71" t="str">
        <f t="shared" ref="H71:H74" si="7">"insert into app.requesttype(requesttypeid, approute, description, longdescription) select (select max(r.requesttypeid) from app.requesttype r) + 1 requesttypeid, " &amp; A71 &amp; ", '" &amp; D71 &amp; "', '" &amp; D71 &amp; "' where not exists (select 1 from app.requesttype r2 where r2.approute = " &amp; A71 &amp; " );"</f>
        <v>insert into app.requesttype(requesttypeid, approute, description, longdescription) select (select max(r.requesttypeid) from app.requesttype r) + 1 requesttypeid, 189, 'db-alert-taskopen-compdet', 'db-alert-taskopen-compdet' where not exists (select 1 from app.requesttype r2 where r2.approute = 189 );</v>
      </c>
      <c r="I71" t="str">
        <f t="shared" ref="I71:I74" si="8">"insert into app.requesttype(requesttypeid, approute, description, longdescription) select (select max(r.requesttypeid) from app.requesttype r) + 1 requesttypeid, " &amp; B71 &amp; ", '" &amp; D71 &amp; " Interactive', '" &amp; D71 &amp; " Interactive' where not exists (select 1 from app.requesttype r2 where r2.approute = " &amp; B71 &amp; " );"</f>
        <v>insert into app.requesttype(requesttypeid, approute, description, longdescription) select (select max(r.requesttypeid) from app.requesttype r) + 1 requesttypeid, 190, 'db-alert-taskopen-compdet Interactive', 'db-alert-taskopen-compdet Interactive' where not exists (select 1 from app.requesttype r2 where r2.approute = 190 );</v>
      </c>
      <c r="J71" t="str">
        <f t="shared" si="4"/>
        <v>insert into app.statemachinerepo(statemachine, description, requesttypeid) select 'tbd-' || rt.description, 'tbd-' || rt.description, rt.requesttypeid from app.requesttype rt where rt.description = 'db-alert-taskopen-compdet' and not exists (select 1 from app.statemachinerepo sr where sr.description = 'tbd-db-alert-taskopen-compdet');</v>
      </c>
      <c r="K71" s="16" t="str" cm="1">
        <f t="array" ref="K71">"insert into app.cronaction (CronTaskId, CronActionTypeId, Payload, CreatedBy, LastUpdatedBy) select c.crontaskid, cat.CronActionTypeId,'{""EmailTextOnError"":""tbd"",""TaskName"":""" &amp; E71 &amp; """,
""StateMachine"":""" &amp; IF(ISNUMBER(SEARCH("DB Alert", E)), "wms-tools-state-machine-db-alert", """ wms-tools-state-machine-" &amp; D71 &amp; "" ) &amp; """,
"" Lambda "":"" &amp; C2 &amp; "",
""RequestType"":""" &amp; D71 &amp;"""}','sysuser', 'sysuser' from app.cronactiontype cat, app.crontasks c where c.description = '" &amp; E71 &amp; "' and not exists (select 1 from app.cronaction c2 where c2.crontaskid = c.crontaskid) and cat.description = 'NONE';"</f>
        <v>insert into app.cronaction (CronTaskId, CronActionTypeId, Payload, CreatedBy, LastUpdatedBy) select c.crontaskid, cat.CronActionTypeId,'{"EmailTextOnError":"tbd","TaskName":"DB Alert: MAWM -Task Open W/ Completed Or Cancelled Task Details",
"StateMachine":"" wms-tools-state-machine-db-alert-taskopen-compdet",
" Lambda ":" &amp; C2 &amp; ",
"RequestType":"db-alert-taskopen-compdet"}','sysuser', 'sysuser' from app.cronactiontype cat, app.crontasks c where c.description = 'DB Alert: MAWM -Task Open W/ Completed Or Cancelled Task Details' and not exists (select 1 from app.cronaction c2 where c2.crontaskid = c.crontaskid) and cat.description = 'NONE';</v>
      </c>
      <c r="L71" s="16" t="str">
        <f t="shared" si="6"/>
        <v>insert into app.cronaction (CronTaskId, CronActionTypeId, Payload, CreatedBy, LastUpdatedBy) select c.crontaskid, cat.CronActionTypeId,'{"EmailTextOnError":"tbd","TaskName":"DB Alert: MAWM -Task Open W/ Completed Or Cancelled Task Details",
"StateMachine":"wms-tools-state-machine-db-alert",
" Lambda ":"wms-tools-lambda-db-alert",
"RequestType":"db-alert-taskopen-compdet"}','sysuser', 'sysuser' from app.cronactiontype cat, app.crontasks c where c.description = 'DB Alert: MAWM -Task Open W/ Completed Or Cancelled Task Details' and not exists (select 1 from app.cronaction c2 where c2.crontaskid = c.crontaskid) and cat.description = 'NONE';</v>
      </c>
      <c r="M71" t="s">
        <v>250</v>
      </c>
    </row>
    <row r="72" spans="1:13" x14ac:dyDescent="0.2">
      <c r="A72">
        <v>191</v>
      </c>
      <c r="B72">
        <f t="shared" si="5"/>
        <v>192</v>
      </c>
      <c r="C72" t="s">
        <v>18</v>
      </c>
      <c r="D72" t="s">
        <v>251</v>
      </c>
      <c r="E72" t="s">
        <v>252</v>
      </c>
      <c r="F72" t="s">
        <v>14</v>
      </c>
      <c r="G72" s="1" t="s">
        <v>22</v>
      </c>
      <c r="H72" t="str">
        <f t="shared" si="7"/>
        <v>insert into app.requesttype(requesttypeid, approute, description, longdescription) select (select max(r.requesttypeid) from app.requesttype r) + 1 requesttypeid, 191, 'db-alert-taskprog-compdet', 'db-alert-taskprog-compdet' where not exists (select 1 from app.requesttype r2 where r2.approute = 191 );</v>
      </c>
      <c r="I72" t="str">
        <f t="shared" si="8"/>
        <v>insert into app.requesttype(requesttypeid, approute, description, longdescription) select (select max(r.requesttypeid) from app.requesttype r) + 1 requesttypeid, 192, 'db-alert-taskprog-compdet Interactive', 'db-alert-taskprog-compdet Interactive' where not exists (select 1 from app.requesttype r2 where r2.approute = 192 );</v>
      </c>
      <c r="J72" t="str">
        <f t="shared" ref="J72:J74" si="9">"insert into app.statemachinerepo(statemachine, description, requesttypeid) select '" &amp; F72 &amp; "-' || rt.description" &amp; ", '" &amp; F72 &amp; "-' || rt.description" &amp; ", rt.requesttypeid from app.requesttype rt where rt.description = '" &amp; D72 &amp; "' and not exists (select 1 from app.statemachinerepo sr where sr.description = '" &amp; F72 &amp; "-" &amp; D72 &amp; "');"</f>
        <v>insert into app.statemachinerepo(statemachine, description, requesttypeid) select 'tbd-' || rt.description, 'tbd-' || rt.description, rt.requesttypeid from app.requesttype rt where rt.description = 'db-alert-taskprog-compdet' and not exists (select 1 from app.statemachinerepo sr where sr.description = 'tbd-db-alert-taskprog-compdet');</v>
      </c>
      <c r="K72" s="16" t="str" cm="1">
        <f t="array" ref="K72">"insert into app.cronaction (CronTaskId, CronActionTypeId, Payload, CreatedBy, LastUpdatedBy) select c.crontaskid, cat.CronActionTypeId,'{""EmailTextOnError"":""tbd"",""TaskName"":""" &amp; E72 &amp; """,
""StateMachine"":""" &amp; IF(ISNUMBER(SEARCH("DB Alert", E)), "wms-tools-state-machine-db-alert", """ wms-tools-state-machine-" &amp; D72 &amp; "" ) &amp; """,
"" Lambda "":"" &amp; C2 &amp; "",
""RequestType"":""" &amp; D72 &amp;"""}','sysuser', 'sysuser' from app.cronactiontype cat, app.crontasks c where c.description = '" &amp; E72 &amp; "' and not exists (select 1 from app.cronaction c2 where c2.crontaskid = c.crontaskid) and cat.description = 'NONE';"</f>
        <v>insert into app.cronaction (CronTaskId, CronActionTypeId, Payload, CreatedBy, LastUpdatedBy) select c.crontaskid, cat.CronActionTypeId,'{"EmailTextOnError":"tbd","TaskName":"DB Alert: MAWM -Task In Progress W/ Completed Or Cancelled Task Details",
"StateMachine":"" wms-tools-state-machine-db-alert-taskprog-compdet",
" Lambda ":" &amp; C2 &amp; ",
"RequestType":"db-alert-taskprog-compdet"}','sysuser', 'sysuser' from app.cronactiontype cat, app.crontasks c where c.description = 'DB Alert: MAWM -Task In Progress W/ Completed Or Cancelled Task Details' and not exists (select 1 from app.cronaction c2 where c2.crontaskid = c.crontaskid) and cat.description = 'NONE';</v>
      </c>
      <c r="L72" s="16" t="str">
        <f t="shared" si="6"/>
        <v>insert into app.cronaction (CronTaskId, CronActionTypeId, Payload, CreatedBy, LastUpdatedBy) select c.crontaskid, cat.CronActionTypeId,'{"EmailTextOnError":"tbd","TaskName":"DB Alert: MAWM -Task In Progress W/ Completed Or Cancelled Task Details",
"StateMachine":"wms-tools-state-machine-db-alert",
" Lambda ":"wms-tools-lambda-db-alert",
"RequestType":"db-alert-taskprog-compdet"}','sysuser', 'sysuser' from app.cronactiontype cat, app.crontasks c where c.description = 'DB Alert: MAWM -Task In Progress W/ Completed Or Cancelled Task Details' and not exists (select 1 from app.cronaction c2 where c2.crontaskid = c.crontaskid) and cat.description = 'NONE';</v>
      </c>
      <c r="M72" t="s">
        <v>253</v>
      </c>
    </row>
    <row r="73" spans="1:13" x14ac:dyDescent="0.2">
      <c r="A73">
        <v>193</v>
      </c>
      <c r="B73">
        <f>A73+1</f>
        <v>194</v>
      </c>
      <c r="C73" t="s">
        <v>254</v>
      </c>
      <c r="D73" t="s">
        <v>255</v>
      </c>
      <c r="E73" t="s">
        <v>256</v>
      </c>
      <c r="F73" t="s">
        <v>14</v>
      </c>
      <c r="G73" s="1" t="s">
        <v>15</v>
      </c>
      <c r="H73" t="str">
        <f t="shared" si="7"/>
        <v>insert into app.requesttype(requesttypeid, approute, description, longdescription) select (select max(r.requesttypeid) from app.requesttype r) + 1 requesttypeid, 193, 'mawm-cons-report', 'mawm-cons-report' where not exists (select 1 from app.requesttype r2 where r2.approute = 193 );</v>
      </c>
      <c r="I73" t="str">
        <f t="shared" si="8"/>
        <v>insert into app.requesttype(requesttypeid, approute, description, longdescription) select (select max(r.requesttypeid) from app.requesttype r) + 1 requesttypeid, 194, 'mawm-cons-report Interactive', 'mawm-cons-report Interactive' where not exists (select 1 from app.requesttype r2 where r2.approute = 194 );</v>
      </c>
      <c r="J73" t="str">
        <f t="shared" si="9"/>
        <v>insert into app.statemachinerepo(statemachine, description, requesttypeid) select 'tbd-' || rt.description, 'tbd-' || rt.description, rt.requesttypeid from app.requesttype rt where rt.description = 'mawm-cons-report' and not exists (select 1 from app.statemachinerepo sr where sr.description = 'tbd-mawm-cons-report');</v>
      </c>
      <c r="K73" s="16" t="str" cm="1">
        <f t="array" ref="K73">"insert into app.cronaction (CronTaskId, CronActionTypeId, Payload, CreatedBy, LastUpdatedBy) select c.crontaskid, cat.CronActionTypeId,'{""EmailTextOnError"":""tbd"",""TaskName"":""" &amp; E73 &amp; """,
""StateMachine"":""" &amp; IF(ISNUMBER(SEARCH("DB Alert", E)), "wms-tools-state-machine-db-alert", """ wms-tools-state-machine-" &amp; D73 &amp; "" ) &amp; """,
"" Lambda "":"" &amp; C2 &amp; "",
""RequestType"":""" &amp; D73 &amp;"""}','sysuser', 'sysuser' from app.cronactiontype cat, app.crontasks c where c.description = '" &amp; E73 &amp; "' and not exists (select 1 from app.cronaction c2 where c2.crontaskid = c.crontaskid) and cat.description = 'NONE';"</f>
        <v>insert into app.cronaction (CronTaskId, CronActionTypeId, Payload, CreatedBy, LastUpdatedBy) select c.crontaskid, cat.CronActionTypeId,'{"EmailTextOnError":"tbd","TaskName":"MAWM Consolidation Report",
"StateMachine":"" wms-tools-state-machine-mawm-cons-report",
" Lambda ":" &amp; C2 &amp; ",
"RequestType":"mawm-cons-report"}','sysuser', 'sysuser' from app.cronactiontype cat, app.crontasks c where c.description = 'MAWM Consolidation Report' and not exists (select 1 from app.cronaction c2 where c2.crontaskid = c.crontaskid) and cat.description = 'NONE';</v>
      </c>
      <c r="L73" s="16" t="str">
        <f t="shared" si="6"/>
        <v>insert into app.cronaction (CronTaskId, CronActionTypeId, Payload, CreatedBy, LastUpdatedBy) select c.crontaskid, cat.CronActionTypeId,'{"EmailTextOnError":"tbd","TaskName":"MAWM Consolidation Report",
"StateMachine":"" wms-tools-state-machine-mawm-cons-report",
" Lambda ":"wms-tools-lambda-mawm-cons-report",
"RequestType":"mawm-cons-report"}','sysuser', 'sysuser' from app.cronactiontype cat, app.crontasks c where c.description = 'MAWM Consolidation Report' and not exists (select 1 from app.cronaction c2 where c2.crontaskid = c.crontaskid) and cat.description = 'NONE';</v>
      </c>
      <c r="M73" t="s">
        <v>257</v>
      </c>
    </row>
    <row r="74" spans="1:13" ht="12.5" customHeight="1" x14ac:dyDescent="0.2">
      <c r="A74">
        <v>195</v>
      </c>
      <c r="B74">
        <f>A74+1</f>
        <v>196</v>
      </c>
      <c r="C74" t="s">
        <v>258</v>
      </c>
      <c r="D74" t="s">
        <v>259</v>
      </c>
      <c r="E74" t="s">
        <v>260</v>
      </c>
      <c r="F74" t="s">
        <v>14</v>
      </c>
      <c r="G74" s="1" t="s">
        <v>15</v>
      </c>
      <c r="H74" t="str">
        <f t="shared" si="7"/>
        <v>insert into app.requesttype(requesttypeid, approute, description, longdescription) select (select max(r.requesttypeid) from app.requesttype r) + 1 requesttypeid, 195, 'upd-ext-barcode', 'upd-ext-barcode' where not exists (select 1 from app.requesttype r2 where r2.approute = 195 );</v>
      </c>
      <c r="I74" t="str">
        <f t="shared" si="8"/>
        <v>insert into app.requesttype(requesttypeid, approute, description, longdescription) select (select max(r.requesttypeid) from app.requesttype r) + 1 requesttypeid, 196, 'upd-ext-barcode Interactive', 'upd-ext-barcode Interactive' where not exists (select 1 from app.requesttype r2 where r2.approute = 196 );</v>
      </c>
      <c r="J74" t="str">
        <f t="shared" si="9"/>
        <v>insert into app.statemachinerepo(statemachine, description, requesttypeid) select 'tbd-' || rt.description, 'tbd-' || rt.description, rt.requesttypeid from app.requesttype rt where rt.description = 'upd-ext-barcode' and not exists (select 1 from app.statemachinerepo sr where sr.description = 'tbd-upd-ext-barcode');</v>
      </c>
      <c r="K74" s="16" t="str" cm="1">
        <f t="array" ref="K74">"insert into app.cronaction (CronTaskId, CronActionTypeId, Payload, CreatedBy, LastUpdatedBy) select c.crontaskid, cat.CronActionTypeId,'{""EmailTextOnError"":""tbd"",""TaskName"":""" &amp; E74 &amp; """,
""StateMachine"":""" &amp; IF(ISNUMBER(SEARCH("DB Alert", E)), "wms-tools-state-machine-db-alert", """ wms-tools-state-machine-" &amp; D74 &amp; "" ) &amp; """,
"" Lambda "":"" &amp; C2 &amp; "",
""RequestType"":""" &amp; D74 &amp;"""}','sysuser', 'sysuser' from app.cronactiontype cat, app.crontasks c where c.description = '" &amp; E74 &amp; "' and not exists (select 1 from app.cronaction c2 where c2.crontaskid = c.crontaskid) and cat.description = 'NONE';"</f>
        <v>insert into app.cronaction (CronTaskId, CronActionTypeId, Payload, CreatedBy, LastUpdatedBy) select c.crontaskid, cat.CronActionTypeId,'{"EmailTextOnError":"tbd","TaskName":"Update Ext Display Barcode",
"StateMachine":"" wms-tools-state-machine-upd-ext-barcode",
" Lambda ":" &amp; C2 &amp; ",
"RequestType":"upd-ext-barcode"}','sysuser', 'sysuser' from app.cronactiontype cat, app.crontasks c where c.description = 'Update Ext Display Barcode' and not exists (select 1 from app.cronaction c2 where c2.crontaskid = c.crontaskid) and cat.description = 'NONE';</v>
      </c>
      <c r="L74" s="16" t="str">
        <f t="shared" si="6"/>
        <v>insert into app.cronaction (CronTaskId, CronActionTypeId, Payload, CreatedBy, LastUpdatedBy) select c.crontaskid, cat.CronActionTypeId,'{"EmailTextOnError":"tbd","TaskName":"Update Ext Display Barcode",
"StateMachine":"" wms-tools-state-machine-upd-ext-barcode",
" Lambda ":"wms-tools-lambda-upd-ext-barcode",
"RequestType":"upd-ext-barcode"}','sysuser', 'sysuser' from app.cronactiontype cat, app.crontasks c where c.description = 'Update Ext Display Barcode' and not exists (select 1 from app.cronaction c2 where c2.crontaskid = c.crontaskid) and cat.description = 'NONE';</v>
      </c>
      <c r="M74" t="s">
        <v>261</v>
      </c>
    </row>
  </sheetData>
  <hyperlinks>
    <hyperlink ref="M39" r:id="rId1" tooltip="ALL - MAWM - Unprocessed or Failed Ship Confirms Last 24 Hours" display="https://awsssplunk01.corp.rndc-usa.com:8000/en-US/app/search/alert?s=%2FservicesNS%2Fnobody%2Fsearch%2Fsaved%2Fsearches%2FALL%2520-%2520MAWM%2520-%2520Unprocessed%2520or%2520Failed%2520Ship%2520Confirms%2520Last%252024%2520Hours" xr:uid="{CD061BBD-87E3-481B-9915-042110F55C43}"/>
    <hyperlink ref="M55" r:id="rId2" tooltip="All - MAWM - Multiple Order Lines Per Original Order Line" display="https://awsssplunk01.corp.rndc-usa.com:8000/en-US/app/search/alert?s=%2FservicesNS%2Fnobody%2Fsearch%2Fsaved%2Fsearches%2FAll%2520-%2520MAWM%2520-%2520Multiple%2520Order%2520Lines%2520Per%2520Original%2520Order%2520Line" xr:uid="{EA16094F-EBFD-4360-90D3-2DA6668E0360}"/>
    <hyperlink ref="M66" r:id="rId3" tooltip="ALL - MAWM - Inventory Adjustment PIX w/ Null PO Line" display="https://awsssplunk01.corp.rndc-usa.com:8000/en-US/app/search/alert?s=%2FservicesNS%2Fnobody%2Fsplunk_app_db_connect%2Fsaved%2Fsearches%2FALL%2520-%2520MAWM%2520-%2520Inventory%2520Adjustment%2520PIX%2520w%25252F%2520Null%2520PO%2520Line" xr:uid="{6E154938-75E8-4E1A-BCBF-A9A6ACE3563A}"/>
    <hyperlink ref="M67" r:id="rId4" tooltip="ALL - MAWM - In Packing oLPNS &gt; 5 Minutes" display="https://awsssplunk01.corp.rndc-usa.com:8000/en-US/app/search/alert?s=%2FservicesNS%2Fnobody%2Fsearch%2Fsaved%2Fsearches%2FALL%2520-%2520MAWM%2520-%2520In%2520Packing%2520oLPNS%2520%253E%25205%2520Minutes" xr:uid="{447D2687-A9EF-4C05-837E-673526543A46}"/>
    <hyperlink ref="M68" r:id="rId5" tooltip="ALL - MAWM - Loaded Shipments w/ no Ship Confirm &gt; 6 hours" display="https://awsssplunk01.corp.rndc-usa.com:8000/en-US/app/search/alert?s=%2FservicesNS%2Fnobody%2Fsearch%2Fsaved%2Fsearches%2FALL%2520-%2520MAWM%2520-%2520Loaded%2520Shipments%2520w%25252F%2520no%2520Ship%2520Confirm%2520%253E%25206%2520hours" xr:uid="{A4883306-9B87-4CED-B9A0-F5F2E273013B}"/>
    <hyperlink ref="M69" r:id="rId6" tooltip="ALL - MAWM - Putaway Task is Open but iLPN is Putaway" display="https://awsssplunk01.corp.rndc-usa.com:8000/en-US/app/search/alert?s=%2FservicesNS%2Fnobody%2Fsearch%2Fsaved%2Fsearches%2FALL%2520-%2520MAWM%2520-%2520Putaway%2520Task%2520is%2520Open%2520but%2520iLPN%2520is%2520Putaway" xr:uid="{AFAFC73C-681A-4FFA-AFA2-2E0B74523429}"/>
    <hyperlink ref="M70" r:id="rId7" tooltip="ALL - MAWM - Task Completed or Cancelled w/ Open Task Details" display="https://awsssplunk01.corp.rndc-usa.com:8000/en-US/app/search/alert?s=%2FservicesNS%2Fnobody%2Fsearch%2Fsaved%2Fsearches%2FALL%2520-%2520MAWM%2520-%2520Task%2520Completed%2520or%2520Cancelled%2520w%25252F%2520Open%2520Task%2520Details" xr:uid="{EFBB68B6-6246-4BFB-BE06-723777C11BBD}"/>
    <hyperlink ref="M71" r:id="rId8" tooltip="ALL - MAWM - Task Open w/ Completed or Cancelled Task Details" display="https://awsssplunk01.corp.rndc-usa.com:8000/en-US/app/search/alert?s=%2FservicesNS%2Fnobody%2Fsearch%2Fsaved%2Fsearches%2FALL%2520-%2520MAWM%2520-%2520Task%2520Open%2520w%25252F%2520Completed%2520or%2520Cancelled%2520Task%2520Details" xr:uid="{FD76B4A0-B935-4D53-8F23-B335B6B98D26}"/>
    <hyperlink ref="M72" r:id="rId9"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0A88ACCB-02ED-4B42-A42F-00D5507A510D}"/>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607D-BF92-499A-83C1-C6924BE2B40E}">
  <dimension ref="A1:B151"/>
  <sheetViews>
    <sheetView topLeftCell="A32" zoomScale="180" zoomScaleNormal="180" workbookViewId="0">
      <selection activeCell="B32" sqref="B32"/>
    </sheetView>
  </sheetViews>
  <sheetFormatPr baseColWidth="10" defaultColWidth="8.83203125" defaultRowHeight="15" x14ac:dyDescent="0.2"/>
  <cols>
    <col min="1" max="1" width="51.1640625" customWidth="1"/>
    <col min="2" max="2" width="105" style="2" customWidth="1"/>
  </cols>
  <sheetData>
    <row r="1" spans="1:2" x14ac:dyDescent="0.2">
      <c r="A1" t="s">
        <v>2</v>
      </c>
    </row>
    <row r="2" spans="1:2" ht="64" x14ac:dyDescent="0.2">
      <c r="A2" s="4" t="str">
        <f>newreqtype!D2</f>
        <v>in-transit-rma-asn-7-days</v>
      </c>
      <c r="B2" s="2" t="str">
        <f t="shared" ref="B2:B7" si="0">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A2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'in-transit-rma-asn-7-days' and not exists (select 1 from app.warehouselocationdetail r where r.requesttypeid = rt.requesttypeid and r.warehouseid = e.warehouseid);</v>
      </c>
    </row>
    <row r="3" spans="1:2" ht="64" x14ac:dyDescent="0.2">
      <c r="A3" s="4" t="str">
        <f>newreqtype!D3</f>
        <v>in-transit-rma-asn-30-days</v>
      </c>
      <c r="B3"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'in-transit-rma-asn-30-days' and not exists (select 1 from app.warehouselocationdetail r where r.requesttypeid = rt.requesttypeid and r.warehouseid = e.warehouseid);</v>
      </c>
    </row>
    <row r="4" spans="1:2" ht="64" x14ac:dyDescent="0.2">
      <c r="A4" s="4" t="str">
        <f>newreqtype!D4</f>
        <v>db-alert-order-no-desig-assign</v>
      </c>
      <c r="B4"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'db-alert-order-no-desig-assign' and not exists (select 1 from app.warehouselocationdetail r where r.requesttypeid = rt.requesttypeid and r.warehouseid = e.warehouseid);</v>
      </c>
    </row>
    <row r="5" spans="1:2" ht="64" x14ac:dyDescent="0.2">
      <c r="A5" s="4" t="str">
        <f>newreqtype!D5</f>
        <v>db-alert-order-no-desig</v>
      </c>
      <c r="B5"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'db-alert-order-no-desig' and not exists (select 1 from app.warehouselocationdetail r where r.requesttypeid = rt.requesttypeid and r.warehouseid = e.warehouseid);</v>
      </c>
    </row>
    <row r="6" spans="1:2" ht="64" x14ac:dyDescent="0.2">
      <c r="A6" s="4" t="str">
        <f>newreqtype!D6</f>
        <v>db-alert-static-route-missing-threshold</v>
      </c>
      <c r="B6"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'db-alert-static-route-missing-threshold' and not exists (select 1 from app.warehouselocationdetail r where r.requesttypeid = rt.requesttypeid and r.warehouseid = e.warehouseid);</v>
      </c>
    </row>
    <row r="7" spans="1:2" ht="64" x14ac:dyDescent="0.2">
      <c r="A7" s="4" t="str">
        <f>newreqtype!D7</f>
        <v>db-alert-order-not-process-15m</v>
      </c>
      <c r="B7" s="2" t="str">
        <f t="shared" si="0"/>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'db-alert-order-not-process-15m' and not exists (select 1 from app.warehouselocationdetail r where r.requesttypeid = rt.requesttypeid and r.warehouseid = e.warehouseid);</v>
      </c>
    </row>
    <row r="8" spans="1:2" ht="64" x14ac:dyDescent="0.2">
      <c r="A8" s="4" t="str">
        <f>newreqtype!D8</f>
        <v>lpns-no-task-api-fail</v>
      </c>
      <c r="B8" s="2" t="str">
        <f t="shared" ref="B8:B71" si="1">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A8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'lpns-no-task-api-fail' and not exists (select 1 from app.warehouselocationdetail r where r.requesttypeid = rt.requesttypeid and r.warehouseid = e.warehouseid);</v>
      </c>
    </row>
    <row r="9" spans="1:2" ht="64" x14ac:dyDescent="0.2">
      <c r="A9" s="4" t="str">
        <f>newreqtype!D9</f>
        <v>fs-alpha-asn-error</v>
      </c>
      <c r="B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'fs-alpha-asn-error' and not exists (select 1 from app.warehouselocationdetail r where r.requesttypeid = rt.requesttypeid and r.warehouseid = e.warehouseid);</v>
      </c>
    </row>
    <row r="10" spans="1:2" ht="64" x14ac:dyDescent="0.2">
      <c r="A10" s="4" t="str">
        <f>newreqtype!D10</f>
        <v>fs-alpha-open-err-asn</v>
      </c>
      <c r="B1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'fs-alpha-open-err-asn' and not exists (select 1 from app.warehouselocationdetail r where r.requesttypeid = rt.requesttypeid and r.warehouseid = e.warehouseid);</v>
      </c>
    </row>
    <row r="11" spans="1:2" ht="64" x14ac:dyDescent="0.2">
      <c r="A11" s="4" t="str">
        <f>newreqtype!D11</f>
        <v>fs-alpha-open-returns</v>
      </c>
      <c r="B1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'fs-alpha-open-returns' and not exists (select 1 from app.warehouselocationdetail r where r.requesttypeid = rt.requesttypeid and r.warehouseid = e.warehouseid);</v>
      </c>
    </row>
    <row r="12" spans="1:2" ht="64" x14ac:dyDescent="0.2">
      <c r="A12" s="4" t="str">
        <f>newreqtype!D12</f>
        <v>divert-conf-down</v>
      </c>
      <c r="B1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'divert-conf-down' and not exists (select 1 from app.warehouselocationdetail r where r.requesttypeid = rt.requesttypeid and r.warehouseid = e.warehouseid);</v>
      </c>
    </row>
    <row r="13" spans="1:2" ht="64" x14ac:dyDescent="0.2">
      <c r="A13" s="4" t="str">
        <f>newreqtype!D13</f>
        <v>endpoint-queue-fail</v>
      </c>
      <c r="B1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'endpoint-queue-fail' and not exists (select 1 from app.warehouselocationdetail r where r.requesttypeid = rt.requesttypeid and r.warehouseid = e.warehouseid);</v>
      </c>
    </row>
    <row r="14" spans="1:2" ht="64" x14ac:dyDescent="0.2">
      <c r="A14" s="4" t="str">
        <f>newreqtype!D14</f>
        <v>endpoint-status</v>
      </c>
      <c r="B1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'endpoint-status' and not exists (select 1 from app.warehouselocationdetail r where r.requesttypeid = rt.requesttypeid and r.warehouseid = e.warehouseid);</v>
      </c>
    </row>
    <row r="15" spans="1:2" ht="64" x14ac:dyDescent="0.2">
      <c r="A15" s="4" t="str">
        <f>newreqtype!D15</f>
        <v>ilpns-neg-alloc</v>
      </c>
      <c r="B1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'ilpns-neg-alloc' and not exists (select 1 from app.warehouselocationdetail r where r.requesttypeid = rt.requesttypeid and r.warehouseid = e.warehouseid);</v>
      </c>
    </row>
    <row r="16" spans="1:2" ht="64" x14ac:dyDescent="0.2">
      <c r="A16" s="4" t="str">
        <f>newreqtype!D16</f>
        <v>item-img-url-fail</v>
      </c>
      <c r="B1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'item-img-url-fail' and not exists (select 1 from app.warehouselocationdetail r where r.requesttypeid = rt.requesttypeid and r.warehouseid = e.warehouseid);</v>
      </c>
    </row>
    <row r="17" spans="1:2" ht="64" x14ac:dyDescent="0.2">
      <c r="A17" s="4" t="str">
        <f>newreqtype!D17</f>
        <v>db-alert-route-ui-dflt-miss</v>
      </c>
      <c r="B1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'db-alert-route-ui-dflt-miss' and not exists (select 1 from app.warehouselocationdetail r where r.requesttypeid = rt.requesttypeid and r.warehouseid = e.warehouseid);</v>
      </c>
    </row>
    <row r="18" spans="1:2" ht="64" x14ac:dyDescent="0.2">
      <c r="A18" s="4" t="str">
        <f>newreqtype!D18</f>
        <v>db-alert-routes-multi-wave</v>
      </c>
      <c r="B1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'db-alert-routes-multi-wave' and not exists (select 1 from app.warehouselocationdetail r where r.requesttypeid = rt.requesttypeid and r.warehouseid = e.warehouseid);</v>
      </c>
    </row>
    <row r="19" spans="1:2" ht="64" x14ac:dyDescent="0.2">
      <c r="A19" s="4" t="str">
        <f>newreqtype!D19</f>
        <v>db-alert-itemloc-prd</v>
      </c>
      <c r="B1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'db-alert-itemloc-prd' and not exists (select 1 from app.warehouselocationdetail r where r.requesttypeid = rt.requesttypeid and r.warehouseid = e.warehouseid);</v>
      </c>
    </row>
    <row r="20" spans="1:2" ht="64" x14ac:dyDescent="0.2">
      <c r="A20" s="4" t="str">
        <f>newreqtype!D20</f>
        <v>loc-rebuild-fail</v>
      </c>
      <c r="B2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'loc-rebuild-fail' and not exists (select 1 from app.warehouselocationdetail r where r.requesttypeid = rt.requesttypeid and r.warehouseid = e.warehouseid);</v>
      </c>
    </row>
    <row r="21" spans="1:2" ht="64" x14ac:dyDescent="0.2">
      <c r="A21" s="4" t="str">
        <f>newreqtype!D21</f>
        <v>db-alert-dup-pix-mw-wms</v>
      </c>
      <c r="B2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'db-alert-dup-pix-mw-wms' and not exists (select 1 from app.warehouselocationdetail r where r.requesttypeid = rt.requesttypeid and r.warehouseid = e.warehouseid);</v>
      </c>
    </row>
    <row r="22" spans="1:2" ht="64" x14ac:dyDescent="0.2">
      <c r="A22" s="4" t="str">
        <f>newreqtype!D22</f>
        <v>db-alert-dup-ship-conf</v>
      </c>
      <c r="B2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'db-alert-dup-ship-conf' and not exists (select 1 from app.warehouselocationdetail r where r.requesttypeid = rt.requesttypeid and r.warehouseid = e.warehouseid);</v>
      </c>
    </row>
    <row r="23" spans="1:2" ht="64" x14ac:dyDescent="0.2">
      <c r="A23" s="4" t="str">
        <f>newreqtype!D23</f>
        <v>lpns-consumed-api</v>
      </c>
      <c r="B2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'lpns-consumed-api' and not exists (select 1 from app.warehouselocationdetail r where r.requesttypeid = rt.requesttypeid and r.warehouseid = e.warehouseid);</v>
      </c>
    </row>
    <row r="24" spans="1:2" ht="64" x14ac:dyDescent="0.2">
      <c r="A24" s="4" t="str">
        <f>newreqtype!D24</f>
        <v>db-alert-inv-adj-miss-rc</v>
      </c>
      <c r="B2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'db-alert-inv-adj-miss-rc' and not exists (select 1 from app.warehouselocationdetail r where r.requesttypeid = rt.requesttypeid and r.warehouseid = e.warehouseid);</v>
      </c>
    </row>
    <row r="25" spans="1:2" ht="64" x14ac:dyDescent="0.2">
      <c r="A25" s="4" t="str">
        <f>newreqtype!D25</f>
        <v>db-alert-item-rcpt-zero</v>
      </c>
      <c r="B2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'db-alert-item-rcpt-zero' and not exists (select 1 from app.warehouselocationdetail r where r.requesttypeid = rt.requesttypeid and r.warehouseid = e.warehouseid);</v>
      </c>
    </row>
    <row r="26" spans="1:2" ht="64" x14ac:dyDescent="0.2">
      <c r="A26" s="4" t="str">
        <f>newreqtype!D26</f>
        <v>pickpack-api-fail</v>
      </c>
      <c r="B2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'pickpack-api-fail' and not exists (select 1 from app.warehouselocationdetail r where r.requesttypeid = rt.requesttypeid and r.warehouseid = e.warehouseid);</v>
      </c>
    </row>
    <row r="27" spans="1:2" ht="64" x14ac:dyDescent="0.2">
      <c r="A27" s="4" t="str">
        <f>newreqtype!D27</f>
        <v>fs-asw-open-returns</v>
      </c>
      <c r="B2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'fs-asw-open-returns' and not exists (select 1 from app.warehouselocationdetail r where r.requesttypeid = rt.requesttypeid and r.warehouseid = e.warehouseid);</v>
      </c>
    </row>
    <row r="28" spans="1:2" ht="64" x14ac:dyDescent="0.2">
      <c r="A28" s="4" t="str">
        <f>newreqtype!D28</f>
        <v>open-task-api-fail</v>
      </c>
      <c r="B2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'open-task-api-fail' and not exists (select 1 from app.warehouselocationdetail r where r.requesttypeid = rt.requesttypeid and r.warehouseid = e.warehouseid);</v>
      </c>
    </row>
    <row r="29" spans="1:2" ht="64" x14ac:dyDescent="0.2">
      <c r="A29" s="4" t="str">
        <f>newreqtype!D29</f>
        <v>taskdet-api-fail</v>
      </c>
      <c r="B2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'taskdet-api-fail' and not exists (select 1 from app.warehouselocationdetail r where r.requesttypeid = rt.requesttypeid and r.warehouseid = e.warehouseid);</v>
      </c>
    </row>
    <row r="30" spans="1:2" ht="64" x14ac:dyDescent="0.2">
      <c r="A30" s="4" t="str">
        <f>newreqtype!D30</f>
        <v>db-alert-waves-long-abort</v>
      </c>
      <c r="B3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'db-alert-waves-long-abort' and not exists (select 1 from app.warehouselocationdetail r where r.requesttypeid = rt.requesttypeid and r.warehouseid = e.warehouseid);</v>
      </c>
    </row>
    <row r="31" spans="1:2" ht="64" x14ac:dyDescent="0.2">
      <c r="A31" s="4" t="str">
        <f>newreqtype!D31</f>
        <v>db-alert-miss-item-verif</v>
      </c>
      <c r="B3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'db-alert-miss-item-verif' and not exists (select 1 from app.warehouselocationdetail r where r.requesttypeid = rt.requesttypeid and r.warehouseid = e.warehouseid);</v>
      </c>
    </row>
    <row r="32" spans="1:2" ht="64" x14ac:dyDescent="0.2">
      <c r="A32" s="4" t="str">
        <f>newreqtype!D32</f>
        <v>fs-asw-pend-ship1w</v>
      </c>
      <c r="B3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'fs-asw-pend-ship1w' and not exists (select 1 from app.warehouselocationdetail r where r.requesttypeid = rt.requesttypeid and r.warehouseid = e.warehouseid);</v>
      </c>
    </row>
    <row r="33" spans="1:2" ht="64" x14ac:dyDescent="0.2">
      <c r="A33" s="4" t="str">
        <f>newreqtype!D33</f>
        <v>pick-neg-tbf-api</v>
      </c>
      <c r="B3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'pick-neg-tbf-api' and not exists (select 1 from app.warehouselocationdetail r where r.requesttypeid = rt.requesttypeid and r.warehouseid = e.warehouseid);</v>
      </c>
    </row>
    <row r="34" spans="1:2" ht="64" x14ac:dyDescent="0.2">
      <c r="A34" s="4" t="str">
        <f>newreqtype!D34</f>
        <v>pick-tbf-no-task</v>
      </c>
      <c r="B3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'pick-tbf-no-task' and not exists (select 1 from app.warehouselocationdetail r where r.requesttypeid = rt.requesttypeid and r.warehouseid = e.warehouseid);</v>
      </c>
    </row>
    <row r="35" spans="1:2" ht="64" x14ac:dyDescent="0.2">
      <c r="A35" s="4" t="str">
        <f>newreqtype!D35</f>
        <v>putaway-api-fail</v>
      </c>
      <c r="B3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'putaway-api-fail' and not exists (select 1 from app.warehouselocationdetail r where r.requesttypeid = rt.requesttypeid and r.warehouseid = e.warehouseid);</v>
      </c>
    </row>
    <row r="36" spans="1:2" ht="64" x14ac:dyDescent="0.2">
      <c r="A36" s="4" t="str">
        <f>newreqtype!D36</f>
        <v>recoup-sort-api</v>
      </c>
      <c r="B3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'recoup-sort-api' and not exists (select 1 from app.warehouselocationdetail r where r.requesttypeid = rt.requesttypeid and r.warehouseid = e.warehouseid);</v>
      </c>
    </row>
    <row r="37" spans="1:2" ht="64" x14ac:dyDescent="0.2">
      <c r="A37" s="4" t="str">
        <f>newreqtype!D37</f>
        <v>db-alert-routed-cancelled</v>
      </c>
      <c r="B3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'db-alert-routed-cancelled' and not exists (select 1 from app.warehouselocationdetail r where r.requesttypeid = rt.requesttypeid and r.warehouseid = e.warehouseid);</v>
      </c>
    </row>
    <row r="38" spans="1:2" ht="64" x14ac:dyDescent="0.2">
      <c r="A38" s="4" t="str">
        <f>newreqtype!D38</f>
        <v>db-alert-pix-spec-gt1h</v>
      </c>
      <c r="B3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'db-alert-pix-spec-gt1h' and not exists (select 1 from app.warehouselocationdetail r where r.requesttypeid = rt.requesttypeid and r.warehouseid = e.warehouseid);</v>
      </c>
    </row>
    <row r="39" spans="1:2" ht="64" x14ac:dyDescent="0.2">
      <c r="A39" s="4" t="str">
        <f>newreqtype!D39</f>
        <v>db-alert-shipconf-24h-fail</v>
      </c>
      <c r="B3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'db-alert-shipconf-24h-fail' and not exists (select 1 from app.warehouselocationdetail r where r.requesttypeid = rt.requesttypeid and r.warehouseid = e.warehouseid);</v>
      </c>
    </row>
    <row r="40" spans="1:2" ht="64" x14ac:dyDescent="0.2">
      <c r="A40" s="4" t="str">
        <f>newreqtype!D40</f>
        <v>slot-pack-fail</v>
      </c>
      <c r="B4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'slot-pack-fail' and not exists (select 1 from app.warehouselocationdetail r where r.requesttypeid = rt.requesttypeid and r.warehouseid = e.warehouseid);</v>
      </c>
    </row>
    <row r="41" spans="1:2" ht="64" x14ac:dyDescent="0.2">
      <c r="A41" s="4" t="str">
        <f>newreqtype!D41</f>
        <v>slot-unit-fail</v>
      </c>
      <c r="B4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'slot-unit-fail' and not exists (select 1 from app.warehouselocationdetail r where r.requesttypeid = rt.requesttypeid and r.warehouseid = e.warehouseid);</v>
      </c>
    </row>
    <row r="42" spans="1:2" ht="64" x14ac:dyDescent="0.2">
      <c r="A42" s="4" t="str">
        <f>newreqtype!D42</f>
        <v>lia-delpk-api-fail</v>
      </c>
      <c r="B4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'lia-delpk-api-fail' and not exists (select 1 from app.warehouselocationdetail r where r.requesttypeid = rt.requesttypeid and r.warehouseid = e.warehouseid);</v>
      </c>
    </row>
    <row r="43" spans="1:2" ht="64" x14ac:dyDescent="0.2">
      <c r="A43" s="4" t="str">
        <f>newreqtype!D43</f>
        <v>db-alert-matm-spo-import</v>
      </c>
      <c r="B4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'db-alert-matm-spo-import' and not exists (select 1 from app.warehouselocationdetail r where r.requesttypeid = rt.requesttypeid and r.warehouseid = e.warehouseid);</v>
      </c>
    </row>
    <row r="44" spans="1:2" ht="64" x14ac:dyDescent="0.2">
      <c r="A44" s="4" t="str">
        <f>newreqtype!D44</f>
        <v>db-alert-abq-travel-4m</v>
      </c>
      <c r="B4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'db-alert-abq-travel-4m' and not exists (select 1 from app.warehouselocationdetail r where r.requesttypeid = rt.requesttypeid and r.warehouseid = e.warehouseid);</v>
      </c>
    </row>
    <row r="45" spans="1:2" ht="64" x14ac:dyDescent="0.2">
      <c r="A45" s="4" t="str">
        <f>newreqtype!D45</f>
        <v>db-alert-asn-no-verif-5d</v>
      </c>
      <c r="B4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'db-alert-asn-no-verif-5d' and not exists (select 1 from app.warehouselocationdetail r where r.requesttypeid = rt.requesttypeid and r.warehouseid = e.warehouseid);</v>
      </c>
    </row>
    <row r="46" spans="1:2" ht="64" x14ac:dyDescent="0.2">
      <c r="A46" s="4" t="str">
        <f>newreqtype!D46</f>
        <v>db-alert-ilpns-miss-phys</v>
      </c>
      <c r="B4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'db-alert-ilpns-miss-phys' and not exists (select 1 from app.warehouselocationdetail r where r.requesttypeid = rt.requesttypeid and r.warehouseid = e.warehouseid);</v>
      </c>
    </row>
    <row r="47" spans="1:2" ht="64" x14ac:dyDescent="0.2">
      <c r="A47" s="4" t="str">
        <f>newreqtype!D47</f>
        <v>db-alert-loc-pos-street</v>
      </c>
      <c r="B4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'db-alert-loc-pos-street' and not exists (select 1 from app.warehouselocationdetail r where r.requesttypeid = rt.requesttypeid and r.warehouseid = e.warehouseid);</v>
      </c>
    </row>
    <row r="48" spans="1:2" ht="64" x14ac:dyDescent="0.2">
      <c r="A48" s="4" t="str">
        <f>newreqtype!D48</f>
        <v>db-alert-loc-inv-no-item</v>
      </c>
      <c r="B4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'db-alert-loc-inv-no-item' and not exists (select 1 from app.warehouselocationdetail r where r.requesttypeid = rt.requesttypeid and r.warehouseid = e.warehouseid);</v>
      </c>
    </row>
    <row r="49" spans="1:2" ht="64" x14ac:dyDescent="0.2">
      <c r="A49" s="4" t="str">
        <f>newreqtype!D49</f>
        <v>db-alert-user-def-config</v>
      </c>
      <c r="B4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'db-alert-user-def-config' and not exists (select 1 from app.warehouselocationdetail r where r.requesttypeid = rt.requesttypeid and r.warehouseid = e.warehouseid);</v>
      </c>
    </row>
    <row r="50" spans="1:2" ht="64" x14ac:dyDescent="0.2">
      <c r="A50" s="4" t="str">
        <f>newreqtype!D50</f>
        <v>db-alert-lpn-loc-notied</v>
      </c>
      <c r="B5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'db-alert-lpn-loc-notied' and not exists (select 1 from app.warehouselocationdetail r where r.requesttypeid = rt.requesttypeid and r.warehouseid = e.warehouseid);</v>
      </c>
    </row>
    <row r="51" spans="1:2" ht="64" x14ac:dyDescent="0.2">
      <c r="A51" s="4" t="str">
        <f>newreqtype!D51</f>
        <v>taskgrp-bulk-fail</v>
      </c>
      <c r="B5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'taskgrp-bulk-fail' and not exists (select 1 from app.warehouselocationdetail r where r.requesttypeid = rt.requesttypeid and r.warehouseid = e.warehouseid);</v>
      </c>
    </row>
    <row r="52" spans="1:2" ht="64" x14ac:dyDescent="0.2">
      <c r="A52" s="4" t="str">
        <f>newreqtype!D52</f>
        <v>db-alert-pallet-lpns-inv</v>
      </c>
      <c r="B5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'db-alert-pallet-lpns-inv' and not exists (select 1 from app.warehouselocationdetail r where r.requesttypeid = rt.requesttypeid and r.warehouseid = e.warehouseid);</v>
      </c>
    </row>
    <row r="53" spans="1:2" ht="64" x14ac:dyDescent="0.2">
      <c r="A53" s="4" t="str">
        <f>newreqtype!D53</f>
        <v>db-alert-olpn-multi-det</v>
      </c>
      <c r="B5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'db-alert-olpn-multi-det' and not exists (select 1 from app.warehouselocationdetail r where r.requesttypeid = rt.requesttypeid and r.warehouseid = e.warehouseid);</v>
      </c>
    </row>
    <row r="54" spans="1:2" ht="64" x14ac:dyDescent="0.2">
      <c r="A54" s="4" t="str">
        <f>newreqtype!D54</f>
        <v>db-alert-open-order-1w</v>
      </c>
      <c r="B5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'db-alert-open-order-1w' and not exists (select 1 from app.warehouselocationdetail r where r.requesttypeid = rt.requesttypeid and r.warehouseid = e.warehouseid);</v>
      </c>
    </row>
    <row r="55" spans="1:2" ht="64" x14ac:dyDescent="0.2">
      <c r="A55" s="4" t="str">
        <f>newreqtype!D55</f>
        <v>db-alert-multi-ord-lines</v>
      </c>
      <c r="B5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'db-alert-multi-ord-lines' and not exists (select 1 from app.warehouselocationdetail r where r.requesttypeid = rt.requesttypeid and r.warehouseid = e.warehouseid);</v>
      </c>
    </row>
    <row r="56" spans="1:2" ht="64" x14ac:dyDescent="0.2">
      <c r="A56" s="4" t="str">
        <f>newreqtype!D56</f>
        <v>dyn-casepick</v>
      </c>
      <c r="B5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'dyn-casepick' and not exists (select 1 from app.warehouselocationdetail r where r.requesttypeid = rt.requesttypeid and r.warehouseid = e.warehouseid);</v>
      </c>
    </row>
    <row r="57" spans="1:2" ht="64" x14ac:dyDescent="0.2">
      <c r="A57" s="4" t="str">
        <f>newreqtype!D57</f>
        <v>dyn-wine-pick</v>
      </c>
      <c r="B5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'dyn-wine-pick' and not exists (select 1 from app.warehouselocationdetail r where r.requesttypeid = rt.requesttypeid and r.warehouseid = e.warehouseid);</v>
      </c>
    </row>
    <row r="58" spans="1:2" ht="64" x14ac:dyDescent="0.2">
      <c r="A58" s="4" t="str">
        <f>newreqtype!D58</f>
        <v>db-alert-item-wt-large</v>
      </c>
      <c r="B5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'db-alert-item-wt-large' and not exists (select 1 from app.warehouselocationdetail r where r.requesttypeid = rt.requesttypeid and r.warehouseid = e.warehouseid);</v>
      </c>
    </row>
    <row r="59" spans="1:2" ht="64" x14ac:dyDescent="0.2">
      <c r="A59" s="4" t="str">
        <f>newreqtype!D59</f>
        <v>db-alert-item-vol-large</v>
      </c>
      <c r="B5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'db-alert-item-vol-large' and not exists (select 1 from app.warehouselocationdetail r where r.requesttypeid = rt.requesttypeid and r.warehouseid = e.warehouseid);</v>
      </c>
    </row>
    <row r="60" spans="1:2" ht="64" x14ac:dyDescent="0.2">
      <c r="A60" s="4" t="str">
        <f>newreqtype!D60</f>
        <v>fs-alpha-adj-45d</v>
      </c>
      <c r="B6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'fs-alpha-adj-45d' and not exists (select 1 from app.warehouselocationdetail r where r.requesttypeid = rt.requesttypeid and r.warehouseid = e.warehouseid);</v>
      </c>
    </row>
    <row r="61" spans="1:2" ht="64" x14ac:dyDescent="0.2">
      <c r="A61" s="4" t="str">
        <f>newreqtype!D61</f>
        <v>db-alert-travel-4m</v>
      </c>
      <c r="B6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'db-alert-travel-4m' and not exists (select 1 from app.warehouselocationdetail r where r.requesttypeid = rt.requesttypeid and r.warehouseid = e.warehouseid);</v>
      </c>
    </row>
    <row r="62" spans="1:2" ht="64" x14ac:dyDescent="0.2">
      <c r="A62" s="4" t="str">
        <f>newreqtype!D62</f>
        <v>db-alert-olpn-cons-loc</v>
      </c>
      <c r="B62"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'db-alert-olpn-cons-loc' and not exists (select 1 from app.warehouselocationdetail r where r.requesttypeid = rt.requesttypeid and r.warehouseid = e.warehouseid);</v>
      </c>
    </row>
    <row r="63" spans="1:2" ht="64" x14ac:dyDescent="0.2">
      <c r="A63" s="4" t="str">
        <f>newreqtype!D63</f>
        <v>db-alert-tmp-resv-no-inv</v>
      </c>
      <c r="B63"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'db-alert-tmp-resv-no-inv' and not exists (select 1 from app.warehouselocationdetail r where r.requesttypeid = rt.requesttypeid and r.warehouseid = e.warehouseid);</v>
      </c>
    </row>
    <row r="64" spans="1:2" ht="64" x14ac:dyDescent="0.2">
      <c r="A64" s="4" t="str">
        <f>newreqtype!D64</f>
        <v>db-alert-tmp-inv-no-resv</v>
      </c>
      <c r="B64"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'db-alert-tmp-inv-no-resv' and not exists (select 1 from app.warehouselocationdetail r where r.requesttypeid = rt.requesttypeid and r.warehouseid = e.warehouseid);</v>
      </c>
    </row>
    <row r="65" spans="1:2" ht="64" x14ac:dyDescent="0.2">
      <c r="A65" s="4" t="str">
        <f>newreqtype!D65</f>
        <v>db-alert-por-dup-pix</v>
      </c>
      <c r="B65"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'db-alert-por-dup-pix' and not exists (select 1 from app.warehouselocationdetail r where r.requesttypeid = rt.requesttypeid and r.warehouseid = e.warehouseid);</v>
      </c>
    </row>
    <row r="66" spans="1:2" ht="64" x14ac:dyDescent="0.2">
      <c r="A66" s="4" t="str">
        <f>newreqtype!D66</f>
        <v>db-alert-inv-adj-null-po</v>
      </c>
      <c r="B66"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'db-alert-inv-adj-null-po' and not exists (select 1 from app.warehouselocationdetail r where r.requesttypeid = rt.requesttypeid and r.warehouseid = e.warehouseid);</v>
      </c>
    </row>
    <row r="67" spans="1:2" ht="64" x14ac:dyDescent="0.2">
      <c r="A67" s="4" t="str">
        <f>newreqtype!D67</f>
        <v>db-alert-packing-olpn-5m</v>
      </c>
      <c r="B67"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'db-alert-packing-olpn-5m' and not exists (select 1 from app.warehouselocationdetail r where r.requesttypeid = rt.requesttypeid and r.warehouseid = e.warehouseid);</v>
      </c>
    </row>
    <row r="68" spans="1:2" ht="64" x14ac:dyDescent="0.2">
      <c r="A68" s="4" t="str">
        <f>newreqtype!D68</f>
        <v>db-alert-load-no-ship-6h</v>
      </c>
      <c r="B68"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'db-alert-load-no-ship-6h' and not exists (select 1 from app.warehouselocationdetail r where r.requesttypeid = rt.requesttypeid and r.warehouseid = e.warehouseid);</v>
      </c>
    </row>
    <row r="69" spans="1:2" ht="64" x14ac:dyDescent="0.2">
      <c r="A69" s="4" t="str">
        <f>newreqtype!D69</f>
        <v>db-alert-putaway-open-ilpn</v>
      </c>
      <c r="B69"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'db-alert-putaway-open-ilpn' and not exists (select 1 from app.warehouselocationdetail r where r.requesttypeid = rt.requesttypeid and r.warehouseid = e.warehouseid);</v>
      </c>
    </row>
    <row r="70" spans="1:2" ht="64" x14ac:dyDescent="0.2">
      <c r="A70" s="4" t="str">
        <f>newreqtype!D70</f>
        <v>db-alert-taskcomp-open-det</v>
      </c>
      <c r="B70"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'db-alert-taskcomp-open-det' and not exists (select 1 from app.warehouselocationdetail r where r.requesttypeid = rt.requesttypeid and r.warehouseid = e.warehouseid);</v>
      </c>
    </row>
    <row r="71" spans="1:2" ht="64" x14ac:dyDescent="0.2">
      <c r="A71" s="4" t="str">
        <f>newreqtype!D71</f>
        <v>db-alert-taskopen-compdet</v>
      </c>
      <c r="B71" s="2" t="str">
        <f t="shared" si="1"/>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'db-alert-taskopen-compdet' and not exists (select 1 from app.warehouselocationdetail r where r.requesttypeid = rt.requesttypeid and r.warehouseid = e.warehouseid);</v>
      </c>
    </row>
    <row r="72" spans="1:2" ht="64" x14ac:dyDescent="0.2">
      <c r="A72" s="4" t="str">
        <f>newreqtype!D72</f>
        <v>db-alert-taskprog-compdet</v>
      </c>
      <c r="B72" s="2" t="str">
        <f t="shared" ref="B72:B75" si="2">_xlfn._LONGTEXT("insert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 &amp; A72 &amp; "' and not exists (select 1 from app.warehouselocationdetail r where r.requesttypeid = rt.requesttypeid and r.warehouseid = e.warehouseid);"</f>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'db-alert-taskprog-compdet' and not exists (select 1 from app.warehouselocationdetail r where r.requesttypeid = rt.requesttypeid and r.warehouseid = e.warehouseid);</v>
      </c>
    </row>
    <row r="73" spans="1:2" ht="64" x14ac:dyDescent="0.2">
      <c r="A73" s="4" t="str">
        <f>newreqtype!D73</f>
        <v>mawm-cons-report</v>
      </c>
      <c r="B73" s="2" t="str">
        <f t="shared" si="2"/>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'mawm-cons-report' and not exists (select 1 from app.warehouselocationdetail r where r.requesttypeid = rt.requesttypeid and r.warehouseid = e.warehouseid);</v>
      </c>
    </row>
    <row r="74" spans="1:2" x14ac:dyDescent="0.2">
      <c r="A74" s="4" t="e">
        <f>newreqtype!#REF!</f>
        <v>#REF!</v>
      </c>
      <c r="B74" s="2" t="e">
        <f t="shared" si="2"/>
        <v>#REF!</v>
      </c>
    </row>
    <row r="75" spans="1:2" ht="64" x14ac:dyDescent="0.2">
      <c r="A75" s="4" t="str">
        <f>newreqtype!D74</f>
        <v>upd-ext-barcode</v>
      </c>
      <c r="B75" s="2" t="str">
        <f t="shared" si="2"/>
        <v>insert into app.warehouselocationdetail(description, longdescription, warehouseid, requesttypeid, createdby, lastupdatedby) select 	rt.description, 	rt.description, 	w.warehouseid,  rt.requesttypeid, 'sysuser', 'sysuser' 	from app.warehouselocation w, app.requesttype rt where w.warehouseshortname not in ('DEFAULTS', 'PRODEV') and rt.description = 'upd-ext-barcode' and not exists (select 1 from app.warehouselocationdetail r where r.requesttypeid = rt.requesttypeid and r.warehouseid = e.warehouseid);</v>
      </c>
    </row>
    <row r="76" spans="1:2" x14ac:dyDescent="0.2">
      <c r="A76" s="4"/>
    </row>
    <row r="77" spans="1:2" x14ac:dyDescent="0.2">
      <c r="A77" s="4"/>
    </row>
    <row r="78" spans="1:2" x14ac:dyDescent="0.2">
      <c r="A78" s="4"/>
    </row>
    <row r="79" spans="1:2" x14ac:dyDescent="0.2">
      <c r="A79" s="4"/>
    </row>
    <row r="80" spans="1:2" x14ac:dyDescent="0.2">
      <c r="A80" s="4"/>
    </row>
    <row r="81" spans="1:1" x14ac:dyDescent="0.2">
      <c r="A81" s="4"/>
    </row>
    <row r="82" spans="1:1" x14ac:dyDescent="0.2">
      <c r="A82" s="4"/>
    </row>
    <row r="83" spans="1:1" x14ac:dyDescent="0.2">
      <c r="A83" s="4"/>
    </row>
    <row r="84" spans="1:1" x14ac:dyDescent="0.2">
      <c r="A84" s="4"/>
    </row>
    <row r="85" spans="1:1" x14ac:dyDescent="0.2">
      <c r="A85" s="4"/>
    </row>
    <row r="86" spans="1:1" x14ac:dyDescent="0.2">
      <c r="A86" s="4"/>
    </row>
    <row r="87" spans="1:1" x14ac:dyDescent="0.2">
      <c r="A87" s="4"/>
    </row>
    <row r="88" spans="1:1" x14ac:dyDescent="0.2">
      <c r="A88" s="4"/>
    </row>
    <row r="89" spans="1:1" x14ac:dyDescent="0.2">
      <c r="A89" s="4"/>
    </row>
    <row r="90" spans="1:1" x14ac:dyDescent="0.2">
      <c r="A90" s="4"/>
    </row>
    <row r="91" spans="1:1" x14ac:dyDescent="0.2">
      <c r="A91" s="4"/>
    </row>
    <row r="92" spans="1:1" x14ac:dyDescent="0.2">
      <c r="A92" s="4"/>
    </row>
    <row r="93" spans="1:1" x14ac:dyDescent="0.2">
      <c r="A93" s="4"/>
    </row>
    <row r="94" spans="1:1" x14ac:dyDescent="0.2">
      <c r="A94" s="4"/>
    </row>
    <row r="95" spans="1:1" x14ac:dyDescent="0.2">
      <c r="A95" s="4"/>
    </row>
    <row r="96" spans="1:1" x14ac:dyDescent="0.2">
      <c r="A96" s="4"/>
    </row>
    <row r="97" spans="1:1" x14ac:dyDescent="0.2">
      <c r="A97" s="4"/>
    </row>
    <row r="98" spans="1:1" x14ac:dyDescent="0.2">
      <c r="A98" s="4"/>
    </row>
    <row r="99" spans="1:1" x14ac:dyDescent="0.2">
      <c r="A99" s="4"/>
    </row>
    <row r="100" spans="1:1" x14ac:dyDescent="0.2">
      <c r="A100" s="4"/>
    </row>
    <row r="101" spans="1:1" x14ac:dyDescent="0.2">
      <c r="A101" s="4"/>
    </row>
    <row r="102" spans="1:1" x14ac:dyDescent="0.2">
      <c r="A102" s="4"/>
    </row>
    <row r="103" spans="1:1" x14ac:dyDescent="0.2">
      <c r="A103" s="4"/>
    </row>
    <row r="104" spans="1:1" x14ac:dyDescent="0.2">
      <c r="A104" s="4"/>
    </row>
    <row r="105" spans="1:1" x14ac:dyDescent="0.2">
      <c r="A105" s="4"/>
    </row>
    <row r="106" spans="1:1" x14ac:dyDescent="0.2">
      <c r="A106" s="4"/>
    </row>
    <row r="107" spans="1:1" x14ac:dyDescent="0.2">
      <c r="A107" s="4"/>
    </row>
    <row r="108" spans="1:1" x14ac:dyDescent="0.2">
      <c r="A108" s="4"/>
    </row>
    <row r="109" spans="1:1" x14ac:dyDescent="0.2">
      <c r="A109" s="4"/>
    </row>
    <row r="110" spans="1:1" x14ac:dyDescent="0.2">
      <c r="A110" s="4"/>
    </row>
    <row r="111" spans="1:1" x14ac:dyDescent="0.2">
      <c r="A111" s="4"/>
    </row>
    <row r="112" spans="1:1" x14ac:dyDescent="0.2">
      <c r="A112" s="4"/>
    </row>
    <row r="113" spans="1:1" x14ac:dyDescent="0.2">
      <c r="A113" s="4"/>
    </row>
    <row r="114" spans="1:1" x14ac:dyDescent="0.2">
      <c r="A114" s="4"/>
    </row>
    <row r="115" spans="1:1" x14ac:dyDescent="0.2">
      <c r="A115" s="4"/>
    </row>
    <row r="116" spans="1:1" x14ac:dyDescent="0.2">
      <c r="A116" s="4"/>
    </row>
    <row r="117" spans="1:1" x14ac:dyDescent="0.2">
      <c r="A117" s="4"/>
    </row>
    <row r="118" spans="1:1" x14ac:dyDescent="0.2">
      <c r="A118" s="4"/>
    </row>
    <row r="119" spans="1:1" x14ac:dyDescent="0.2">
      <c r="A119" s="4"/>
    </row>
    <row r="120" spans="1:1" x14ac:dyDescent="0.2">
      <c r="A120" s="4"/>
    </row>
    <row r="121" spans="1:1" x14ac:dyDescent="0.2">
      <c r="A121" s="4"/>
    </row>
    <row r="122" spans="1:1" x14ac:dyDescent="0.2">
      <c r="A122" s="4"/>
    </row>
    <row r="123" spans="1:1" x14ac:dyDescent="0.2">
      <c r="A123" s="4"/>
    </row>
    <row r="124" spans="1:1" x14ac:dyDescent="0.2">
      <c r="A124" s="4"/>
    </row>
    <row r="125" spans="1:1" x14ac:dyDescent="0.2">
      <c r="A125" s="4"/>
    </row>
    <row r="126" spans="1:1" x14ac:dyDescent="0.2">
      <c r="A126" s="4"/>
    </row>
    <row r="127" spans="1:1" x14ac:dyDescent="0.2">
      <c r="A127" s="4"/>
    </row>
    <row r="128" spans="1:1" x14ac:dyDescent="0.2">
      <c r="A128" s="4"/>
    </row>
    <row r="129" spans="1:1" x14ac:dyDescent="0.2">
      <c r="A129" s="4"/>
    </row>
    <row r="130" spans="1:1" x14ac:dyDescent="0.2">
      <c r="A130" s="4"/>
    </row>
    <row r="131" spans="1:1" x14ac:dyDescent="0.2">
      <c r="A131" s="4"/>
    </row>
    <row r="132" spans="1:1" x14ac:dyDescent="0.2">
      <c r="A132" s="4"/>
    </row>
    <row r="133" spans="1:1" x14ac:dyDescent="0.2">
      <c r="A133" s="4"/>
    </row>
    <row r="134" spans="1:1" x14ac:dyDescent="0.2">
      <c r="A134" s="4"/>
    </row>
    <row r="135" spans="1:1" x14ac:dyDescent="0.2">
      <c r="A135" s="4"/>
    </row>
    <row r="136" spans="1:1" x14ac:dyDescent="0.2">
      <c r="A136" s="4"/>
    </row>
    <row r="137" spans="1:1" x14ac:dyDescent="0.2">
      <c r="A137" s="4"/>
    </row>
    <row r="138" spans="1:1" x14ac:dyDescent="0.2">
      <c r="A138" s="4"/>
    </row>
    <row r="139" spans="1:1" x14ac:dyDescent="0.2">
      <c r="A139" s="4"/>
    </row>
    <row r="140" spans="1:1" x14ac:dyDescent="0.2">
      <c r="A140" s="4"/>
    </row>
    <row r="141" spans="1:1" x14ac:dyDescent="0.2">
      <c r="A141" s="4"/>
    </row>
    <row r="142" spans="1:1" x14ac:dyDescent="0.2">
      <c r="A142" s="4"/>
    </row>
    <row r="143" spans="1:1" x14ac:dyDescent="0.2">
      <c r="A143" s="4"/>
    </row>
    <row r="144" spans="1:1" x14ac:dyDescent="0.2">
      <c r="A144" s="4"/>
    </row>
    <row r="145" spans="1:1" x14ac:dyDescent="0.2">
      <c r="A145" s="4"/>
    </row>
    <row r="146" spans="1:1" x14ac:dyDescent="0.2">
      <c r="A146" s="4"/>
    </row>
    <row r="147" spans="1:1" x14ac:dyDescent="0.2">
      <c r="A147" s="4"/>
    </row>
    <row r="148" spans="1:1" x14ac:dyDescent="0.2">
      <c r="A148" s="4"/>
    </row>
    <row r="149" spans="1:1" x14ac:dyDescent="0.2">
      <c r="A149" s="4"/>
    </row>
    <row r="150" spans="1:1" x14ac:dyDescent="0.2">
      <c r="A150" s="4"/>
    </row>
    <row r="151" spans="1:1" x14ac:dyDescent="0.2">
      <c r="A15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5845-510E-4378-A349-2FEAE5A77AE3}">
  <dimension ref="A1:O39"/>
  <sheetViews>
    <sheetView topLeftCell="A16" zoomScale="110" zoomScaleNormal="110" workbookViewId="0">
      <selection activeCell="D35" sqref="D35"/>
    </sheetView>
  </sheetViews>
  <sheetFormatPr baseColWidth="10" defaultColWidth="8.83203125" defaultRowHeight="15" x14ac:dyDescent="0.2"/>
  <cols>
    <col min="2" max="3" width="33.1640625" customWidth="1"/>
    <col min="4" max="4" width="46.33203125" customWidth="1"/>
    <col min="5" max="6" width="23.5" customWidth="1"/>
    <col min="7" max="7" width="34.5" bestFit="1" customWidth="1"/>
    <col min="8" max="8" width="23.5" customWidth="1"/>
    <col min="9" max="9" width="46.1640625" customWidth="1"/>
    <col min="10" max="10" width="25" bestFit="1" customWidth="1"/>
    <col min="11" max="13" width="23.5" customWidth="1"/>
    <col min="14" max="14" width="83.5" customWidth="1"/>
    <col min="15" max="15" width="64.6640625" customWidth="1"/>
  </cols>
  <sheetData>
    <row r="1" spans="1:15" x14ac:dyDescent="0.2">
      <c r="A1" t="s">
        <v>262</v>
      </c>
      <c r="B1" t="s">
        <v>2</v>
      </c>
      <c r="C1" t="s">
        <v>263</v>
      </c>
      <c r="D1" t="s">
        <v>264</v>
      </c>
      <c r="E1" t="s">
        <v>265</v>
      </c>
      <c r="F1" t="s">
        <v>266</v>
      </c>
      <c r="G1" t="s">
        <v>267</v>
      </c>
      <c r="H1" t="s">
        <v>268</v>
      </c>
      <c r="I1" t="s">
        <v>269</v>
      </c>
      <c r="J1" t="s">
        <v>270</v>
      </c>
      <c r="K1" t="s">
        <v>271</v>
      </c>
      <c r="L1" t="s">
        <v>272</v>
      </c>
      <c r="M1" t="s">
        <v>273</v>
      </c>
      <c r="N1" t="s">
        <v>274</v>
      </c>
      <c r="O1" t="s">
        <v>275</v>
      </c>
    </row>
    <row r="2" spans="1:15" s="2" customFormat="1" ht="208" x14ac:dyDescent="0.2">
      <c r="A2" s="3" t="s">
        <v>276</v>
      </c>
      <c r="B2" s="2" t="str">
        <f>newreqtype!D2</f>
        <v>in-transit-rma-asn-7-days</v>
      </c>
      <c r="C2" s="2" t="s">
        <v>277</v>
      </c>
      <c r="D2" s="2" t="str">
        <f>"[" &amp; IF(C2 = "", "", "{""sql"": """ &amp; C2 &amp; """},") &amp; "{""days"": """ &amp; "7" &amp; """}]"</f>
        <v>[{"sql": "select org_id, asn_id, asn_status, created_timestamp from default_receiving.RCV_ASN where org_id = %(orgName)s and asn_status = ''1000'' and canceled = ''0'' and asn_origin_type_id =''R'' and created_timestamp &lt;= now() - interval %(days)s day "},{"days": "7"}]</v>
      </c>
      <c r="E2" s="2" t="s">
        <v>278</v>
      </c>
      <c r="F2" s="6" t="s">
        <v>279</v>
      </c>
      <c r="G2" s="2" t="s">
        <v>280</v>
      </c>
      <c r="I2" s="2" t="s">
        <v>281</v>
      </c>
      <c r="J2" s="2" t="s">
        <v>278</v>
      </c>
      <c r="K2" s="2" t="str">
        <f>"[""Invoice"", ""Status""]"</f>
        <v>["Invoice", "Status"]</v>
      </c>
      <c r="L2" s="2" t="s">
        <v>282</v>
      </c>
      <c r="M2" s="2" t="s">
        <v>283</v>
      </c>
      <c r="N2" s="2" t="str">
        <f>"{ ""emailContent"": {""subject"":""" &amp;E2&amp; """,""fromEmail"":""" &amp; F2 &amp; """,""toEmail"":""" &amp; G2 &amp; """," &amp; (IF(H2 = "", "", """ccEmail"": """ &amp; H2 &amp; """,")) &amp; """sections"":[{""htmlHeader"":""" &amp; I2 &amp; """},{""introHtml"":""" &amp;J2 &amp; """},{""tableHtml"":{""tableHeaders"":" &amp; K2 &amp; ",""tableRows"":" &amp; L2 &amp; "}},{""footerHtml"":""" &amp; M2 &amp; """}]}, ""allOption"": " &amp; D2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 s="2" t="str">
        <f t="shared" ref="O2:O39" si="0">"update app.warehouselocationdetail set payload = '" &amp; N2 &amp; "' where warehouseid = (select w.warehouseid from app.warehouselocation w where w.warehouseshortname='"&amp;A2&amp;"') and requesttypeid=(select rt.requesttypeid from app.requesttype rt where rt.description='"&amp;B2&amp; "');"</f>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w.warehouseshortname='ABQ') and requesttypeid=(select rt.requesttypeid from app.requesttype rt where rt.description='in-transit-rma-asn-7-days');</v>
      </c>
    </row>
    <row r="3" spans="1:15" ht="112" x14ac:dyDescent="0.2">
      <c r="A3" s="4" t="s">
        <v>284</v>
      </c>
      <c r="B3" t="str">
        <f>B2</f>
        <v>in-transit-rma-asn-7-days</v>
      </c>
      <c r="C3" s="2" t="s">
        <v>277</v>
      </c>
      <c r="D3" s="2" t="str">
        <f t="shared" ref="D3:D39" si="1">"[" &amp; IF(C3 = "", "", "{""sql"": """ &amp; C3 &amp; """},") &amp; "{""days"": """ &amp; "7" &amp; """}]"</f>
        <v>[{"sql": "select org_id, asn_id, asn_status, created_timestamp from default_receiving.RCV_ASN where org_id = %(orgName)s and asn_status = ''1000'' and canceled = ''0'' and asn_origin_type_id =''R'' and created_timestamp &lt;= now() - interval %(days)s day "},{"days": "7"}]</v>
      </c>
      <c r="E3" t="s">
        <v>278</v>
      </c>
      <c r="F3" s="5" t="s">
        <v>279</v>
      </c>
      <c r="G3" t="s">
        <v>280</v>
      </c>
      <c r="I3" t="s">
        <v>281</v>
      </c>
      <c r="J3" t="s">
        <v>278</v>
      </c>
      <c r="K3" t="str">
        <f t="shared" ref="K3:K39" si="2">"[""Invoice"", ""Status""]"</f>
        <v>["Invoice", "Status"]</v>
      </c>
      <c r="L3" t="s">
        <v>282</v>
      </c>
      <c r="M3" t="s">
        <v>283</v>
      </c>
      <c r="N3" t="str">
        <f t="shared" ref="N3:N39" si="3">"{ ""emailContent"": {""subject"":""" &amp;E3&amp; """,""fromEmail"":""" &amp; F3 &amp; """,""toEmail"":""" &amp; G3 &amp; """," &amp; (IF(H3 = "", "", """ccEmail"": """ &amp; H3 &amp; """,")) &amp; """sections"":[{""htmlHeader"":""" &amp; I3 &amp; """},{""introHtml"":""" &amp;J3 &amp; """},{""tableHtml"":{""tableHeaders"":" &amp; K3 &amp; ",""tableRows"":" &amp; L3 &amp; "}},{""footerHtml"":""" &amp; M3 &amp; """}]}, ""allOption"": " &amp; D3 &amp; "}"</f>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w.warehouseshortname='ARK') and requesttypeid=(select rt.requesttypeid from app.requesttype rt where rt.description='in-transit-rma-asn-7-days');</v>
      </c>
    </row>
    <row r="4" spans="1:15" x14ac:dyDescent="0.2">
      <c r="A4" s="4" t="s">
        <v>285</v>
      </c>
      <c r="B4" t="str">
        <f t="shared" ref="B4:B39" si="4">B3</f>
        <v>in-transit-rma-asn-7-days</v>
      </c>
      <c r="C4" t="s">
        <v>277</v>
      </c>
      <c r="D4" t="str">
        <f t="shared" si="1"/>
        <v>[{"sql": "select org_id, asn_id, asn_status, created_timestamp from default_receiving.RCV_ASN where org_id = %(orgName)s and asn_status = ''1000'' and canceled = ''0'' and asn_origin_type_id =''R'' and created_timestamp &lt;= now() - interval %(days)s day "},{"days": "7"}]</v>
      </c>
      <c r="E4" t="s">
        <v>278</v>
      </c>
      <c r="F4" s="5" t="s">
        <v>279</v>
      </c>
      <c r="G4" t="s">
        <v>280</v>
      </c>
      <c r="I4" t="s">
        <v>281</v>
      </c>
      <c r="J4" t="s">
        <v>278</v>
      </c>
      <c r="K4" t="str">
        <f t="shared" si="2"/>
        <v>["Invoice", "Status"]</v>
      </c>
      <c r="L4" t="s">
        <v>282</v>
      </c>
      <c r="M4" t="s">
        <v>283</v>
      </c>
      <c r="N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w.warehouseshortname='ASH') and requesttypeid=(select rt.requesttypeid from app.requesttype rt where rt.description='in-transit-rma-asn-7-days');</v>
      </c>
    </row>
    <row r="5" spans="1:15" x14ac:dyDescent="0.2">
      <c r="A5" s="4" t="s">
        <v>286</v>
      </c>
      <c r="B5" t="str">
        <f t="shared" si="4"/>
        <v>in-transit-rma-asn-7-days</v>
      </c>
      <c r="C5" t="s">
        <v>277</v>
      </c>
      <c r="D5" t="str">
        <f t="shared" si="1"/>
        <v>[{"sql": "select org_id, asn_id, asn_status, created_timestamp from default_receiving.RCV_ASN where org_id = %(orgName)s and asn_status = ''1000'' and canceled = ''0'' and asn_origin_type_id =''R'' and created_timestamp &lt;= now() - interval %(days)s day "},{"days": "7"}]</v>
      </c>
      <c r="E5" t="s">
        <v>278</v>
      </c>
      <c r="F5" s="5" t="s">
        <v>279</v>
      </c>
      <c r="G5" t="s">
        <v>280</v>
      </c>
      <c r="I5" t="s">
        <v>281</v>
      </c>
      <c r="J5" t="s">
        <v>278</v>
      </c>
      <c r="K5" t="str">
        <f t="shared" si="2"/>
        <v>["Invoice", "Status"]</v>
      </c>
      <c r="L5" t="s">
        <v>282</v>
      </c>
      <c r="M5" t="s">
        <v>283</v>
      </c>
      <c r="N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w.warehouseshortname='ATL') and requesttypeid=(select rt.requesttypeid from app.requesttype rt where rt.description='in-transit-rma-asn-7-days');</v>
      </c>
    </row>
    <row r="6" spans="1:15" x14ac:dyDescent="0.2">
      <c r="A6" s="4" t="s">
        <v>287</v>
      </c>
      <c r="B6" t="str">
        <f t="shared" si="4"/>
        <v>in-transit-rma-asn-7-days</v>
      </c>
      <c r="C6" t="s">
        <v>277</v>
      </c>
      <c r="D6" t="str">
        <f t="shared" si="1"/>
        <v>[{"sql": "select org_id, asn_id, asn_status, created_timestamp from default_receiving.RCV_ASN where org_id = %(orgName)s and asn_status = ''1000'' and canceled = ''0'' and asn_origin_type_id =''R'' and created_timestamp &lt;= now() - interval %(days)s day "},{"days": "7"}]</v>
      </c>
      <c r="E6" t="s">
        <v>278</v>
      </c>
      <c r="F6" s="5" t="s">
        <v>279</v>
      </c>
      <c r="G6" t="s">
        <v>280</v>
      </c>
      <c r="I6" t="s">
        <v>281</v>
      </c>
      <c r="J6" t="s">
        <v>278</v>
      </c>
      <c r="K6" t="str">
        <f t="shared" si="2"/>
        <v>["Invoice", "Status"]</v>
      </c>
      <c r="L6" t="s">
        <v>282</v>
      </c>
      <c r="M6" t="s">
        <v>283</v>
      </c>
      <c r="N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w.warehouseshortname='AUB') and requesttypeid=(select rt.requesttypeid from app.requesttype rt where rt.description='in-transit-rma-asn-7-days');</v>
      </c>
    </row>
    <row r="7" spans="1:15" x14ac:dyDescent="0.2">
      <c r="A7" s="4" t="s">
        <v>288</v>
      </c>
      <c r="B7" t="str">
        <f t="shared" si="4"/>
        <v>in-transit-rma-asn-7-days</v>
      </c>
      <c r="C7" t="s">
        <v>277</v>
      </c>
      <c r="D7" t="str">
        <f t="shared" si="1"/>
        <v>[{"sql": "select org_id, asn_id, asn_status, created_timestamp from default_receiving.RCV_ASN where org_id = %(orgName)s and asn_status = ''1000'' and canceled = ''0'' and asn_origin_type_id =''R'' and created_timestamp &lt;= now() - interval %(days)s day "},{"days": "7"}]</v>
      </c>
      <c r="E7" t="s">
        <v>278</v>
      </c>
      <c r="F7" s="5" t="s">
        <v>279</v>
      </c>
      <c r="G7" t="s">
        <v>280</v>
      </c>
      <c r="I7" t="s">
        <v>281</v>
      </c>
      <c r="J7" t="s">
        <v>278</v>
      </c>
      <c r="K7" t="str">
        <f t="shared" si="2"/>
        <v>["Invoice", "Status"]</v>
      </c>
      <c r="L7" t="s">
        <v>282</v>
      </c>
      <c r="M7" t="s">
        <v>283</v>
      </c>
      <c r="N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w.warehouseshortname='CCR') and requesttypeid=(select rt.requesttypeid from app.requesttype rt where rt.description='in-transit-rma-asn-7-days');</v>
      </c>
    </row>
    <row r="8" spans="1:15" x14ac:dyDescent="0.2">
      <c r="A8" s="4" t="s">
        <v>289</v>
      </c>
      <c r="B8" t="str">
        <f t="shared" si="4"/>
        <v>in-transit-rma-asn-7-days</v>
      </c>
      <c r="C8" t="s">
        <v>277</v>
      </c>
      <c r="D8" t="str">
        <f t="shared" si="1"/>
        <v>[{"sql": "select org_id, asn_id, asn_status, created_timestamp from default_receiving.RCV_ASN where org_id = %(orgName)s and asn_status = ''1000'' and canceled = ''0'' and asn_origin_type_id =''R'' and created_timestamp &lt;= now() - interval %(days)s day "},{"days": "7"}]</v>
      </c>
      <c r="E8" t="s">
        <v>278</v>
      </c>
      <c r="F8" s="5" t="s">
        <v>279</v>
      </c>
      <c r="G8" t="s">
        <v>280</v>
      </c>
      <c r="I8" t="s">
        <v>281</v>
      </c>
      <c r="J8" t="s">
        <v>278</v>
      </c>
      <c r="K8" t="str">
        <f t="shared" si="2"/>
        <v>["Invoice", "Status"]</v>
      </c>
      <c r="L8" t="s">
        <v>282</v>
      </c>
      <c r="M8" t="s">
        <v>283</v>
      </c>
      <c r="N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w.warehouseshortname='COL') and requesttypeid=(select rt.requesttypeid from app.requesttype rt where rt.description='in-transit-rma-asn-7-days');</v>
      </c>
    </row>
    <row r="9" spans="1:15" x14ac:dyDescent="0.2">
      <c r="A9" s="4" t="s">
        <v>290</v>
      </c>
      <c r="B9" t="str">
        <f t="shared" si="4"/>
        <v>in-transit-rma-asn-7-days</v>
      </c>
      <c r="C9" t="s">
        <v>277</v>
      </c>
      <c r="D9" t="str">
        <f t="shared" si="1"/>
        <v>[{"sql": "select org_id, asn_id, asn_status, created_timestamp from default_receiving.RCV_ASN where org_id = %(orgName)s and asn_status = ''1000'' and canceled = ''0'' and asn_origin_type_id =''R'' and created_timestamp &lt;= now() - interval %(days)s day "},{"days": "7"}]</v>
      </c>
      <c r="E9" t="s">
        <v>278</v>
      </c>
      <c r="F9" s="5" t="s">
        <v>279</v>
      </c>
      <c r="G9" t="s">
        <v>280</v>
      </c>
      <c r="I9" t="s">
        <v>281</v>
      </c>
      <c r="J9" t="s">
        <v>278</v>
      </c>
      <c r="K9" t="str">
        <f t="shared" si="2"/>
        <v>["Invoice", "Status"]</v>
      </c>
      <c r="L9" t="s">
        <v>282</v>
      </c>
      <c r="M9" t="s">
        <v>283</v>
      </c>
      <c r="N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w.warehouseshortname='DEN') and requesttypeid=(select rt.requesttypeid from app.requesttype rt where rt.description='in-transit-rma-asn-7-days');</v>
      </c>
    </row>
    <row r="10" spans="1:15" x14ac:dyDescent="0.2">
      <c r="A10" s="4" t="s">
        <v>291</v>
      </c>
      <c r="B10" t="str">
        <f t="shared" si="4"/>
        <v>in-transit-rma-asn-7-days</v>
      </c>
      <c r="C10" t="s">
        <v>277</v>
      </c>
      <c r="D10" t="str">
        <f t="shared" si="1"/>
        <v>[{"sql": "select org_id, asn_id, asn_status, created_timestamp from default_receiving.RCV_ASN where org_id = %(orgName)s and asn_status = ''1000'' and canceled = ''0'' and asn_origin_type_id =''R'' and created_timestamp &lt;= now() - interval %(days)s day "},{"days": "7"}]</v>
      </c>
      <c r="E10" t="s">
        <v>278</v>
      </c>
      <c r="F10" s="5" t="s">
        <v>279</v>
      </c>
      <c r="G10" t="s">
        <v>280</v>
      </c>
      <c r="I10" t="s">
        <v>281</v>
      </c>
      <c r="J10" t="s">
        <v>278</v>
      </c>
      <c r="K10" t="str">
        <f t="shared" si="2"/>
        <v>["Invoice", "Status"]</v>
      </c>
      <c r="L10" t="s">
        <v>282</v>
      </c>
      <c r="M10" t="s">
        <v>283</v>
      </c>
      <c r="N1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w.warehouseshortname='DFB') and requesttypeid=(select rt.requesttypeid from app.requesttype rt where rt.description='in-transit-rma-asn-7-days');</v>
      </c>
    </row>
    <row r="11" spans="1:15" x14ac:dyDescent="0.2">
      <c r="A11" s="4" t="s">
        <v>292</v>
      </c>
      <c r="B11" t="str">
        <f t="shared" si="4"/>
        <v>in-transit-rma-asn-7-days</v>
      </c>
      <c r="C11" t="s">
        <v>277</v>
      </c>
      <c r="D11" t="str">
        <f t="shared" si="1"/>
        <v>[{"sql": "select org_id, asn_id, asn_status, created_timestamp from default_receiving.RCV_ASN where org_id = %(orgName)s and asn_status = ''1000'' and canceled = ''0'' and asn_origin_type_id =''R'' and created_timestamp &lt;= now() - interval %(days)s day "},{"days": "7"}]</v>
      </c>
      <c r="E11" t="s">
        <v>278</v>
      </c>
      <c r="F11" s="5" t="s">
        <v>279</v>
      </c>
      <c r="G11" t="s">
        <v>280</v>
      </c>
      <c r="I11" t="s">
        <v>281</v>
      </c>
      <c r="J11" t="s">
        <v>278</v>
      </c>
      <c r="K11" t="str">
        <f t="shared" si="2"/>
        <v>["Invoice", "Status"]</v>
      </c>
      <c r="L11" t="s">
        <v>282</v>
      </c>
      <c r="M11" t="s">
        <v>283</v>
      </c>
      <c r="N1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w.warehouseshortname='ELP') and requesttypeid=(select rt.requesttypeid from app.requesttype rt where rt.description='in-transit-rma-asn-7-days');</v>
      </c>
    </row>
    <row r="12" spans="1:15" x14ac:dyDescent="0.2">
      <c r="A12" s="4" t="s">
        <v>293</v>
      </c>
      <c r="B12" t="str">
        <f t="shared" si="4"/>
        <v>in-transit-rma-asn-7-days</v>
      </c>
      <c r="C12" t="s">
        <v>277</v>
      </c>
      <c r="D12" t="str">
        <f t="shared" si="1"/>
        <v>[{"sql": "select org_id, asn_id, asn_status, created_timestamp from default_receiving.RCV_ASN where org_id = %(orgName)s and asn_status = ''1000'' and canceled = ''0'' and asn_origin_type_id =''R'' and created_timestamp &lt;= now() - interval %(days)s day "},{"days": "7"}]</v>
      </c>
      <c r="E12" t="s">
        <v>278</v>
      </c>
      <c r="F12" s="5" t="s">
        <v>279</v>
      </c>
      <c r="G12" t="s">
        <v>280</v>
      </c>
      <c r="I12" t="s">
        <v>281</v>
      </c>
      <c r="J12" t="s">
        <v>278</v>
      </c>
      <c r="K12" t="str">
        <f t="shared" si="2"/>
        <v>["Invoice", "Status"]</v>
      </c>
      <c r="L12" t="s">
        <v>282</v>
      </c>
      <c r="M12" t="s">
        <v>283</v>
      </c>
      <c r="N1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w.warehouseshortname='FAR') and requesttypeid=(select rt.requesttypeid from app.requesttype rt where rt.description='in-transit-rma-asn-7-days');</v>
      </c>
    </row>
    <row r="13" spans="1:15" x14ac:dyDescent="0.2">
      <c r="A13" s="4" t="s">
        <v>294</v>
      </c>
      <c r="B13" t="str">
        <f t="shared" si="4"/>
        <v>in-transit-rma-asn-7-days</v>
      </c>
      <c r="C13" t="s">
        <v>277</v>
      </c>
      <c r="D13" t="str">
        <f t="shared" si="1"/>
        <v>[{"sql": "select org_id, asn_id, asn_status, created_timestamp from default_receiving.RCV_ASN where org_id = %(orgName)s and asn_status = ''1000'' and canceled = ''0'' and asn_origin_type_id =''R'' and created_timestamp &lt;= now() - interval %(days)s day "},{"days": "7"}]</v>
      </c>
      <c r="E13" t="s">
        <v>278</v>
      </c>
      <c r="F13" s="5" t="s">
        <v>279</v>
      </c>
      <c r="G13" t="s">
        <v>280</v>
      </c>
      <c r="I13" t="s">
        <v>281</v>
      </c>
      <c r="J13" t="s">
        <v>278</v>
      </c>
      <c r="K13" t="str">
        <f t="shared" si="2"/>
        <v>["Invoice", "Status"]</v>
      </c>
      <c r="L13" t="s">
        <v>282</v>
      </c>
      <c r="M13" t="s">
        <v>283</v>
      </c>
      <c r="N1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w.warehouseshortname='GRP') and requesttypeid=(select rt.requesttypeid from app.requesttype rt where rt.description='in-transit-rma-asn-7-days');</v>
      </c>
    </row>
    <row r="14" spans="1:15" x14ac:dyDescent="0.2">
      <c r="A14" s="4" t="s">
        <v>295</v>
      </c>
      <c r="B14" t="str">
        <f t="shared" si="4"/>
        <v>in-transit-rma-asn-7-days</v>
      </c>
      <c r="C14" t="s">
        <v>277</v>
      </c>
      <c r="D14" t="str">
        <f t="shared" si="1"/>
        <v>[{"sql": "select org_id, asn_id, asn_status, created_timestamp from default_receiving.RCV_ASN where org_id = %(orgName)s and asn_status = ''1000'' and canceled = ''0'' and asn_origin_type_id =''R'' and created_timestamp &lt;= now() - interval %(days)s day "},{"days": "7"}]</v>
      </c>
      <c r="E14" t="s">
        <v>278</v>
      </c>
      <c r="F14" s="5" t="s">
        <v>279</v>
      </c>
      <c r="G14" t="s">
        <v>280</v>
      </c>
      <c r="I14" t="s">
        <v>281</v>
      </c>
      <c r="J14" t="s">
        <v>278</v>
      </c>
      <c r="K14" t="str">
        <f t="shared" si="2"/>
        <v>["Invoice", "Status"]</v>
      </c>
      <c r="L14" t="s">
        <v>282</v>
      </c>
      <c r="M14" t="s">
        <v>283</v>
      </c>
      <c r="N1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w.warehouseshortname='HAW') and requesttypeid=(select rt.requesttypeid from app.requesttype rt where rt.description='in-transit-rma-asn-7-days');</v>
      </c>
    </row>
    <row r="15" spans="1:15" x14ac:dyDescent="0.2">
      <c r="A15" s="4" t="s">
        <v>296</v>
      </c>
      <c r="B15" t="str">
        <f t="shared" si="4"/>
        <v>in-transit-rma-asn-7-days</v>
      </c>
      <c r="C15" t="s">
        <v>277</v>
      </c>
      <c r="D15" t="str">
        <f t="shared" si="1"/>
        <v>[{"sql": "select org_id, asn_id, asn_status, created_timestamp from default_receiving.RCV_ASN where org_id = %(orgName)s and asn_status = ''1000'' and canceled = ''0'' and asn_origin_type_id =''R'' and created_timestamp &lt;= now() - interval %(days)s day "},{"days": "7"}]</v>
      </c>
      <c r="E15" t="s">
        <v>278</v>
      </c>
      <c r="F15" s="5" t="s">
        <v>279</v>
      </c>
      <c r="G15" t="s">
        <v>280</v>
      </c>
      <c r="I15" t="s">
        <v>281</v>
      </c>
      <c r="J15" t="s">
        <v>278</v>
      </c>
      <c r="K15" t="str">
        <f t="shared" si="2"/>
        <v>["Invoice", "Status"]</v>
      </c>
      <c r="L15" t="s">
        <v>282</v>
      </c>
      <c r="M15" t="s">
        <v>283</v>
      </c>
      <c r="N1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w.warehouseshortname='HOU') and requesttypeid=(select rt.requesttypeid from app.requesttype rt where rt.description='in-transit-rma-asn-7-days');</v>
      </c>
    </row>
    <row r="16" spans="1:15" x14ac:dyDescent="0.2">
      <c r="A16" s="4" t="s">
        <v>297</v>
      </c>
      <c r="B16" t="str">
        <f t="shared" si="4"/>
        <v>in-transit-rma-asn-7-days</v>
      </c>
      <c r="C16" t="s">
        <v>277</v>
      </c>
      <c r="D16" t="str">
        <f t="shared" si="1"/>
        <v>[{"sql": "select org_id, asn_id, asn_status, created_timestamp from default_receiving.RCV_ASN where org_id = %(orgName)s and asn_status = ''1000'' and canceled = ''0'' and asn_origin_type_id =''R'' and created_timestamp &lt;= now() - interval %(days)s day "},{"days": "7"}]</v>
      </c>
      <c r="E16" t="s">
        <v>278</v>
      </c>
      <c r="F16" s="5" t="s">
        <v>279</v>
      </c>
      <c r="G16" t="s">
        <v>280</v>
      </c>
      <c r="I16" t="s">
        <v>281</v>
      </c>
      <c r="J16" t="s">
        <v>278</v>
      </c>
      <c r="K16" t="str">
        <f t="shared" si="2"/>
        <v>["Invoice", "Status"]</v>
      </c>
      <c r="L16" t="s">
        <v>282</v>
      </c>
      <c r="M16" t="s">
        <v>283</v>
      </c>
      <c r="N1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w.warehouseshortname='IND') and requesttypeid=(select rt.requesttypeid from app.requesttype rt where rt.description='in-transit-rma-asn-7-days');</v>
      </c>
    </row>
    <row r="17" spans="1:15" x14ac:dyDescent="0.2">
      <c r="A17" s="4" t="s">
        <v>298</v>
      </c>
      <c r="B17" t="str">
        <f t="shared" si="4"/>
        <v>in-transit-rma-asn-7-days</v>
      </c>
      <c r="C17" t="s">
        <v>277</v>
      </c>
      <c r="D17" t="str">
        <f t="shared" si="1"/>
        <v>[{"sql": "select org_id, asn_id, asn_status, created_timestamp from default_receiving.RCV_ASN where org_id = %(orgName)s and asn_status = ''1000'' and canceled = ''0'' and asn_origin_type_id =''R'' and created_timestamp &lt;= now() - interval %(days)s day "},{"days": "7"}]</v>
      </c>
      <c r="E17" t="s">
        <v>278</v>
      </c>
      <c r="F17" s="5" t="s">
        <v>279</v>
      </c>
      <c r="G17" t="s">
        <v>280</v>
      </c>
      <c r="I17" t="s">
        <v>281</v>
      </c>
      <c r="J17" t="s">
        <v>278</v>
      </c>
      <c r="K17" t="str">
        <f t="shared" si="2"/>
        <v>["Invoice", "Status"]</v>
      </c>
      <c r="L17" t="s">
        <v>282</v>
      </c>
      <c r="M17" t="s">
        <v>283</v>
      </c>
      <c r="N1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w.warehouseshortname='JAC') and requesttypeid=(select rt.requesttypeid from app.requesttype rt where rt.description='in-transit-rma-asn-7-days');</v>
      </c>
    </row>
    <row r="18" spans="1:15" x14ac:dyDescent="0.2">
      <c r="A18" s="4" t="s">
        <v>299</v>
      </c>
      <c r="B18" t="str">
        <f t="shared" si="4"/>
        <v>in-transit-rma-asn-7-days</v>
      </c>
      <c r="C18" t="s">
        <v>277</v>
      </c>
      <c r="D18" t="str">
        <f t="shared" si="1"/>
        <v>[{"sql": "select org_id, asn_id, asn_status, created_timestamp from default_receiving.RCV_ASN where org_id = %(orgName)s and asn_status = ''1000'' and canceled = ''0'' and asn_origin_type_id =''R'' and created_timestamp &lt;= now() - interval %(days)s day "},{"days": "7"}]</v>
      </c>
      <c r="E18" t="s">
        <v>278</v>
      </c>
      <c r="F18" s="5" t="s">
        <v>279</v>
      </c>
      <c r="G18" t="s">
        <v>280</v>
      </c>
      <c r="I18" t="s">
        <v>281</v>
      </c>
      <c r="J18" t="s">
        <v>278</v>
      </c>
      <c r="K18" t="str">
        <f t="shared" si="2"/>
        <v>["Invoice", "Status"]</v>
      </c>
      <c r="L18" t="s">
        <v>282</v>
      </c>
      <c r="M18" t="s">
        <v>283</v>
      </c>
      <c r="N1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w.warehouseshortname='JES') and requesttypeid=(select rt.requesttypeid from app.requesttype rt where rt.description='in-transit-rma-asn-7-days');</v>
      </c>
    </row>
    <row r="19" spans="1:15" x14ac:dyDescent="0.2">
      <c r="A19" s="4" t="s">
        <v>300</v>
      </c>
      <c r="B19" t="str">
        <f t="shared" si="4"/>
        <v>in-transit-rma-asn-7-days</v>
      </c>
      <c r="C19" t="s">
        <v>277</v>
      </c>
      <c r="D19" t="str">
        <f t="shared" si="1"/>
        <v>[{"sql": "select org_id, asn_id, asn_status, created_timestamp from default_receiving.RCV_ASN where org_id = %(orgName)s and asn_status = ''1000'' and canceled = ''0'' and asn_origin_type_id =''R'' and created_timestamp &lt;= now() - interval %(days)s day "},{"days": "7"}]</v>
      </c>
      <c r="E19" t="s">
        <v>278</v>
      </c>
      <c r="F19" s="5" t="s">
        <v>279</v>
      </c>
      <c r="G19" t="s">
        <v>280</v>
      </c>
      <c r="I19" t="s">
        <v>281</v>
      </c>
      <c r="J19" t="s">
        <v>278</v>
      </c>
      <c r="K19" t="str">
        <f t="shared" si="2"/>
        <v>["Invoice", "Status"]</v>
      </c>
      <c r="L19" t="s">
        <v>282</v>
      </c>
      <c r="M19" t="s">
        <v>283</v>
      </c>
      <c r="N1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w.warehouseshortname='KAP') and requesttypeid=(select rt.requesttypeid from app.requesttype rt where rt.description='in-transit-rma-asn-7-days');</v>
      </c>
    </row>
    <row r="20" spans="1:15" x14ac:dyDescent="0.2">
      <c r="A20" s="4" t="s">
        <v>301</v>
      </c>
      <c r="B20" t="str">
        <f t="shared" si="4"/>
        <v>in-transit-rma-asn-7-days</v>
      </c>
      <c r="C20" t="s">
        <v>277</v>
      </c>
      <c r="D20" t="str">
        <f t="shared" si="1"/>
        <v>[{"sql": "select org_id, asn_id, asn_status, created_timestamp from default_receiving.RCV_ASN where org_id = %(orgName)s and asn_status = ''1000'' and canceled = ''0'' and asn_origin_type_id =''R'' and created_timestamp &lt;= now() - interval %(days)s day "},{"days": "7"}]</v>
      </c>
      <c r="E20" t="s">
        <v>278</v>
      </c>
      <c r="F20" s="5" t="s">
        <v>279</v>
      </c>
      <c r="G20" t="s">
        <v>280</v>
      </c>
      <c r="I20" t="s">
        <v>281</v>
      </c>
      <c r="J20" t="s">
        <v>278</v>
      </c>
      <c r="K20" t="str">
        <f t="shared" si="2"/>
        <v>["Invoice", "Status"]</v>
      </c>
      <c r="L20" t="s">
        <v>282</v>
      </c>
      <c r="M20" t="s">
        <v>283</v>
      </c>
      <c r="N2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w.warehouseshortname='KAU') and requesttypeid=(select rt.requesttypeid from app.requesttype rt where rt.description='in-transit-rma-asn-7-days');</v>
      </c>
    </row>
    <row r="21" spans="1:15" x14ac:dyDescent="0.2">
      <c r="A21" s="4" t="s">
        <v>302</v>
      </c>
      <c r="B21" t="str">
        <f t="shared" si="4"/>
        <v>in-transit-rma-asn-7-days</v>
      </c>
      <c r="C21" t="s">
        <v>277</v>
      </c>
      <c r="D21" t="str">
        <f t="shared" si="1"/>
        <v>[{"sql": "select org_id, asn_id, asn_status, created_timestamp from default_receiving.RCV_ASN where org_id = %(orgName)s and asn_status = ''1000'' and canceled = ''0'' and asn_origin_type_id =''R'' and created_timestamp &lt;= now() - interval %(days)s day "},{"days": "7"}]</v>
      </c>
      <c r="E21" t="s">
        <v>278</v>
      </c>
      <c r="F21" s="5" t="s">
        <v>279</v>
      </c>
      <c r="G21" t="s">
        <v>280</v>
      </c>
      <c r="I21" t="s">
        <v>281</v>
      </c>
      <c r="J21" t="s">
        <v>278</v>
      </c>
      <c r="K21" t="str">
        <f t="shared" si="2"/>
        <v>["Invoice", "Status"]</v>
      </c>
      <c r="L21" t="s">
        <v>282</v>
      </c>
      <c r="M21" t="s">
        <v>283</v>
      </c>
      <c r="N2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w.warehouseshortname='LAF') and requesttypeid=(select rt.requesttypeid from app.requesttype rt where rt.description='in-transit-rma-asn-7-days');</v>
      </c>
    </row>
    <row r="22" spans="1:15" x14ac:dyDescent="0.2">
      <c r="A22" s="4" t="s">
        <v>303</v>
      </c>
      <c r="B22" t="str">
        <f t="shared" si="4"/>
        <v>in-transit-rma-asn-7-days</v>
      </c>
      <c r="C22" t="s">
        <v>277</v>
      </c>
      <c r="D22" t="str">
        <f t="shared" si="1"/>
        <v>[{"sql": "select org_id, asn_id, asn_status, created_timestamp from default_receiving.RCV_ASN where org_id = %(orgName)s and asn_status = ''1000'' and canceled = ''0'' and asn_origin_type_id =''R'' and created_timestamp &lt;= now() - interval %(days)s day "},{"days": "7"}]</v>
      </c>
      <c r="E22" t="s">
        <v>278</v>
      </c>
      <c r="F22" s="5" t="s">
        <v>279</v>
      </c>
      <c r="G22" t="s">
        <v>280</v>
      </c>
      <c r="I22" t="s">
        <v>281</v>
      </c>
      <c r="J22" t="s">
        <v>278</v>
      </c>
      <c r="K22" t="str">
        <f t="shared" si="2"/>
        <v>["Invoice", "Status"]</v>
      </c>
      <c r="L22" t="s">
        <v>282</v>
      </c>
      <c r="M22" t="s">
        <v>283</v>
      </c>
      <c r="N2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w.warehouseshortname='LIV') and requesttypeid=(select rt.requesttypeid from app.requesttype rt where rt.description='in-transit-rma-asn-7-days');</v>
      </c>
    </row>
    <row r="23" spans="1:15" x14ac:dyDescent="0.2">
      <c r="A23" s="4" t="s">
        <v>304</v>
      </c>
      <c r="B23" t="str">
        <f t="shared" si="4"/>
        <v>in-transit-rma-asn-7-days</v>
      </c>
      <c r="C23" t="s">
        <v>277</v>
      </c>
      <c r="D23" t="str">
        <f t="shared" si="1"/>
        <v>[{"sql": "select org_id, asn_id, asn_status, created_timestamp from default_receiving.RCV_ASN where org_id = %(orgName)s and asn_status = ''1000'' and canceled = ''0'' and asn_origin_type_id =''R'' and created_timestamp &lt;= now() - interval %(days)s day "},{"days": "7"}]</v>
      </c>
      <c r="E23" t="s">
        <v>278</v>
      </c>
      <c r="F23" s="5" t="s">
        <v>279</v>
      </c>
      <c r="G23" t="s">
        <v>280</v>
      </c>
      <c r="I23" t="s">
        <v>281</v>
      </c>
      <c r="J23" t="s">
        <v>278</v>
      </c>
      <c r="K23" t="str">
        <f t="shared" si="2"/>
        <v>["Invoice", "Status"]</v>
      </c>
      <c r="L23" t="s">
        <v>282</v>
      </c>
      <c r="M23" t="s">
        <v>283</v>
      </c>
      <c r="N2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w.warehouseshortname='LOU') and requesttypeid=(select rt.requesttypeid from app.requesttype rt where rt.description='in-transit-rma-asn-7-days');</v>
      </c>
    </row>
    <row r="24" spans="1:15" x14ac:dyDescent="0.2">
      <c r="A24" s="4" t="s">
        <v>305</v>
      </c>
      <c r="B24" t="str">
        <f t="shared" si="4"/>
        <v>in-transit-rma-asn-7-days</v>
      </c>
      <c r="C24" t="s">
        <v>277</v>
      </c>
      <c r="D24" t="str">
        <f t="shared" si="1"/>
        <v>[{"sql": "select org_id, asn_id, asn_status, created_timestamp from default_receiving.RCV_ASN where org_id = %(orgName)s and asn_status = ''1000'' and canceled = ''0'' and asn_origin_type_id =''R'' and created_timestamp &lt;= now() - interval %(days)s day "},{"days": "7"}]</v>
      </c>
      <c r="E24" t="s">
        <v>278</v>
      </c>
      <c r="F24" s="5" t="s">
        <v>279</v>
      </c>
      <c r="G24" t="s">
        <v>280</v>
      </c>
      <c r="I24" t="s">
        <v>281</v>
      </c>
      <c r="J24" t="s">
        <v>278</v>
      </c>
      <c r="K24" t="str">
        <f t="shared" si="2"/>
        <v>["Invoice", "Status"]</v>
      </c>
      <c r="L24" t="s">
        <v>282</v>
      </c>
      <c r="M24" t="s">
        <v>283</v>
      </c>
      <c r="N2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w.warehouseshortname='LUB') and requesttypeid=(select rt.requesttypeid from app.requesttype rt where rt.description='in-transit-rma-asn-7-days');</v>
      </c>
    </row>
    <row r="25" spans="1:15" x14ac:dyDescent="0.2">
      <c r="A25" s="4" t="s">
        <v>306</v>
      </c>
      <c r="B25" t="str">
        <f t="shared" si="4"/>
        <v>in-transit-rma-asn-7-days</v>
      </c>
      <c r="C25" t="s">
        <v>277</v>
      </c>
      <c r="D25" t="str">
        <f t="shared" si="1"/>
        <v>[{"sql": "select org_id, asn_id, asn_status, created_timestamp from default_receiving.RCV_ASN where org_id = %(orgName)s and asn_status = ''1000'' and canceled = ''0'' and asn_origin_type_id =''R'' and created_timestamp &lt;= now() - interval %(days)s day "},{"days": "7"}]</v>
      </c>
      <c r="E25" t="s">
        <v>278</v>
      </c>
      <c r="F25" s="5" t="s">
        <v>279</v>
      </c>
      <c r="G25" t="s">
        <v>280</v>
      </c>
      <c r="I25" t="s">
        <v>281</v>
      </c>
      <c r="J25" t="s">
        <v>278</v>
      </c>
      <c r="K25" t="str">
        <f t="shared" si="2"/>
        <v>["Invoice", "Status"]</v>
      </c>
      <c r="L25" t="s">
        <v>282</v>
      </c>
      <c r="M25" t="s">
        <v>283</v>
      </c>
      <c r="N2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w.warehouseshortname='MAU') and requesttypeid=(select rt.requesttypeid from app.requesttype rt where rt.description='in-transit-rma-asn-7-days');</v>
      </c>
    </row>
    <row r="26" spans="1:15" x14ac:dyDescent="0.2">
      <c r="A26" s="4" t="s">
        <v>307</v>
      </c>
      <c r="B26" t="str">
        <f t="shared" si="4"/>
        <v>in-transit-rma-asn-7-days</v>
      </c>
      <c r="C26" t="s">
        <v>277</v>
      </c>
      <c r="D26" t="str">
        <f t="shared" si="1"/>
        <v>[{"sql": "select org_id, asn_id, asn_status, created_timestamp from default_receiving.RCV_ASN where org_id = %(orgName)s and asn_status = ''1000'' and canceled = ''0'' and asn_origin_type_id =''R'' and created_timestamp &lt;= now() - interval %(days)s day "},{"days": "7"}]</v>
      </c>
      <c r="E26" t="s">
        <v>278</v>
      </c>
      <c r="F26" s="5" t="s">
        <v>279</v>
      </c>
      <c r="G26" t="s">
        <v>280</v>
      </c>
      <c r="I26" t="s">
        <v>281</v>
      </c>
      <c r="J26" t="s">
        <v>278</v>
      </c>
      <c r="K26" t="str">
        <f t="shared" si="2"/>
        <v>["Invoice", "Status"]</v>
      </c>
      <c r="L26" t="s">
        <v>282</v>
      </c>
      <c r="M26" t="s">
        <v>283</v>
      </c>
      <c r="N2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w.warehouseshortname='NEW') and requesttypeid=(select rt.requesttypeid from app.requesttype rt where rt.description='in-transit-rma-asn-7-days');</v>
      </c>
    </row>
    <row r="27" spans="1:15" x14ac:dyDescent="0.2">
      <c r="A27" s="4" t="s">
        <v>308</v>
      </c>
      <c r="B27" t="str">
        <f t="shared" si="4"/>
        <v>in-transit-rma-asn-7-days</v>
      </c>
      <c r="C27" t="s">
        <v>277</v>
      </c>
      <c r="D27" t="str">
        <f t="shared" si="1"/>
        <v>[{"sql": "select org_id, asn_id, asn_status, created_timestamp from default_receiving.RCV_ASN where org_id = %(orgName)s and asn_status = ''1000'' and canceled = ''0'' and asn_origin_type_id =''R'' and created_timestamp &lt;= now() - interval %(days)s day "},{"days": "7"}]</v>
      </c>
      <c r="E27" t="s">
        <v>278</v>
      </c>
      <c r="F27" s="5" t="s">
        <v>279</v>
      </c>
      <c r="G27" t="s">
        <v>280</v>
      </c>
      <c r="I27" t="s">
        <v>281</v>
      </c>
      <c r="J27" t="s">
        <v>278</v>
      </c>
      <c r="K27" t="str">
        <f t="shared" si="2"/>
        <v>["Invoice", "Status"]</v>
      </c>
      <c r="L27" t="s">
        <v>282</v>
      </c>
      <c r="M27" t="s">
        <v>283</v>
      </c>
      <c r="N2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w.warehouseshortname='OAH') and requesttypeid=(select rt.requesttypeid from app.requesttype rt where rt.description='in-transit-rma-asn-7-days');</v>
      </c>
    </row>
    <row r="28" spans="1:15" x14ac:dyDescent="0.2">
      <c r="A28" s="4" t="s">
        <v>309</v>
      </c>
      <c r="B28" t="str">
        <f t="shared" si="4"/>
        <v>in-transit-rma-asn-7-days</v>
      </c>
      <c r="C28" t="s">
        <v>277</v>
      </c>
      <c r="D28" t="str">
        <f t="shared" si="1"/>
        <v>[{"sql": "select org_id, asn_id, asn_status, created_timestamp from default_receiving.RCV_ASN where org_id = %(orgName)s and asn_status = ''1000'' and canceled = ''0'' and asn_origin_type_id =''R'' and created_timestamp &lt;= now() - interval %(days)s day "},{"days": "7"}]</v>
      </c>
      <c r="E28" t="s">
        <v>278</v>
      </c>
      <c r="F28" s="5" t="s">
        <v>279</v>
      </c>
      <c r="G28" t="s">
        <v>280</v>
      </c>
      <c r="I28" t="s">
        <v>281</v>
      </c>
      <c r="J28" t="s">
        <v>278</v>
      </c>
      <c r="K28" t="str">
        <f t="shared" si="2"/>
        <v>["Invoice", "Status"]</v>
      </c>
      <c r="L28" t="s">
        <v>282</v>
      </c>
      <c r="M28" t="s">
        <v>283</v>
      </c>
      <c r="N2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w.warehouseshortname='OKL') and requesttypeid=(select rt.requesttypeid from app.requesttype rt where rt.description='in-transit-rma-asn-7-days');</v>
      </c>
    </row>
    <row r="29" spans="1:15" x14ac:dyDescent="0.2">
      <c r="A29" s="4" t="s">
        <v>310</v>
      </c>
      <c r="B29" t="str">
        <f t="shared" si="4"/>
        <v>in-transit-rma-asn-7-days</v>
      </c>
      <c r="C29" t="s">
        <v>277</v>
      </c>
      <c r="D29" t="str">
        <f t="shared" si="1"/>
        <v>[{"sql": "select org_id, asn_id, asn_status, created_timestamp from default_receiving.RCV_ASN where org_id = %(orgName)s and asn_status = ''1000'' and canceled = ''0'' and asn_origin_type_id =''R'' and created_timestamp &lt;= now() - interval %(days)s day "},{"days": "7"}]</v>
      </c>
      <c r="E29" t="s">
        <v>278</v>
      </c>
      <c r="F29" s="5" t="s">
        <v>279</v>
      </c>
      <c r="G29" t="s">
        <v>280</v>
      </c>
      <c r="I29" t="s">
        <v>281</v>
      </c>
      <c r="J29" t="s">
        <v>278</v>
      </c>
      <c r="K29" t="str">
        <f t="shared" si="2"/>
        <v>["Invoice", "Status"]</v>
      </c>
      <c r="L29" t="s">
        <v>282</v>
      </c>
      <c r="M29" t="s">
        <v>283</v>
      </c>
      <c r="N2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w.warehouseshortname='OMA') and requesttypeid=(select rt.requesttypeid from app.requesttype rt where rt.description='in-transit-rma-asn-7-days');</v>
      </c>
    </row>
    <row r="30" spans="1:15" x14ac:dyDescent="0.2">
      <c r="A30" s="4" t="s">
        <v>311</v>
      </c>
      <c r="B30" t="str">
        <f t="shared" si="4"/>
        <v>in-transit-rma-asn-7-days</v>
      </c>
      <c r="C30" t="s">
        <v>277</v>
      </c>
      <c r="D30" t="str">
        <f t="shared" si="1"/>
        <v>[{"sql": "select org_id, asn_id, asn_status, created_timestamp from default_receiving.RCV_ASN where org_id = %(orgName)s and asn_status = ''1000'' and canceled = ''0'' and asn_origin_type_id =''R'' and created_timestamp &lt;= now() - interval %(days)s day "},{"days": "7"}]</v>
      </c>
      <c r="E30" t="s">
        <v>278</v>
      </c>
      <c r="F30" s="5" t="s">
        <v>279</v>
      </c>
      <c r="G30" t="s">
        <v>280</v>
      </c>
      <c r="I30" t="s">
        <v>281</v>
      </c>
      <c r="J30" t="s">
        <v>278</v>
      </c>
      <c r="K30" t="str">
        <f t="shared" si="2"/>
        <v>["Invoice", "Status"]</v>
      </c>
      <c r="L30" t="s">
        <v>282</v>
      </c>
      <c r="M30" t="s">
        <v>283</v>
      </c>
      <c r="N30"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w.warehouseshortname='ORL') and requesttypeid=(select rt.requesttypeid from app.requesttype rt where rt.description='in-transit-rma-asn-7-days');</v>
      </c>
    </row>
    <row r="31" spans="1:15" x14ac:dyDescent="0.2">
      <c r="A31" s="4" t="s">
        <v>312</v>
      </c>
      <c r="B31" t="str">
        <f t="shared" si="4"/>
        <v>in-transit-rma-asn-7-days</v>
      </c>
      <c r="C31" t="s">
        <v>277</v>
      </c>
      <c r="D31" t="str">
        <f t="shared" si="1"/>
        <v>[{"sql": "select org_id, asn_id, asn_status, created_timestamp from default_receiving.RCV_ASN where org_id = %(orgName)s and asn_status = ''1000'' and canceled = ''0'' and asn_origin_type_id =''R'' and created_timestamp &lt;= now() - interval %(days)s day "},{"days": "7"}]</v>
      </c>
      <c r="E31" t="s">
        <v>278</v>
      </c>
      <c r="F31" s="5" t="s">
        <v>279</v>
      </c>
      <c r="G31" t="s">
        <v>280</v>
      </c>
      <c r="I31" t="s">
        <v>281</v>
      </c>
      <c r="J31" t="s">
        <v>278</v>
      </c>
      <c r="K31" t="str">
        <f t="shared" si="2"/>
        <v>["Invoice", "Status"]</v>
      </c>
      <c r="L31" t="s">
        <v>282</v>
      </c>
      <c r="M31" t="s">
        <v>283</v>
      </c>
      <c r="N31"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w.warehouseshortname='PEN') and requesttypeid=(select rt.requesttypeid from app.requesttype rt where rt.description='in-transit-rma-asn-7-days');</v>
      </c>
    </row>
    <row r="32" spans="1:15" x14ac:dyDescent="0.2">
      <c r="A32" s="4" t="s">
        <v>313</v>
      </c>
      <c r="B32" t="str">
        <f t="shared" si="4"/>
        <v>in-transit-rma-asn-7-days</v>
      </c>
      <c r="C32" t="s">
        <v>277</v>
      </c>
      <c r="D32" t="str">
        <f t="shared" si="1"/>
        <v>[{"sql": "select org_id, asn_id, asn_status, created_timestamp from default_receiving.RCV_ASN where org_id = %(orgName)s and asn_status = ''1000'' and canceled = ''0'' and asn_origin_type_id =''R'' and created_timestamp &lt;= now() - interval %(days)s day "},{"days": "7"}]</v>
      </c>
      <c r="E32" t="s">
        <v>278</v>
      </c>
      <c r="F32" s="5" t="s">
        <v>279</v>
      </c>
      <c r="G32" t="s">
        <v>280</v>
      </c>
      <c r="I32" t="s">
        <v>281</v>
      </c>
      <c r="J32" t="s">
        <v>278</v>
      </c>
      <c r="K32" t="str">
        <f t="shared" si="2"/>
        <v>["Invoice", "Status"]</v>
      </c>
      <c r="L32" t="s">
        <v>282</v>
      </c>
      <c r="M32" t="s">
        <v>283</v>
      </c>
      <c r="N32"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w.warehouseshortname='PHO') and requesttypeid=(select rt.requesttypeid from app.requesttype rt where rt.description='in-transit-rma-asn-7-days');</v>
      </c>
    </row>
    <row r="33" spans="1:15" x14ac:dyDescent="0.2">
      <c r="A33" s="4" t="s">
        <v>314</v>
      </c>
      <c r="B33" t="str">
        <f t="shared" si="4"/>
        <v>in-transit-rma-asn-7-days</v>
      </c>
      <c r="C33" t="s">
        <v>277</v>
      </c>
      <c r="D33" t="str">
        <f t="shared" si="1"/>
        <v>[{"sql": "select org_id, asn_id, asn_status, created_timestamp from default_receiving.RCV_ASN where org_id = %(orgName)s and asn_status = ''1000'' and canceled = ''0'' and asn_origin_type_id =''R'' and created_timestamp &lt;= now() - interval %(days)s day "},{"days": "7"}]</v>
      </c>
      <c r="E33" t="s">
        <v>278</v>
      </c>
      <c r="F33" s="5" t="s">
        <v>279</v>
      </c>
      <c r="G33" t="s">
        <v>280</v>
      </c>
      <c r="I33" t="s">
        <v>281</v>
      </c>
      <c r="J33" t="s">
        <v>278</v>
      </c>
      <c r="K33" t="str">
        <f t="shared" si="2"/>
        <v>["Invoice", "Status"]</v>
      </c>
      <c r="L33" t="s">
        <v>282</v>
      </c>
      <c r="M33" t="s">
        <v>283</v>
      </c>
      <c r="N33"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w.warehouseshortname='POR') and requesttypeid=(select rt.requesttypeid from app.requesttype rt where rt.description='in-transit-rma-asn-7-days');</v>
      </c>
    </row>
    <row r="34" spans="1:15" x14ac:dyDescent="0.2">
      <c r="A34" s="4" t="s">
        <v>315</v>
      </c>
      <c r="B34" t="str">
        <f t="shared" si="4"/>
        <v>in-transit-rma-asn-7-days</v>
      </c>
      <c r="C34" t="s">
        <v>277</v>
      </c>
      <c r="D34" t="str">
        <f t="shared" si="1"/>
        <v>[{"sql": "select org_id, asn_id, asn_status, created_timestamp from default_receiving.RCV_ASN where org_id = %(orgName)s and asn_status = ''1000'' and canceled = ''0'' and asn_origin_type_id =''R'' and created_timestamp &lt;= now() - interval %(days)s day "},{"days": "7"}]</v>
      </c>
      <c r="E34" t="s">
        <v>278</v>
      </c>
      <c r="F34" s="5" t="s">
        <v>279</v>
      </c>
      <c r="G34" t="s">
        <v>280</v>
      </c>
      <c r="I34" t="s">
        <v>281</v>
      </c>
      <c r="J34" t="s">
        <v>278</v>
      </c>
      <c r="K34" t="str">
        <f t="shared" si="2"/>
        <v>["Invoice", "Status"]</v>
      </c>
      <c r="L34" t="s">
        <v>282</v>
      </c>
      <c r="M34" t="s">
        <v>283</v>
      </c>
      <c r="N34"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w.warehouseshortname='ROM') and requesttypeid=(select rt.requesttypeid from app.requesttype rt where rt.description='in-transit-rma-asn-7-days');</v>
      </c>
    </row>
    <row r="35" spans="1:15" x14ac:dyDescent="0.2">
      <c r="A35" s="4" t="s">
        <v>316</v>
      </c>
      <c r="B35" t="str">
        <f t="shared" si="4"/>
        <v>in-transit-rma-asn-7-days</v>
      </c>
      <c r="C35" t="s">
        <v>277</v>
      </c>
      <c r="D35" t="str">
        <f>"[" &amp; IF(C35 = "", "", "{""sql"": """ &amp; C35 &amp; """},") &amp; "{""days"": """ &amp; "7" &amp; """}]"</f>
        <v>[{"sql": "select org_id, asn_id, asn_status, created_timestamp from default_receiving.RCV_ASN where org_id = %(orgName)s and asn_status = ''1000'' and canceled = ''0'' and asn_origin_type_id =''R'' and created_timestamp &lt;= now() - interval %(days)s day "},{"days": "7"}]</v>
      </c>
      <c r="E35" t="s">
        <v>278</v>
      </c>
      <c r="F35" s="5" t="s">
        <v>279</v>
      </c>
      <c r="G35" t="s">
        <v>280</v>
      </c>
      <c r="I35" t="s">
        <v>281</v>
      </c>
      <c r="J35" t="s">
        <v>278</v>
      </c>
      <c r="K35" t="str">
        <f t="shared" si="2"/>
        <v>["Invoice", "Status"]</v>
      </c>
      <c r="L35" t="s">
        <v>282</v>
      </c>
      <c r="M35" t="s">
        <v>283</v>
      </c>
      <c r="N35"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w.warehouseshortname='SAA') and requesttypeid=(select rt.requesttypeid from app.requesttype rt where rt.description='in-transit-rma-asn-7-days');</v>
      </c>
    </row>
    <row r="36" spans="1:15" x14ac:dyDescent="0.2">
      <c r="A36" s="4" t="s">
        <v>317</v>
      </c>
      <c r="B36" t="str">
        <f t="shared" si="4"/>
        <v>in-transit-rma-asn-7-days</v>
      </c>
      <c r="C36" t="s">
        <v>277</v>
      </c>
      <c r="D36" t="str">
        <f t="shared" si="1"/>
        <v>[{"sql": "select org_id, asn_id, asn_status, created_timestamp from default_receiving.RCV_ASN where org_id = %(orgName)s and asn_status = ''1000'' and canceled = ''0'' and asn_origin_type_id =''R'' and created_timestamp &lt;= now() - interval %(days)s day "},{"days": "7"}]</v>
      </c>
      <c r="E36" t="s">
        <v>278</v>
      </c>
      <c r="F36" s="5" t="s">
        <v>279</v>
      </c>
      <c r="G36" t="s">
        <v>280</v>
      </c>
      <c r="I36" t="s">
        <v>281</v>
      </c>
      <c r="J36" t="s">
        <v>278</v>
      </c>
      <c r="K36" t="str">
        <f t="shared" si="2"/>
        <v>["Invoice", "Status"]</v>
      </c>
      <c r="L36" t="s">
        <v>282</v>
      </c>
      <c r="M36" t="s">
        <v>283</v>
      </c>
      <c r="N36"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w.warehouseshortname='SIO') and requesttypeid=(select rt.requesttypeid from app.requesttype rt where rt.description='in-transit-rma-asn-7-days');</v>
      </c>
    </row>
    <row r="37" spans="1:15" x14ac:dyDescent="0.2">
      <c r="A37" s="4" t="s">
        <v>318</v>
      </c>
      <c r="B37" t="str">
        <f t="shared" si="4"/>
        <v>in-transit-rma-asn-7-days</v>
      </c>
      <c r="C37" t="s">
        <v>277</v>
      </c>
      <c r="D37" t="str">
        <f t="shared" si="1"/>
        <v>[{"sql": "select org_id, asn_id, asn_status, created_timestamp from default_receiving.RCV_ASN where org_id = %(orgName)s and asn_status = ''1000'' and canceled = ''0'' and asn_origin_type_id =''R'' and created_timestamp &lt;= now() - interval %(days)s day "},{"days": "7"}]</v>
      </c>
      <c r="E37" t="s">
        <v>278</v>
      </c>
      <c r="F37" s="5" t="s">
        <v>279</v>
      </c>
      <c r="G37" t="s">
        <v>280</v>
      </c>
      <c r="I37" t="s">
        <v>281</v>
      </c>
      <c r="J37" t="s">
        <v>278</v>
      </c>
      <c r="K37" t="str">
        <f t="shared" si="2"/>
        <v>["Invoice", "Status"]</v>
      </c>
      <c r="L37" t="s">
        <v>282</v>
      </c>
      <c r="M37" t="s">
        <v>283</v>
      </c>
      <c r="N37"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w.warehouseshortname='TAM') and requesttypeid=(select rt.requesttypeid from app.requesttype rt where rt.description='in-transit-rma-asn-7-days');</v>
      </c>
    </row>
    <row r="38" spans="1:15" x14ac:dyDescent="0.2">
      <c r="A38" s="4" t="s">
        <v>319</v>
      </c>
      <c r="B38" t="str">
        <f t="shared" si="4"/>
        <v>in-transit-rma-asn-7-days</v>
      </c>
      <c r="C38" t="s">
        <v>277</v>
      </c>
      <c r="D38" t="str">
        <f t="shared" si="1"/>
        <v>[{"sql": "select org_id, asn_id, asn_status, created_timestamp from default_receiving.RCV_ASN where org_id = %(orgName)s and asn_status = ''1000'' and canceled = ''0'' and asn_origin_type_id =''R'' and created_timestamp &lt;= now() - interval %(days)s day "},{"days": "7"}]</v>
      </c>
      <c r="E38" t="s">
        <v>278</v>
      </c>
      <c r="F38" s="5" t="s">
        <v>279</v>
      </c>
      <c r="G38" t="s">
        <v>280</v>
      </c>
      <c r="I38" t="s">
        <v>281</v>
      </c>
      <c r="J38" t="s">
        <v>278</v>
      </c>
      <c r="K38" t="str">
        <f t="shared" si="2"/>
        <v>["Invoice", "Status"]</v>
      </c>
      <c r="L38" t="s">
        <v>282</v>
      </c>
      <c r="M38" t="s">
        <v>283</v>
      </c>
      <c r="N38"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w.warehouseshortname='TOL') and requesttypeid=(select rt.requesttypeid from app.requesttype rt where rt.description='in-transit-rma-asn-7-days');</v>
      </c>
    </row>
    <row r="39" spans="1:15" x14ac:dyDescent="0.2">
      <c r="A39" s="4" t="s">
        <v>320</v>
      </c>
      <c r="B39" t="str">
        <f t="shared" si="4"/>
        <v>in-transit-rma-asn-7-days</v>
      </c>
      <c r="C39" t="s">
        <v>277</v>
      </c>
      <c r="D39" t="str">
        <f t="shared" si="1"/>
        <v>[{"sql": "select org_id, asn_id, asn_status, created_timestamp from default_receiving.RCV_ASN where org_id = %(orgName)s and asn_status = ''1000'' and canceled = ''0'' and asn_origin_type_id =''R'' and created_timestamp &lt;= now() - interval %(days)s day "},{"days": "7"}]</v>
      </c>
      <c r="E39" t="s">
        <v>278</v>
      </c>
      <c r="F39" s="5" t="s">
        <v>279</v>
      </c>
      <c r="G39" t="s">
        <v>280</v>
      </c>
      <c r="I39" t="s">
        <v>281</v>
      </c>
      <c r="J39" t="s">
        <v>278</v>
      </c>
      <c r="K39" t="str">
        <f t="shared" si="2"/>
        <v>["Invoice", "Status"]</v>
      </c>
      <c r="L39" t="s">
        <v>282</v>
      </c>
      <c r="M39" t="s">
        <v>283</v>
      </c>
      <c r="N39" t="str">
        <f t="shared" si="3"/>
        <v>{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v>
      </c>
      <c r="O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ALERT&lt;/h2&gt;"},{"introHtml":"created.in.the.python.code"},{"tableHtml":{"tableHeaders":["Invoice", "Status"],"tableRows":[]}},{"footerHtml":"&lt;h2 style=''margin:0;''&gt;FOOTER.TBD&lt;/h2&gt;"}]}, "allOption": [{"sql": "select org_id, asn_id, asn_status, created_timestamp from default_receiving.RCV_ASN where org_id = %(orgName)s and asn_status = ''1000'' and canceled = ''0'' and asn_origin_type_id =''R'' and created_timestamp &lt;= now() - interval %(days)s day "},{"days": "7"}]}' where warehouseid = (select w.warehouseid from app.warehouselocation w where w.warehouseshortname='WSD') and requesttypeid=(select rt.requesttypeid from app.requesttype rt where rt.description='in-transit-rma-asn-7-days');</v>
      </c>
    </row>
  </sheetData>
  <hyperlinks>
    <hyperlink ref="F2" r:id="rId1" xr:uid="{016707ED-4A8B-4A14-B7D6-83EA50F9FC8A}"/>
    <hyperlink ref="F3:F39" r:id="rId2" display="noreply@rndc-usa.com" xr:uid="{1260DFB3-8F55-44C8-918F-5D03CE2C507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179E-FDD9-4638-B1E9-1A558C7D066D}">
  <dimension ref="A1:P87"/>
  <sheetViews>
    <sheetView workbookViewId="0">
      <pane ySplit="1" topLeftCell="A43" activePane="bottomLeft" state="frozen"/>
      <selection pane="bottomLeft" activeCell="A43" sqref="A43:XFD43"/>
    </sheetView>
  </sheetViews>
  <sheetFormatPr baseColWidth="10" defaultColWidth="8.83203125" defaultRowHeight="15" x14ac:dyDescent="0.2"/>
  <cols>
    <col min="2" max="2" width="48.5" customWidth="1"/>
    <col min="3" max="3" width="7.5" customWidth="1"/>
    <col min="4" max="6" width="9.1640625" bestFit="1" customWidth="1"/>
    <col min="7" max="8" width="15.5" customWidth="1"/>
    <col min="9" max="9" width="9.1640625" style="2" bestFit="1" customWidth="1"/>
    <col min="10" max="10" width="26.33203125" customWidth="1"/>
    <col min="11" max="11" width="22.83203125" style="2" customWidth="1"/>
    <col min="12" max="12" width="9.1640625" bestFit="1" customWidth="1"/>
    <col min="13" max="13" width="24.33203125" style="7" customWidth="1"/>
    <col min="14" max="14" width="20.33203125" customWidth="1"/>
    <col min="15" max="15" width="28.6640625" customWidth="1"/>
    <col min="16" max="16" width="11.5" style="2" customWidth="1"/>
    <col min="17" max="17" width="44.6640625" customWidth="1"/>
  </cols>
  <sheetData>
    <row r="1" spans="1:12" x14ac:dyDescent="0.2">
      <c r="A1" s="2"/>
      <c r="B1" t="s">
        <v>321</v>
      </c>
      <c r="C1" s="2"/>
      <c r="D1" s="2"/>
      <c r="E1" s="2"/>
      <c r="L1" s="2"/>
    </row>
    <row r="2" spans="1:12" x14ac:dyDescent="0.2">
      <c r="B2" s="4"/>
      <c r="C2" s="3"/>
      <c r="D2" s="6"/>
      <c r="E2" s="6"/>
      <c r="F2" s="13"/>
      <c r="I2" s="6"/>
      <c r="J2" s="13"/>
    </row>
    <row r="3" spans="1:12" x14ac:dyDescent="0.2">
      <c r="B3" s="4"/>
      <c r="C3" s="3"/>
      <c r="D3" s="6"/>
      <c r="E3" s="6"/>
      <c r="F3" s="13"/>
      <c r="I3" s="6"/>
      <c r="J3" s="13"/>
    </row>
    <row r="4" spans="1:12" x14ac:dyDescent="0.2">
      <c r="A4" s="3"/>
      <c r="B4" s="4"/>
      <c r="C4" s="3"/>
      <c r="D4" s="6"/>
      <c r="E4" s="6"/>
      <c r="F4" s="13"/>
      <c r="I4" s="6"/>
      <c r="J4" s="13"/>
      <c r="K4" s="6"/>
      <c r="L4" s="2"/>
    </row>
    <row r="5" spans="1:12" ht="16" x14ac:dyDescent="0.2">
      <c r="A5" s="11"/>
      <c r="B5" s="4"/>
      <c r="C5" s="3"/>
      <c r="D5" s="6"/>
      <c r="E5" s="6"/>
      <c r="F5" s="13"/>
      <c r="I5" s="6"/>
      <c r="J5" s="13"/>
    </row>
    <row r="6" spans="1:12" ht="16" x14ac:dyDescent="0.2">
      <c r="A6" s="11"/>
      <c r="B6" s="4"/>
      <c r="C6" s="3"/>
      <c r="D6" s="6"/>
      <c r="E6" s="6"/>
      <c r="F6" s="13"/>
      <c r="I6" s="6"/>
      <c r="J6" s="13"/>
    </row>
    <row r="7" spans="1:12" ht="16" x14ac:dyDescent="0.2">
      <c r="A7" s="11"/>
      <c r="B7" s="4"/>
      <c r="C7" s="3"/>
      <c r="D7" s="6"/>
      <c r="E7" s="6"/>
      <c r="F7" s="13"/>
      <c r="I7" s="6"/>
      <c r="J7" s="13"/>
    </row>
    <row r="8" spans="1:12" ht="16" x14ac:dyDescent="0.2">
      <c r="A8" s="11"/>
      <c r="B8" s="4"/>
      <c r="C8" s="3"/>
      <c r="D8" s="6"/>
      <c r="E8" s="6"/>
      <c r="F8" s="13"/>
      <c r="I8" s="6"/>
      <c r="J8" s="13"/>
    </row>
    <row r="9" spans="1:12" ht="16" x14ac:dyDescent="0.2">
      <c r="A9" s="11"/>
      <c r="B9" s="4"/>
      <c r="C9" s="3"/>
      <c r="D9" s="6"/>
      <c r="E9" s="6"/>
      <c r="F9" s="13"/>
      <c r="I9" s="6"/>
      <c r="J9" s="13"/>
    </row>
    <row r="10" spans="1:12" ht="16" x14ac:dyDescent="0.2">
      <c r="A10" s="11"/>
      <c r="B10" s="4"/>
      <c r="C10" s="3"/>
      <c r="D10" s="6"/>
      <c r="E10" s="6"/>
      <c r="F10" s="13"/>
      <c r="I10" s="6"/>
      <c r="J10" s="13"/>
    </row>
    <row r="11" spans="1:12" ht="16" x14ac:dyDescent="0.2">
      <c r="A11" s="11"/>
      <c r="B11" s="4"/>
      <c r="C11" s="3"/>
      <c r="D11" s="6"/>
      <c r="E11" s="6"/>
      <c r="F11" s="13"/>
      <c r="I11" s="6"/>
      <c r="J11" s="13"/>
    </row>
    <row r="12" spans="1:12" ht="16" x14ac:dyDescent="0.2">
      <c r="A12" s="11"/>
      <c r="B12" s="4"/>
      <c r="C12" s="3"/>
      <c r="D12" s="6"/>
      <c r="E12" s="6"/>
      <c r="F12" s="13"/>
      <c r="I12" s="6"/>
      <c r="J12" s="13"/>
    </row>
    <row r="13" spans="1:12" ht="16" x14ac:dyDescent="0.2">
      <c r="A13" s="11"/>
      <c r="B13" s="4"/>
      <c r="C13" s="3"/>
      <c r="D13" s="6"/>
      <c r="E13" s="6"/>
      <c r="F13" s="13"/>
      <c r="I13" s="6"/>
      <c r="J13" s="13"/>
    </row>
    <row r="14" spans="1:12" ht="16" x14ac:dyDescent="0.2">
      <c r="A14" s="11"/>
      <c r="B14" s="4"/>
      <c r="C14" s="3"/>
      <c r="D14" s="6"/>
      <c r="E14" s="6"/>
      <c r="F14" s="13"/>
      <c r="I14" s="6"/>
      <c r="J14" s="13"/>
    </row>
    <row r="15" spans="1:12" ht="16" x14ac:dyDescent="0.2">
      <c r="A15" s="11"/>
      <c r="B15" s="4"/>
      <c r="C15" s="3"/>
      <c r="D15" s="6"/>
      <c r="E15" s="6"/>
      <c r="F15" s="13"/>
      <c r="I15" s="6"/>
      <c r="J15" s="13"/>
    </row>
    <row r="16" spans="1:12" ht="16" x14ac:dyDescent="0.2">
      <c r="A16" s="11"/>
      <c r="B16" s="4"/>
      <c r="C16" s="3"/>
      <c r="D16" s="6"/>
      <c r="E16" s="6"/>
      <c r="F16" s="13"/>
      <c r="I16" s="6"/>
      <c r="J16" s="13"/>
    </row>
    <row r="17" spans="1:10" ht="16" x14ac:dyDescent="0.2">
      <c r="A17" s="11"/>
      <c r="B17" s="4"/>
      <c r="C17" s="3"/>
      <c r="D17" s="6"/>
      <c r="E17" s="6"/>
      <c r="F17" s="13"/>
      <c r="I17" s="6"/>
      <c r="J17" s="13"/>
    </row>
    <row r="18" spans="1:10" ht="16" x14ac:dyDescent="0.2">
      <c r="A18" s="11"/>
      <c r="B18" s="4"/>
      <c r="C18" s="3"/>
      <c r="D18" s="6"/>
      <c r="E18" s="6"/>
      <c r="F18" s="13"/>
      <c r="I18" s="6"/>
      <c r="J18" s="13"/>
    </row>
    <row r="19" spans="1:10" ht="16" x14ac:dyDescent="0.2">
      <c r="A19" s="11"/>
      <c r="B19" s="4"/>
      <c r="C19" s="3"/>
      <c r="D19" s="6"/>
      <c r="E19" s="6"/>
      <c r="F19" s="13"/>
      <c r="I19" s="6"/>
      <c r="J19" s="13"/>
    </row>
    <row r="20" spans="1:10" ht="16" x14ac:dyDescent="0.2">
      <c r="A20" s="11"/>
      <c r="B20" s="4"/>
      <c r="C20" s="3"/>
      <c r="D20" s="6"/>
      <c r="E20" s="6"/>
      <c r="F20" s="13"/>
      <c r="I20" s="6"/>
      <c r="J20" s="13"/>
    </row>
    <row r="21" spans="1:10" ht="16" x14ac:dyDescent="0.2">
      <c r="A21" s="11"/>
      <c r="B21" s="4"/>
      <c r="C21" s="3"/>
      <c r="D21" s="6"/>
      <c r="E21" s="6"/>
      <c r="F21" s="13"/>
      <c r="I21" s="6"/>
      <c r="J21" s="13"/>
    </row>
    <row r="22" spans="1:10" ht="16" x14ac:dyDescent="0.2">
      <c r="A22" s="11"/>
      <c r="B22" s="4"/>
      <c r="C22" s="3"/>
      <c r="D22" s="6"/>
      <c r="E22" s="6"/>
      <c r="F22" s="13"/>
      <c r="I22" s="6"/>
      <c r="J22" s="13"/>
    </row>
    <row r="23" spans="1:10" ht="16" x14ac:dyDescent="0.2">
      <c r="A23" s="11"/>
      <c r="B23" s="4"/>
      <c r="C23" s="3"/>
      <c r="D23" s="6"/>
      <c r="E23" s="6"/>
      <c r="F23" s="13"/>
      <c r="I23" s="6"/>
      <c r="J23" s="13"/>
    </row>
    <row r="24" spans="1:10" ht="16" x14ac:dyDescent="0.2">
      <c r="A24" s="11"/>
      <c r="B24" s="4"/>
      <c r="C24" s="3"/>
      <c r="D24" s="6"/>
      <c r="E24" s="6"/>
      <c r="F24" s="13"/>
      <c r="I24" s="6"/>
      <c r="J24" s="13"/>
    </row>
    <row r="25" spans="1:10" ht="16" x14ac:dyDescent="0.2">
      <c r="A25" s="11"/>
      <c r="B25" s="4"/>
      <c r="C25" s="3"/>
      <c r="D25" s="6"/>
      <c r="E25" s="6"/>
      <c r="F25" s="13"/>
      <c r="I25" s="6"/>
      <c r="J25" s="13"/>
    </row>
    <row r="26" spans="1:10" ht="16" x14ac:dyDescent="0.2">
      <c r="A26" s="11"/>
      <c r="B26" s="4"/>
      <c r="C26" s="3"/>
      <c r="D26" s="6"/>
      <c r="E26" s="6"/>
      <c r="F26" s="13"/>
      <c r="I26" s="6"/>
      <c r="J26" s="13"/>
    </row>
    <row r="27" spans="1:10" ht="16" x14ac:dyDescent="0.2">
      <c r="A27" s="11"/>
      <c r="B27" s="4"/>
      <c r="C27" s="3"/>
      <c r="D27" s="6"/>
      <c r="E27" s="6"/>
      <c r="F27" s="13"/>
      <c r="I27" s="6"/>
      <c r="J27" s="13"/>
    </row>
    <row r="28" spans="1:10" ht="16" x14ac:dyDescent="0.2">
      <c r="A28" s="11"/>
      <c r="B28" s="4"/>
      <c r="C28" s="3"/>
      <c r="D28" s="6"/>
      <c r="E28" s="6"/>
      <c r="F28" s="13"/>
      <c r="I28" s="6"/>
      <c r="J28" s="13"/>
    </row>
    <row r="29" spans="1:10" ht="16" x14ac:dyDescent="0.2">
      <c r="A29" s="11"/>
      <c r="B29" s="4"/>
      <c r="C29" s="3"/>
      <c r="D29" s="6"/>
      <c r="E29" s="6"/>
      <c r="F29" s="13"/>
      <c r="I29" s="6"/>
      <c r="J29" s="13"/>
    </row>
    <row r="30" spans="1:10" ht="16" x14ac:dyDescent="0.2">
      <c r="A30" s="11"/>
      <c r="B30" s="4"/>
      <c r="C30" s="3"/>
      <c r="D30" s="6"/>
      <c r="E30" s="6"/>
      <c r="F30" s="13"/>
      <c r="I30" s="6"/>
      <c r="J30" s="13"/>
    </row>
    <row r="31" spans="1:10" ht="16" x14ac:dyDescent="0.2">
      <c r="A31" s="11"/>
      <c r="B31" s="4"/>
      <c r="C31" s="3"/>
      <c r="D31" s="6"/>
      <c r="E31" s="6"/>
      <c r="F31" s="13"/>
      <c r="I31" s="6"/>
      <c r="J31" s="13"/>
    </row>
    <row r="32" spans="1:10" ht="16" x14ac:dyDescent="0.2">
      <c r="A32" s="11"/>
      <c r="B32" s="4"/>
      <c r="C32" s="3"/>
      <c r="D32" s="6"/>
      <c r="E32" s="6"/>
      <c r="F32" s="13"/>
      <c r="I32" s="6"/>
      <c r="J32" s="13"/>
    </row>
    <row r="33" spans="1:11" ht="16" x14ac:dyDescent="0.2">
      <c r="A33" s="11"/>
      <c r="B33" s="4"/>
      <c r="C33" s="3"/>
      <c r="D33" s="6"/>
      <c r="E33" s="6"/>
      <c r="F33" s="13"/>
      <c r="I33" s="6"/>
      <c r="J33" s="13"/>
      <c r="K33" s="6"/>
    </row>
    <row r="34" spans="1:11" ht="16" x14ac:dyDescent="0.2">
      <c r="A34" s="11"/>
      <c r="B34" s="4"/>
      <c r="C34" s="3"/>
      <c r="D34" s="6"/>
      <c r="E34" s="6"/>
      <c r="F34" s="13"/>
      <c r="I34" s="6"/>
      <c r="J34" s="13"/>
    </row>
    <row r="35" spans="1:11" ht="16" x14ac:dyDescent="0.2">
      <c r="A35" s="11"/>
      <c r="B35" s="4"/>
      <c r="C35" s="3"/>
      <c r="D35" s="6"/>
      <c r="E35" s="6"/>
      <c r="F35" s="13"/>
      <c r="I35" s="6"/>
      <c r="J35" s="13"/>
    </row>
    <row r="36" spans="1:11" ht="16" x14ac:dyDescent="0.2">
      <c r="A36" s="11"/>
      <c r="B36" s="4"/>
      <c r="C36" s="3"/>
      <c r="D36" s="6"/>
      <c r="E36" s="6"/>
      <c r="F36" s="13"/>
      <c r="I36" s="6"/>
      <c r="J36" s="13"/>
    </row>
    <row r="37" spans="1:11" ht="16" x14ac:dyDescent="0.2">
      <c r="A37" s="11"/>
      <c r="B37" s="4"/>
      <c r="C37" s="3"/>
      <c r="D37" s="6"/>
      <c r="E37" s="6"/>
      <c r="F37" s="13"/>
      <c r="I37" s="6"/>
      <c r="J37" s="13"/>
    </row>
    <row r="38" spans="1:11" ht="16" x14ac:dyDescent="0.2">
      <c r="A38" s="11"/>
      <c r="B38" s="4"/>
      <c r="C38" s="3"/>
      <c r="D38" s="6"/>
      <c r="E38" s="6"/>
      <c r="F38" s="13"/>
      <c r="I38" s="6"/>
      <c r="J38" s="13"/>
    </row>
    <row r="39" spans="1:11" ht="16" x14ac:dyDescent="0.2">
      <c r="A39" s="11"/>
      <c r="B39" s="4"/>
      <c r="C39" s="3"/>
      <c r="D39" s="6"/>
      <c r="E39" s="6"/>
      <c r="F39" s="13"/>
      <c r="I39" s="6"/>
      <c r="J39" s="13"/>
      <c r="K39" s="6"/>
    </row>
    <row r="40" spans="1:11" ht="16" x14ac:dyDescent="0.2">
      <c r="A40" s="11"/>
      <c r="B40" s="4"/>
      <c r="C40" s="3"/>
      <c r="D40" s="6"/>
      <c r="E40" s="6"/>
      <c r="F40" s="13"/>
      <c r="I40" s="6"/>
      <c r="J40" s="13"/>
    </row>
    <row r="41" spans="1:11" ht="16" x14ac:dyDescent="0.2">
      <c r="A41" s="11"/>
      <c r="B41" s="4"/>
      <c r="C41" s="3"/>
      <c r="D41" s="6"/>
      <c r="E41" s="6"/>
      <c r="F41" s="13"/>
      <c r="I41" s="6"/>
      <c r="J41" s="13"/>
    </row>
    <row r="42" spans="1:11" ht="16" x14ac:dyDescent="0.2">
      <c r="A42" s="11"/>
      <c r="B42" s="4"/>
      <c r="C42" s="3"/>
      <c r="D42" s="6"/>
      <c r="E42" s="6"/>
      <c r="F42" s="13"/>
      <c r="I42" s="6"/>
      <c r="J42" s="13"/>
    </row>
    <row r="43" spans="1:11" ht="16" x14ac:dyDescent="0.2">
      <c r="A43" s="11"/>
      <c r="B43" s="4"/>
      <c r="C43" s="3"/>
      <c r="D43" s="6"/>
      <c r="E43" s="6"/>
      <c r="F43" s="13"/>
      <c r="I43" s="6"/>
      <c r="J43" s="13"/>
    </row>
    <row r="44" spans="1:11" ht="16" x14ac:dyDescent="0.2">
      <c r="A44" s="11"/>
      <c r="B44" s="4"/>
      <c r="C44" s="3"/>
      <c r="D44" s="6"/>
      <c r="E44" s="6"/>
      <c r="F44" s="13"/>
      <c r="I44" s="6"/>
      <c r="J44" s="13"/>
      <c r="K44" s="6"/>
    </row>
    <row r="47" spans="1:11" x14ac:dyDescent="0.2">
      <c r="A47" s="3"/>
    </row>
    <row r="48" spans="1:11" ht="16" x14ac:dyDescent="0.2">
      <c r="A48" s="11"/>
    </row>
    <row r="49" spans="1:1" ht="16" x14ac:dyDescent="0.2">
      <c r="A49" s="11"/>
    </row>
    <row r="50" spans="1:1" ht="16" x14ac:dyDescent="0.2">
      <c r="A50" s="11"/>
    </row>
    <row r="51" spans="1:1" ht="16" x14ac:dyDescent="0.2">
      <c r="A51" s="11"/>
    </row>
    <row r="52" spans="1:1" ht="16" x14ac:dyDescent="0.2">
      <c r="A52" s="11"/>
    </row>
    <row r="53" spans="1:1" ht="16" x14ac:dyDescent="0.2">
      <c r="A53" s="11"/>
    </row>
    <row r="54" spans="1:1" ht="16" x14ac:dyDescent="0.2">
      <c r="A54" s="11"/>
    </row>
    <row r="55" spans="1:1" ht="16" x14ac:dyDescent="0.2">
      <c r="A55" s="11"/>
    </row>
    <row r="56" spans="1:1" ht="16" x14ac:dyDescent="0.2">
      <c r="A56" s="11"/>
    </row>
    <row r="57" spans="1:1" ht="16" x14ac:dyDescent="0.2">
      <c r="A57" s="11"/>
    </row>
    <row r="58" spans="1:1" ht="16" x14ac:dyDescent="0.2">
      <c r="A58" s="11"/>
    </row>
    <row r="59" spans="1:1" ht="16" x14ac:dyDescent="0.2">
      <c r="A59" s="11"/>
    </row>
    <row r="60" spans="1:1" ht="16" x14ac:dyDescent="0.2">
      <c r="A60" s="11"/>
    </row>
    <row r="61" spans="1:1" ht="16" x14ac:dyDescent="0.2">
      <c r="A61" s="11"/>
    </row>
    <row r="62" spans="1:1" ht="16" x14ac:dyDescent="0.2">
      <c r="A62" s="11"/>
    </row>
    <row r="63" spans="1:1" ht="16" x14ac:dyDescent="0.2">
      <c r="A63" s="11"/>
    </row>
    <row r="64" spans="1:1" ht="16" x14ac:dyDescent="0.2">
      <c r="A64" s="11"/>
    </row>
    <row r="65" spans="1:1" ht="16" x14ac:dyDescent="0.2">
      <c r="A65" s="11"/>
    </row>
    <row r="66" spans="1:1" ht="16" x14ac:dyDescent="0.2">
      <c r="A66" s="11"/>
    </row>
    <row r="67" spans="1:1" ht="16" x14ac:dyDescent="0.2">
      <c r="A67" s="11"/>
    </row>
    <row r="68" spans="1:1" ht="16" x14ac:dyDescent="0.2">
      <c r="A68" s="11"/>
    </row>
    <row r="69" spans="1:1" ht="16" x14ac:dyDescent="0.2">
      <c r="A69" s="11"/>
    </row>
    <row r="70" spans="1:1" ht="16" x14ac:dyDescent="0.2">
      <c r="A70" s="11"/>
    </row>
    <row r="71" spans="1:1" ht="16" x14ac:dyDescent="0.2">
      <c r="A71" s="11"/>
    </row>
    <row r="72" spans="1:1" ht="16" x14ac:dyDescent="0.2">
      <c r="A72" s="11"/>
    </row>
    <row r="73" spans="1:1" ht="16" x14ac:dyDescent="0.2">
      <c r="A73" s="11"/>
    </row>
    <row r="74" spans="1:1" ht="16" x14ac:dyDescent="0.2">
      <c r="A74" s="11"/>
    </row>
    <row r="75" spans="1:1" ht="16" x14ac:dyDescent="0.2">
      <c r="A75" s="11"/>
    </row>
    <row r="76" spans="1:1" ht="16" x14ac:dyDescent="0.2">
      <c r="A76" s="11"/>
    </row>
    <row r="77" spans="1:1" ht="16" x14ac:dyDescent="0.2">
      <c r="A77" s="11"/>
    </row>
    <row r="78" spans="1:1" ht="16" x14ac:dyDescent="0.2">
      <c r="A78" s="11"/>
    </row>
    <row r="79" spans="1:1" ht="16" x14ac:dyDescent="0.2">
      <c r="A79" s="11"/>
    </row>
    <row r="80" spans="1:1" ht="16" x14ac:dyDescent="0.2">
      <c r="A80" s="11"/>
    </row>
    <row r="81" spans="1:1" ht="16" x14ac:dyDescent="0.2">
      <c r="A81" s="11"/>
    </row>
    <row r="82" spans="1:1" ht="16" x14ac:dyDescent="0.2">
      <c r="A82" s="11"/>
    </row>
    <row r="83" spans="1:1" ht="16" x14ac:dyDescent="0.2">
      <c r="A83" s="11"/>
    </row>
    <row r="84" spans="1:1" ht="16" x14ac:dyDescent="0.2">
      <c r="A84" s="11"/>
    </row>
    <row r="85" spans="1:1" ht="16" x14ac:dyDescent="0.2">
      <c r="A85" s="11"/>
    </row>
    <row r="86" spans="1:1" ht="16" x14ac:dyDescent="0.2">
      <c r="A86" s="11"/>
    </row>
    <row r="87" spans="1:1" ht="16" x14ac:dyDescent="0.2">
      <c r="A87"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B1A8-931C-4FF7-9256-08CB1ABCE7AC}">
  <dimension ref="A1:S87"/>
  <sheetViews>
    <sheetView workbookViewId="0">
      <pane ySplit="1" topLeftCell="A43" activePane="bottomLeft" state="frozen"/>
      <selection pane="bottomLeft" activeCell="A43" sqref="A43:XFD43"/>
    </sheetView>
  </sheetViews>
  <sheetFormatPr baseColWidth="10" defaultColWidth="8.83203125" defaultRowHeight="15" x14ac:dyDescent="0.2"/>
  <cols>
    <col min="2" max="2" width="48.5" customWidth="1"/>
    <col min="3" max="3" width="7.5" customWidth="1"/>
    <col min="4" max="4" width="11.83203125" bestFit="1" customWidth="1"/>
    <col min="7" max="8" width="15.5" customWidth="1"/>
    <col min="9" max="9" width="9.1640625" style="2"/>
    <col min="10" max="10" width="26.33203125" customWidth="1"/>
    <col min="11" max="11" width="22.83203125" style="2" customWidth="1"/>
    <col min="13" max="13" width="24.33203125" style="7" customWidth="1"/>
    <col min="14" max="14" width="20.33203125" customWidth="1"/>
    <col min="15" max="15" width="28.6640625" customWidth="1"/>
    <col min="16" max="16" width="11.5" style="2" customWidth="1"/>
    <col min="17" max="17" width="44.6640625" customWidth="1"/>
  </cols>
  <sheetData>
    <row r="1" spans="1:19" ht="32" x14ac:dyDescent="0.2">
      <c r="A1" s="2" t="s">
        <v>262</v>
      </c>
      <c r="B1" t="s">
        <v>322</v>
      </c>
      <c r="C1" s="2" t="s">
        <v>323</v>
      </c>
      <c r="D1" s="2" t="s">
        <v>324</v>
      </c>
      <c r="E1" s="2" t="s">
        <v>325</v>
      </c>
      <c r="F1" t="s">
        <v>326</v>
      </c>
      <c r="G1" t="s">
        <v>327</v>
      </c>
      <c r="H1" t="s">
        <v>328</v>
      </c>
      <c r="I1" s="2" t="s">
        <v>329</v>
      </c>
      <c r="J1" t="s">
        <v>330</v>
      </c>
      <c r="K1" s="2" t="s">
        <v>331</v>
      </c>
      <c r="L1" s="2" t="s">
        <v>332</v>
      </c>
      <c r="M1" s="7" t="s">
        <v>333</v>
      </c>
      <c r="N1" t="s">
        <v>263</v>
      </c>
      <c r="O1" t="s">
        <v>274</v>
      </c>
      <c r="P1" s="2" t="s">
        <v>2</v>
      </c>
      <c r="Q1" t="s">
        <v>275</v>
      </c>
      <c r="R1" t="s">
        <v>334</v>
      </c>
      <c r="S1" t="s">
        <v>335</v>
      </c>
    </row>
    <row r="2" spans="1:19" ht="80" x14ac:dyDescent="0.2">
      <c r="A2" t="s">
        <v>276</v>
      </c>
      <c r="B2" s="4" t="s">
        <v>336</v>
      </c>
      <c r="C2" s="3" t="s">
        <v>337</v>
      </c>
      <c r="D2" s="6" t="s">
        <v>338</v>
      </c>
      <c r="E2" s="6" t="s">
        <v>339</v>
      </c>
      <c r="F2" s="5" t="s">
        <v>340</v>
      </c>
      <c r="G2" t="s">
        <v>341</v>
      </c>
      <c r="H2" t="s">
        <v>342</v>
      </c>
      <c r="I2" s="6" t="s">
        <v>343</v>
      </c>
      <c r="J2" s="5" t="s">
        <v>344</v>
      </c>
      <c r="N2" t="s">
        <v>345</v>
      </c>
      <c r="O2" t="str">
        <f>"{
    ""alertName"":""" &amp;B2&amp; """,
    ""dataSource"":""" &amp;C2&amp;""",
    ""database"":{
        ""connection"":""" &amp;D2&amp; """,
        ""type"":""" &amp;E2&amp; """,
        ""uri"":""" &amp;F2&amp; """
    },
    ""email"":{
        ""subject"":""" &amp;G2&amp; """,
        ""body"":""" &amp;H2&amp; """,
        ""fromEmail"":""" &amp;I2&amp; """,
        ""toEmail"":""" &amp;J2&amp; """,
        ""ccEmail"":""" &amp;K2&amp; """,
        ""footer"":""" &amp;L2&amp; """,
        ""attachment"":" &amp;M2&amp; "
    },
    ""sql"":""" &amp;N2&amp;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v>
      </c>
      <c r="P2" s="2" t="str">
        <f>newreqtype!D6</f>
        <v>db-alert-static-route-missing-threshold</v>
      </c>
      <c r="Q2" t="str">
        <f>"update app.warehouselocationdetail set payload = '" &amp; O2 &amp; "' where warehouseid = (select w.warehouseid from app.warehouselocation w where w.warehouseshortname='"&amp;A2&amp;"') and requesttypeid=(select rt.requesttypeid from app.requesttype rt where rt.description='"&amp;P2&amp;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
    },
    "sql":"SELECT Substr(profile_id, 1, 3) ''WHSE'', static_route_id, ext_threshold ''THRESHOLD_VALUE'' FROM default_routing.RTG_STATIC_ROUTE WHERE ext_threshold IS NULL AND profile_id = ''$orgId_Org_Profile'' "
}' where warehouseid = (select w.warehouseid from app.warehouselocation w where w.warehouseshortname='ABQ') and requesttypeid=(select rt.requesttypeid from app.requesttype rt where rt.description='db-alert-static-route-missing-threshold');</v>
      </c>
      <c r="R2" t="b">
        <v>0</v>
      </c>
      <c r="S2" t="b">
        <v>0</v>
      </c>
    </row>
    <row r="3" spans="1:19" ht="80" x14ac:dyDescent="0.2">
      <c r="A3" t="s">
        <v>284</v>
      </c>
      <c r="B3" s="4" t="str">
        <f t="shared" ref="B3:B44" si="0">B2</f>
        <v>STATIC ROUTE MISSING THRESHOLD VALUE</v>
      </c>
      <c r="C3" s="3" t="s">
        <v>337</v>
      </c>
      <c r="D3" s="6" t="s">
        <v>338</v>
      </c>
      <c r="E3" s="6" t="s">
        <v>339</v>
      </c>
      <c r="F3" s="5" t="s">
        <v>340</v>
      </c>
      <c r="G3" t="s">
        <v>341</v>
      </c>
      <c r="H3" t="s">
        <v>342</v>
      </c>
      <c r="I3" s="6" t="s">
        <v>343</v>
      </c>
      <c r="J3" s="5" t="s">
        <v>344</v>
      </c>
      <c r="M3" s="7" t="s">
        <v>346</v>
      </c>
      <c r="N3" t="s">
        <v>345</v>
      </c>
      <c r="O3" t="str">
        <f t="shared" ref="O3:O42" si="1">"{
    ""alertName"":""" &amp;B3&amp; """,
    ""dataSource"":""" &amp;C3&amp;""",
    ""database"":{
        ""connection"":""" &amp;D3&amp; """,
        ""type"":""" &amp;E3&amp; """,
        ""uri"":""" &amp;F3&amp; """
    },
    ""email"":{
        ""subject"":""" &amp;G3&amp; """,
        ""body"":""" &amp;H3&amp; """,
        ""fromEmail"":""" &amp;I3&amp; """,
        ""toEmail"":""" &amp;J3&amp; """,
        ""ccEmail"":""" &amp;K3&amp; """,
        ""footer"":""" &amp;L3&amp; """,
        ""attachment"":" &amp;M3&amp; "
    },
    ""sql"":""" &amp;N3&amp;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 s="2" t="str">
        <f>newreqtype!D6</f>
        <v>db-alert-static-route-missing-threshold</v>
      </c>
      <c r="Q3" t="str">
        <f>"update app.warehouselocationdetail set payload = '" &amp; O3 &amp; "' where warehouseid = (select w.warehouseid from app.warehouselocation w where w.warehouseshortname='"&amp;A3&amp;"') and requesttypeid=(select rt.requesttypeid from app.requesttype rt where rt.description='"&amp;P3&amp;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w.warehouseshortname='ARK') and requesttypeid=(select rt.requesttypeid from app.requesttype rt where rt.description='db-alert-static-route-missing-threshold');</v>
      </c>
      <c r="R3" t="b">
        <v>0</v>
      </c>
      <c r="S3" t="b">
        <v>0</v>
      </c>
    </row>
    <row r="4" spans="1:19" ht="96" x14ac:dyDescent="0.2">
      <c r="A4" s="3" t="s">
        <v>285</v>
      </c>
      <c r="B4" s="4" t="str">
        <f t="shared" si="0"/>
        <v>STATIC ROUTE MISSING THRESHOLD VALUE</v>
      </c>
      <c r="C4" s="3" t="s">
        <v>337</v>
      </c>
      <c r="D4" s="6" t="s">
        <v>338</v>
      </c>
      <c r="E4" s="6" t="s">
        <v>339</v>
      </c>
      <c r="F4" s="5" t="s">
        <v>340</v>
      </c>
      <c r="G4" t="s">
        <v>341</v>
      </c>
      <c r="H4" t="s">
        <v>347</v>
      </c>
      <c r="I4" s="6" t="s">
        <v>343</v>
      </c>
      <c r="J4" s="5" t="s">
        <v>348</v>
      </c>
      <c r="K4" s="6" t="s">
        <v>349</v>
      </c>
      <c r="L4" s="2"/>
      <c r="M4" s="7" t="s">
        <v>346</v>
      </c>
      <c r="N4" t="s">
        <v>345</v>
      </c>
      <c r="O4" t="str">
        <f t="shared" si="1"/>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 s="2" t="str">
        <f>newreqtype!D6</f>
        <v>db-alert-static-route-missing-threshold</v>
      </c>
      <c r="Q4" t="str">
        <f>"update app.warehouselocationdetail set payload = '" &amp; O4 &amp; "' where warehouseid = (select w.warehouseid from app.warehouselocation w where w.warehouseshortname='"&amp;A4&amp;"') and requesttypeid=(select rt.requesttypeid from app.requesttype rt where rt.description='"&amp;P4&amp;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"toEmail":"Jonathan.Snell@RNDC-USA.COM, Preston.Mccauley@RNDC-USA.COM, Rob.Garcia@RNDC-USA.COM, Jordan.Stoll@rndc-usa.com, Richard.Gay@RNDC-USA.COM, Billy.Calloway@RNDC-USA.COM, Ryan.Black@rndc-usa.com",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w.warehouseshortname='ASH') and requesttypeid=(select rt.requesttypeid from app.requesttype rt where rt.description='db-alert-static-route-missing-threshold');</v>
      </c>
      <c r="R4" t="b">
        <v>1</v>
      </c>
      <c r="S4" t="b">
        <v>0</v>
      </c>
    </row>
    <row r="5" spans="1:19" ht="80" x14ac:dyDescent="0.2">
      <c r="A5" s="8" t="s">
        <v>286</v>
      </c>
      <c r="B5" s="4" t="str">
        <f t="shared" si="0"/>
        <v>STATIC ROUTE MISSING THRESHOLD VALUE</v>
      </c>
      <c r="C5" s="3" t="s">
        <v>337</v>
      </c>
      <c r="D5" s="6" t="s">
        <v>338</v>
      </c>
      <c r="E5" s="6" t="s">
        <v>339</v>
      </c>
      <c r="F5" s="5" t="s">
        <v>340</v>
      </c>
      <c r="G5" t="s">
        <v>341</v>
      </c>
      <c r="H5" t="s">
        <v>342</v>
      </c>
      <c r="I5" s="6" t="s">
        <v>343</v>
      </c>
      <c r="J5" s="5" t="s">
        <v>344</v>
      </c>
      <c r="M5" s="7" t="s">
        <v>346</v>
      </c>
      <c r="N5" t="s">
        <v>345</v>
      </c>
      <c r="O5"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5" s="2" t="str">
        <f>newreqtype!D6</f>
        <v>db-alert-static-route-missing-threshold</v>
      </c>
      <c r="Q5" t="str">
        <f t="shared" ref="Q5:Q44" si="2">"update app.warehouselocationdetail set payload = '" &amp; O5 &amp; "' where warehouseid = (select w.warehouseid from app.warehouselocation w where w.warehouseshortname='"&amp;A5&amp;"') and requesttypeid=(select rt.requesttypeid from app.requesttype rt where rt.description='"&amp;P5&amp;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w.warehouseshortname='ATL') and requesttypeid=(select rt.requesttypeid from app.requesttype rt where rt.description='db-alert-static-route-missing-threshold');</v>
      </c>
      <c r="R5" t="b">
        <v>0</v>
      </c>
      <c r="S5" t="b">
        <v>0</v>
      </c>
    </row>
    <row r="6" spans="1:19" ht="80" x14ac:dyDescent="0.2">
      <c r="A6" s="8" t="s">
        <v>287</v>
      </c>
      <c r="B6" s="4" t="str">
        <f t="shared" si="0"/>
        <v>STATIC ROUTE MISSING THRESHOLD VALUE</v>
      </c>
      <c r="C6" s="3" t="s">
        <v>337</v>
      </c>
      <c r="D6" s="6" t="s">
        <v>338</v>
      </c>
      <c r="E6" s="6" t="s">
        <v>339</v>
      </c>
      <c r="F6" s="5" t="s">
        <v>340</v>
      </c>
      <c r="G6" t="s">
        <v>341</v>
      </c>
      <c r="H6" t="s">
        <v>342</v>
      </c>
      <c r="I6" s="6" t="s">
        <v>343</v>
      </c>
      <c r="J6" s="5" t="s">
        <v>344</v>
      </c>
      <c r="M6" s="7" t="s">
        <v>346</v>
      </c>
      <c r="N6" t="s">
        <v>345</v>
      </c>
      <c r="O6"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6" s="2" t="str">
        <f>newreqtype!D6</f>
        <v>db-alert-static-route-missing-threshold</v>
      </c>
      <c r="Q6"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w.warehouseshortname='AUB') and requesttypeid=(select rt.requesttypeid from app.requesttype rt where rt.description='db-alert-static-route-missing-threshold');</v>
      </c>
      <c r="R6" t="b">
        <v>0</v>
      </c>
      <c r="S6" t="b">
        <v>0</v>
      </c>
    </row>
    <row r="7" spans="1:19" ht="80" x14ac:dyDescent="0.2">
      <c r="A7" s="8" t="s">
        <v>350</v>
      </c>
      <c r="B7" s="4" t="str">
        <f t="shared" si="0"/>
        <v>STATIC ROUTE MISSING THRESHOLD VALUE</v>
      </c>
      <c r="C7" s="3" t="s">
        <v>337</v>
      </c>
      <c r="D7" s="6" t="s">
        <v>338</v>
      </c>
      <c r="E7" s="6" t="s">
        <v>339</v>
      </c>
      <c r="F7" s="5" t="s">
        <v>340</v>
      </c>
      <c r="G7" t="s">
        <v>341</v>
      </c>
      <c r="H7" t="s">
        <v>342</v>
      </c>
      <c r="I7" s="6" t="s">
        <v>343</v>
      </c>
      <c r="J7" s="5" t="s">
        <v>344</v>
      </c>
      <c r="M7" s="7" t="s">
        <v>346</v>
      </c>
      <c r="N7" t="s">
        <v>345</v>
      </c>
      <c r="O7"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7" s="2" t="str">
        <f>newreqtype!D6</f>
        <v>db-alert-static-route-missing-threshold</v>
      </c>
      <c r="Q7"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w.warehouseshortname='AUT') and requesttypeid=(select rt.requesttypeid from app.requesttype rt where rt.description='db-alert-static-route-missing-threshold');</v>
      </c>
      <c r="R7" t="b">
        <v>0</v>
      </c>
      <c r="S7" t="b">
        <v>0</v>
      </c>
    </row>
    <row r="8" spans="1:19" ht="80" x14ac:dyDescent="0.2">
      <c r="A8" s="8" t="s">
        <v>288</v>
      </c>
      <c r="B8" s="4" t="str">
        <f t="shared" si="0"/>
        <v>STATIC ROUTE MISSING THRESHOLD VALUE</v>
      </c>
      <c r="C8" s="3" t="s">
        <v>337</v>
      </c>
      <c r="D8" s="6" t="s">
        <v>338</v>
      </c>
      <c r="E8" s="6" t="s">
        <v>339</v>
      </c>
      <c r="F8" s="5" t="s">
        <v>340</v>
      </c>
      <c r="G8" t="s">
        <v>341</v>
      </c>
      <c r="H8" t="s">
        <v>342</v>
      </c>
      <c r="I8" s="6" t="s">
        <v>343</v>
      </c>
      <c r="J8" s="5" t="s">
        <v>344</v>
      </c>
      <c r="M8" s="7" t="s">
        <v>346</v>
      </c>
      <c r="N8" t="s">
        <v>345</v>
      </c>
      <c r="O8"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8" s="2" t="str">
        <f>newreqtype!D6</f>
        <v>db-alert-static-route-missing-threshold</v>
      </c>
      <c r="Q8"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w.warehouseshortname='CCR') and requesttypeid=(select rt.requesttypeid from app.requesttype rt where rt.description='db-alert-static-route-missing-threshold');</v>
      </c>
      <c r="R8" t="b">
        <v>0</v>
      </c>
      <c r="S8" t="b">
        <v>0</v>
      </c>
    </row>
    <row r="9" spans="1:19" ht="80" x14ac:dyDescent="0.2">
      <c r="A9" s="8" t="s">
        <v>351</v>
      </c>
      <c r="B9" s="4" t="str">
        <f t="shared" si="0"/>
        <v>STATIC ROUTE MISSING THRESHOLD VALUE</v>
      </c>
      <c r="C9" s="3" t="s">
        <v>337</v>
      </c>
      <c r="D9" s="6" t="s">
        <v>338</v>
      </c>
      <c r="E9" s="6" t="s">
        <v>339</v>
      </c>
      <c r="F9" s="5" t="s">
        <v>340</v>
      </c>
      <c r="G9" t="s">
        <v>341</v>
      </c>
      <c r="H9" t="s">
        <v>342</v>
      </c>
      <c r="I9" s="6" t="s">
        <v>343</v>
      </c>
      <c r="J9" s="5" t="s">
        <v>344</v>
      </c>
      <c r="M9" s="7" t="s">
        <v>346</v>
      </c>
      <c r="N9" t="s">
        <v>345</v>
      </c>
      <c r="O9"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9" s="2" t="str">
        <f>newreqtype!D6</f>
        <v>db-alert-static-route-missing-threshold</v>
      </c>
      <c r="Q9"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w.warehouseshortname='CHI') and requesttypeid=(select rt.requesttypeid from app.requesttype rt where rt.description='db-alert-static-route-missing-threshold');</v>
      </c>
      <c r="R9" t="b">
        <v>0</v>
      </c>
      <c r="S9" t="b">
        <v>0</v>
      </c>
    </row>
    <row r="10" spans="1:19" ht="80" x14ac:dyDescent="0.2">
      <c r="A10" s="8" t="s">
        <v>289</v>
      </c>
      <c r="B10" s="4" t="str">
        <f t="shared" si="0"/>
        <v>STATIC ROUTE MISSING THRESHOLD VALUE</v>
      </c>
      <c r="C10" s="3" t="s">
        <v>337</v>
      </c>
      <c r="D10" s="6" t="s">
        <v>338</v>
      </c>
      <c r="E10" s="6" t="s">
        <v>339</v>
      </c>
      <c r="F10" s="5" t="s">
        <v>340</v>
      </c>
      <c r="G10" t="s">
        <v>341</v>
      </c>
      <c r="H10" t="s">
        <v>342</v>
      </c>
      <c r="I10" s="6" t="s">
        <v>343</v>
      </c>
      <c r="J10" s="5" t="s">
        <v>344</v>
      </c>
      <c r="M10" s="7" t="s">
        <v>346</v>
      </c>
      <c r="N10" t="s">
        <v>345</v>
      </c>
      <c r="O10"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0" s="2" t="str">
        <f>newreqtype!D6</f>
        <v>db-alert-static-route-missing-threshold</v>
      </c>
      <c r="Q10"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w.warehouseshortname='COL') and requesttypeid=(select rt.requesttypeid from app.requesttype rt where rt.description='db-alert-static-route-missing-threshold');</v>
      </c>
      <c r="R10" t="b">
        <v>0</v>
      </c>
      <c r="S10" t="b">
        <v>0</v>
      </c>
    </row>
    <row r="11" spans="1:19" ht="80" x14ac:dyDescent="0.2">
      <c r="A11" s="8" t="s">
        <v>290</v>
      </c>
      <c r="B11" s="4" t="str">
        <f t="shared" si="0"/>
        <v>STATIC ROUTE MISSING THRESHOLD VALUE</v>
      </c>
      <c r="C11" s="3" t="s">
        <v>337</v>
      </c>
      <c r="D11" s="6" t="s">
        <v>338</v>
      </c>
      <c r="E11" s="6" t="s">
        <v>339</v>
      </c>
      <c r="F11" s="5" t="s">
        <v>340</v>
      </c>
      <c r="G11" t="s">
        <v>341</v>
      </c>
      <c r="H11" t="s">
        <v>342</v>
      </c>
      <c r="I11" s="6" t="s">
        <v>343</v>
      </c>
      <c r="J11" s="5" t="s">
        <v>344</v>
      </c>
      <c r="M11" s="7" t="s">
        <v>346</v>
      </c>
      <c r="N11" t="s">
        <v>345</v>
      </c>
      <c r="O11"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1" s="2" t="str">
        <f>newreqtype!D6</f>
        <v>db-alert-static-route-missing-threshold</v>
      </c>
      <c r="Q11"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w.warehouseshortname='DEN') and requesttypeid=(select rt.requesttypeid from app.requesttype rt where rt.description='db-alert-static-route-missing-threshold');</v>
      </c>
      <c r="R11" t="b">
        <v>0</v>
      </c>
      <c r="S11" t="b">
        <v>0</v>
      </c>
    </row>
    <row r="12" spans="1:19" ht="80" x14ac:dyDescent="0.2">
      <c r="A12" s="8" t="s">
        <v>291</v>
      </c>
      <c r="B12" s="4" t="str">
        <f t="shared" si="0"/>
        <v>STATIC ROUTE MISSING THRESHOLD VALUE</v>
      </c>
      <c r="C12" s="3" t="s">
        <v>337</v>
      </c>
      <c r="D12" s="6" t="s">
        <v>338</v>
      </c>
      <c r="E12" s="6" t="s">
        <v>339</v>
      </c>
      <c r="F12" s="5" t="s">
        <v>340</v>
      </c>
      <c r="G12" t="s">
        <v>341</v>
      </c>
      <c r="H12" t="s">
        <v>342</v>
      </c>
      <c r="I12" s="6" t="s">
        <v>343</v>
      </c>
      <c r="J12" s="5" t="s">
        <v>344</v>
      </c>
      <c r="M12" s="7" t="s">
        <v>346</v>
      </c>
      <c r="N12" t="s">
        <v>345</v>
      </c>
      <c r="O12"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2" s="2" t="str">
        <f>newreqtype!D6</f>
        <v>db-alert-static-route-missing-threshold</v>
      </c>
      <c r="Q12"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w.warehouseshortname='DFB') and requesttypeid=(select rt.requesttypeid from app.requesttype rt where rt.description='db-alert-static-route-missing-threshold');</v>
      </c>
      <c r="R12" t="b">
        <v>0</v>
      </c>
      <c r="S12" t="b">
        <v>0</v>
      </c>
    </row>
    <row r="13" spans="1:19" ht="80" x14ac:dyDescent="0.2">
      <c r="A13" s="8" t="s">
        <v>292</v>
      </c>
      <c r="B13" s="4" t="str">
        <f t="shared" si="0"/>
        <v>STATIC ROUTE MISSING THRESHOLD VALUE</v>
      </c>
      <c r="C13" s="3" t="s">
        <v>337</v>
      </c>
      <c r="D13" s="6" t="s">
        <v>338</v>
      </c>
      <c r="E13" s="6" t="s">
        <v>339</v>
      </c>
      <c r="F13" s="5" t="s">
        <v>340</v>
      </c>
      <c r="G13" t="s">
        <v>341</v>
      </c>
      <c r="H13" t="s">
        <v>342</v>
      </c>
      <c r="I13" s="6" t="s">
        <v>343</v>
      </c>
      <c r="J13" s="5" t="s">
        <v>344</v>
      </c>
      <c r="M13" s="7" t="s">
        <v>346</v>
      </c>
      <c r="N13" t="s">
        <v>345</v>
      </c>
      <c r="O13"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3" s="2" t="str">
        <f>newreqtype!D6</f>
        <v>db-alert-static-route-missing-threshold</v>
      </c>
      <c r="Q13"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w.warehouseshortname='ELP') and requesttypeid=(select rt.requesttypeid from app.requesttype rt where rt.description='db-alert-static-route-missing-threshold');</v>
      </c>
      <c r="R13" t="b">
        <v>0</v>
      </c>
      <c r="S13" t="b">
        <v>0</v>
      </c>
    </row>
    <row r="14" spans="1:19" ht="80" x14ac:dyDescent="0.2">
      <c r="A14" s="8" t="s">
        <v>293</v>
      </c>
      <c r="B14" s="4" t="str">
        <f t="shared" si="0"/>
        <v>STATIC ROUTE MISSING THRESHOLD VALUE</v>
      </c>
      <c r="C14" s="3" t="s">
        <v>337</v>
      </c>
      <c r="D14" s="6" t="s">
        <v>338</v>
      </c>
      <c r="E14" s="6" t="s">
        <v>339</v>
      </c>
      <c r="F14" s="5" t="s">
        <v>340</v>
      </c>
      <c r="G14" t="s">
        <v>341</v>
      </c>
      <c r="H14" t="s">
        <v>342</v>
      </c>
      <c r="I14" s="6" t="s">
        <v>343</v>
      </c>
      <c r="J14" s="5" t="s">
        <v>344</v>
      </c>
      <c r="M14" s="7" t="s">
        <v>346</v>
      </c>
      <c r="N14" t="s">
        <v>345</v>
      </c>
      <c r="O14"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4" s="2" t="str">
        <f>newreqtype!D6</f>
        <v>db-alert-static-route-missing-threshold</v>
      </c>
      <c r="Q14"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w.warehouseshortname='FAR') and requesttypeid=(select rt.requesttypeid from app.requesttype rt where rt.description='db-alert-static-route-missing-threshold');</v>
      </c>
      <c r="R14" t="b">
        <v>0</v>
      </c>
      <c r="S14" t="b">
        <v>0</v>
      </c>
    </row>
    <row r="15" spans="1:19" ht="80" x14ac:dyDescent="0.2">
      <c r="A15" s="8" t="s">
        <v>294</v>
      </c>
      <c r="B15" s="4" t="str">
        <f t="shared" si="0"/>
        <v>STATIC ROUTE MISSING THRESHOLD VALUE</v>
      </c>
      <c r="C15" s="3" t="s">
        <v>337</v>
      </c>
      <c r="D15" s="6" t="s">
        <v>338</v>
      </c>
      <c r="E15" s="6" t="s">
        <v>339</v>
      </c>
      <c r="F15" s="5" t="s">
        <v>340</v>
      </c>
      <c r="G15" t="s">
        <v>341</v>
      </c>
      <c r="H15" t="s">
        <v>342</v>
      </c>
      <c r="I15" s="6" t="s">
        <v>343</v>
      </c>
      <c r="J15" s="5" t="s">
        <v>344</v>
      </c>
      <c r="M15" s="7" t="s">
        <v>346</v>
      </c>
      <c r="N15" t="s">
        <v>345</v>
      </c>
      <c r="O15"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5" s="2" t="str">
        <f>newreqtype!D6</f>
        <v>db-alert-static-route-missing-threshold</v>
      </c>
      <c r="Q15"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w.warehouseshortname='GRP') and requesttypeid=(select rt.requesttypeid from app.requesttype rt where rt.description='db-alert-static-route-missing-threshold');</v>
      </c>
      <c r="R15" t="b">
        <v>0</v>
      </c>
      <c r="S15" t="b">
        <v>0</v>
      </c>
    </row>
    <row r="16" spans="1:19" ht="80" x14ac:dyDescent="0.2">
      <c r="A16" s="8" t="s">
        <v>295</v>
      </c>
      <c r="B16" s="4" t="str">
        <f t="shared" si="0"/>
        <v>STATIC ROUTE MISSING THRESHOLD VALUE</v>
      </c>
      <c r="C16" s="3" t="s">
        <v>337</v>
      </c>
      <c r="D16" s="6" t="s">
        <v>338</v>
      </c>
      <c r="E16" s="6" t="s">
        <v>339</v>
      </c>
      <c r="F16" s="5" t="s">
        <v>340</v>
      </c>
      <c r="G16" t="s">
        <v>341</v>
      </c>
      <c r="H16" t="s">
        <v>342</v>
      </c>
      <c r="I16" s="6" t="s">
        <v>343</v>
      </c>
      <c r="J16" s="5" t="s">
        <v>344</v>
      </c>
      <c r="M16" s="7" t="s">
        <v>346</v>
      </c>
      <c r="N16" t="s">
        <v>345</v>
      </c>
      <c r="O16"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6" s="2" t="str">
        <f>newreqtype!D6</f>
        <v>db-alert-static-route-missing-threshold</v>
      </c>
      <c r="Q16"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w.warehouseshortname='HAW') and requesttypeid=(select rt.requesttypeid from app.requesttype rt where rt.description='db-alert-static-route-missing-threshold');</v>
      </c>
      <c r="R16" t="b">
        <v>0</v>
      </c>
      <c r="S16" t="b">
        <v>0</v>
      </c>
    </row>
    <row r="17" spans="1:19" ht="80" x14ac:dyDescent="0.2">
      <c r="A17" s="8" t="s">
        <v>296</v>
      </c>
      <c r="B17" s="4" t="str">
        <f t="shared" si="0"/>
        <v>STATIC ROUTE MISSING THRESHOLD VALUE</v>
      </c>
      <c r="C17" s="3" t="s">
        <v>337</v>
      </c>
      <c r="D17" s="6" t="s">
        <v>338</v>
      </c>
      <c r="E17" s="6" t="s">
        <v>339</v>
      </c>
      <c r="F17" s="5" t="s">
        <v>340</v>
      </c>
      <c r="G17" t="s">
        <v>341</v>
      </c>
      <c r="H17" t="s">
        <v>342</v>
      </c>
      <c r="I17" s="6" t="s">
        <v>343</v>
      </c>
      <c r="J17" s="5" t="s">
        <v>344</v>
      </c>
      <c r="M17" s="7" t="s">
        <v>346</v>
      </c>
      <c r="N17" t="s">
        <v>345</v>
      </c>
      <c r="O17"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7" s="2" t="str">
        <f>newreqtype!D6</f>
        <v>db-alert-static-route-missing-threshold</v>
      </c>
      <c r="Q17"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w.warehouseshortname='HOU') and requesttypeid=(select rt.requesttypeid from app.requesttype rt where rt.description='db-alert-static-route-missing-threshold');</v>
      </c>
      <c r="R17" t="b">
        <v>0</v>
      </c>
      <c r="S17" t="b">
        <v>0</v>
      </c>
    </row>
    <row r="18" spans="1:19" ht="80" x14ac:dyDescent="0.2">
      <c r="A18" s="8" t="s">
        <v>297</v>
      </c>
      <c r="B18" s="4" t="str">
        <f t="shared" si="0"/>
        <v>STATIC ROUTE MISSING THRESHOLD VALUE</v>
      </c>
      <c r="C18" s="3" t="s">
        <v>337</v>
      </c>
      <c r="D18" s="6" t="s">
        <v>338</v>
      </c>
      <c r="E18" s="6" t="s">
        <v>339</v>
      </c>
      <c r="F18" s="5" t="s">
        <v>340</v>
      </c>
      <c r="G18" t="s">
        <v>341</v>
      </c>
      <c r="H18" t="s">
        <v>342</v>
      </c>
      <c r="I18" s="6" t="s">
        <v>343</v>
      </c>
      <c r="J18" s="5" t="s">
        <v>344</v>
      </c>
      <c r="M18" s="7" t="s">
        <v>346</v>
      </c>
      <c r="N18" t="s">
        <v>345</v>
      </c>
      <c r="O18"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8" s="2" t="str">
        <f>newreqtype!D6</f>
        <v>db-alert-static-route-missing-threshold</v>
      </c>
      <c r="Q18"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w.warehouseshortname='IND') and requesttypeid=(select rt.requesttypeid from app.requesttype rt where rt.description='db-alert-static-route-missing-threshold');</v>
      </c>
      <c r="R18" t="b">
        <v>0</v>
      </c>
      <c r="S18" t="b">
        <v>0</v>
      </c>
    </row>
    <row r="19" spans="1:19" ht="80" x14ac:dyDescent="0.2">
      <c r="A19" s="8" t="s">
        <v>298</v>
      </c>
      <c r="B19" s="4" t="str">
        <f t="shared" si="0"/>
        <v>STATIC ROUTE MISSING THRESHOLD VALUE</v>
      </c>
      <c r="C19" s="3" t="s">
        <v>337</v>
      </c>
      <c r="D19" s="6" t="s">
        <v>338</v>
      </c>
      <c r="E19" s="6" t="s">
        <v>339</v>
      </c>
      <c r="F19" s="5" t="s">
        <v>340</v>
      </c>
      <c r="G19" t="s">
        <v>341</v>
      </c>
      <c r="H19" t="s">
        <v>342</v>
      </c>
      <c r="I19" s="6" t="s">
        <v>343</v>
      </c>
      <c r="J19" s="5" t="s">
        <v>344</v>
      </c>
      <c r="M19" s="7" t="s">
        <v>346</v>
      </c>
      <c r="N19" t="s">
        <v>345</v>
      </c>
      <c r="O19"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19" s="2" t="str">
        <f>newreqtype!D6</f>
        <v>db-alert-static-route-missing-threshold</v>
      </c>
      <c r="Q19"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w.warehouseshortname='JAC') and requesttypeid=(select rt.requesttypeid from app.requesttype rt where rt.description='db-alert-static-route-missing-threshold');</v>
      </c>
      <c r="R19" t="b">
        <v>0</v>
      </c>
      <c r="S19" t="b">
        <v>0</v>
      </c>
    </row>
    <row r="20" spans="1:19" ht="80" x14ac:dyDescent="0.2">
      <c r="A20" s="8" t="s">
        <v>299</v>
      </c>
      <c r="B20" s="4" t="str">
        <f t="shared" si="0"/>
        <v>STATIC ROUTE MISSING THRESHOLD VALUE</v>
      </c>
      <c r="C20" s="3" t="s">
        <v>337</v>
      </c>
      <c r="D20" s="6" t="s">
        <v>338</v>
      </c>
      <c r="E20" s="6" t="s">
        <v>339</v>
      </c>
      <c r="F20" s="5" t="s">
        <v>340</v>
      </c>
      <c r="G20" t="s">
        <v>341</v>
      </c>
      <c r="H20" t="s">
        <v>342</v>
      </c>
      <c r="I20" s="6" t="s">
        <v>343</v>
      </c>
      <c r="J20" s="5" t="s">
        <v>344</v>
      </c>
      <c r="M20" s="7" t="s">
        <v>346</v>
      </c>
      <c r="N20" t="s">
        <v>345</v>
      </c>
      <c r="O20"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0" s="2" t="str">
        <f>newreqtype!D6</f>
        <v>db-alert-static-route-missing-threshold</v>
      </c>
      <c r="Q20"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w.warehouseshortname='JES') and requesttypeid=(select rt.requesttypeid from app.requesttype rt where rt.description='db-alert-static-route-missing-threshold');</v>
      </c>
      <c r="R20" t="b">
        <v>0</v>
      </c>
      <c r="S20" t="b">
        <v>0</v>
      </c>
    </row>
    <row r="21" spans="1:19" ht="80" x14ac:dyDescent="0.2">
      <c r="A21" s="8" t="s">
        <v>300</v>
      </c>
      <c r="B21" s="4" t="str">
        <f t="shared" si="0"/>
        <v>STATIC ROUTE MISSING THRESHOLD VALUE</v>
      </c>
      <c r="C21" s="3" t="s">
        <v>337</v>
      </c>
      <c r="D21" s="6" t="s">
        <v>338</v>
      </c>
      <c r="E21" s="6" t="s">
        <v>339</v>
      </c>
      <c r="F21" s="5" t="s">
        <v>340</v>
      </c>
      <c r="G21" t="s">
        <v>341</v>
      </c>
      <c r="H21" t="s">
        <v>342</v>
      </c>
      <c r="I21" s="6" t="s">
        <v>343</v>
      </c>
      <c r="J21" s="5" t="s">
        <v>344</v>
      </c>
      <c r="M21" s="7" t="s">
        <v>346</v>
      </c>
      <c r="N21" t="s">
        <v>345</v>
      </c>
      <c r="O21"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1" s="2" t="str">
        <f>newreqtype!D6</f>
        <v>db-alert-static-route-missing-threshold</v>
      </c>
      <c r="Q21"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w.warehouseshortname='KAP') and requesttypeid=(select rt.requesttypeid from app.requesttype rt where rt.description='db-alert-static-route-missing-threshold');</v>
      </c>
      <c r="R21" t="b">
        <v>0</v>
      </c>
      <c r="S21" t="b">
        <v>0</v>
      </c>
    </row>
    <row r="22" spans="1:19" ht="80" x14ac:dyDescent="0.2">
      <c r="A22" s="8" t="s">
        <v>301</v>
      </c>
      <c r="B22" s="4" t="str">
        <f t="shared" si="0"/>
        <v>STATIC ROUTE MISSING THRESHOLD VALUE</v>
      </c>
      <c r="C22" s="3" t="s">
        <v>337</v>
      </c>
      <c r="D22" s="6" t="s">
        <v>338</v>
      </c>
      <c r="E22" s="6" t="s">
        <v>339</v>
      </c>
      <c r="F22" s="5" t="s">
        <v>340</v>
      </c>
      <c r="G22" t="s">
        <v>341</v>
      </c>
      <c r="H22" t="s">
        <v>342</v>
      </c>
      <c r="I22" s="6" t="s">
        <v>343</v>
      </c>
      <c r="J22" s="5" t="s">
        <v>344</v>
      </c>
      <c r="M22" s="7" t="s">
        <v>346</v>
      </c>
      <c r="N22" t="s">
        <v>345</v>
      </c>
      <c r="O22"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2" s="2" t="str">
        <f>newreqtype!D6</f>
        <v>db-alert-static-route-missing-threshold</v>
      </c>
      <c r="Q22"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w.warehouseshortname='KAU') and requesttypeid=(select rt.requesttypeid from app.requesttype rt where rt.description='db-alert-static-route-missing-threshold');</v>
      </c>
      <c r="R22" t="b">
        <v>0</v>
      </c>
      <c r="S22" t="b">
        <v>0</v>
      </c>
    </row>
    <row r="23" spans="1:19" ht="80" x14ac:dyDescent="0.2">
      <c r="A23" s="8" t="s">
        <v>302</v>
      </c>
      <c r="B23" s="4" t="str">
        <f t="shared" si="0"/>
        <v>STATIC ROUTE MISSING THRESHOLD VALUE</v>
      </c>
      <c r="C23" s="3" t="s">
        <v>337</v>
      </c>
      <c r="D23" s="6" t="s">
        <v>338</v>
      </c>
      <c r="E23" s="6" t="s">
        <v>339</v>
      </c>
      <c r="F23" s="5" t="s">
        <v>340</v>
      </c>
      <c r="G23" t="s">
        <v>341</v>
      </c>
      <c r="H23" t="s">
        <v>342</v>
      </c>
      <c r="I23" s="6" t="s">
        <v>343</v>
      </c>
      <c r="J23" s="5" t="s">
        <v>344</v>
      </c>
      <c r="M23" s="7" t="s">
        <v>346</v>
      </c>
      <c r="N23" t="s">
        <v>345</v>
      </c>
      <c r="O23"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3" s="2" t="str">
        <f>newreqtype!D6</f>
        <v>db-alert-static-route-missing-threshold</v>
      </c>
      <c r="Q23"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w.warehouseshortname='LAF') and requesttypeid=(select rt.requesttypeid from app.requesttype rt where rt.description='db-alert-static-route-missing-threshold');</v>
      </c>
      <c r="R23" t="b">
        <v>0</v>
      </c>
      <c r="S23" t="b">
        <v>0</v>
      </c>
    </row>
    <row r="24" spans="1:19" ht="80" x14ac:dyDescent="0.2">
      <c r="A24" s="8" t="s">
        <v>303</v>
      </c>
      <c r="B24" s="4" t="str">
        <f t="shared" si="0"/>
        <v>STATIC ROUTE MISSING THRESHOLD VALUE</v>
      </c>
      <c r="C24" s="3" t="s">
        <v>337</v>
      </c>
      <c r="D24" s="6" t="s">
        <v>338</v>
      </c>
      <c r="E24" s="6" t="s">
        <v>339</v>
      </c>
      <c r="F24" s="5" t="s">
        <v>340</v>
      </c>
      <c r="G24" t="s">
        <v>341</v>
      </c>
      <c r="H24" t="s">
        <v>342</v>
      </c>
      <c r="I24" s="6" t="s">
        <v>343</v>
      </c>
      <c r="J24" s="5" t="s">
        <v>344</v>
      </c>
      <c r="M24" s="7" t="s">
        <v>346</v>
      </c>
      <c r="N24" t="s">
        <v>345</v>
      </c>
      <c r="O24"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4" s="2" t="str">
        <f>newreqtype!D6</f>
        <v>db-alert-static-route-missing-threshold</v>
      </c>
      <c r="Q24"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w.warehouseshortname='LIV') and requesttypeid=(select rt.requesttypeid from app.requesttype rt where rt.description='db-alert-static-route-missing-threshold');</v>
      </c>
      <c r="R24" t="b">
        <v>0</v>
      </c>
      <c r="S24" t="b">
        <v>0</v>
      </c>
    </row>
    <row r="25" spans="1:19" ht="80" x14ac:dyDescent="0.2">
      <c r="A25" s="8" t="s">
        <v>304</v>
      </c>
      <c r="B25" s="4" t="str">
        <f t="shared" si="0"/>
        <v>STATIC ROUTE MISSING THRESHOLD VALUE</v>
      </c>
      <c r="C25" s="3" t="s">
        <v>337</v>
      </c>
      <c r="D25" s="6" t="s">
        <v>338</v>
      </c>
      <c r="E25" s="6" t="s">
        <v>339</v>
      </c>
      <c r="F25" s="5" t="s">
        <v>340</v>
      </c>
      <c r="G25" t="s">
        <v>341</v>
      </c>
      <c r="H25" t="s">
        <v>342</v>
      </c>
      <c r="I25" s="6" t="s">
        <v>343</v>
      </c>
      <c r="J25" s="5" t="s">
        <v>344</v>
      </c>
      <c r="M25" s="7" t="s">
        <v>346</v>
      </c>
      <c r="N25" t="s">
        <v>345</v>
      </c>
      <c r="O25"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5" s="2" t="str">
        <f>newreqtype!D6</f>
        <v>db-alert-static-route-missing-threshold</v>
      </c>
      <c r="Q25"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w.warehouseshortname='LOU') and requesttypeid=(select rt.requesttypeid from app.requesttype rt where rt.description='db-alert-static-route-missing-threshold');</v>
      </c>
      <c r="R25" t="b">
        <v>0</v>
      </c>
      <c r="S25" t="b">
        <v>0</v>
      </c>
    </row>
    <row r="26" spans="1:19" ht="80" x14ac:dyDescent="0.2">
      <c r="A26" s="8" t="s">
        <v>305</v>
      </c>
      <c r="B26" s="4" t="str">
        <f t="shared" si="0"/>
        <v>STATIC ROUTE MISSING THRESHOLD VALUE</v>
      </c>
      <c r="C26" s="3" t="s">
        <v>337</v>
      </c>
      <c r="D26" s="6" t="s">
        <v>338</v>
      </c>
      <c r="E26" s="6" t="s">
        <v>339</v>
      </c>
      <c r="F26" s="5" t="s">
        <v>340</v>
      </c>
      <c r="G26" t="s">
        <v>341</v>
      </c>
      <c r="H26" t="s">
        <v>342</v>
      </c>
      <c r="I26" s="6" t="s">
        <v>343</v>
      </c>
      <c r="J26" s="5" t="s">
        <v>344</v>
      </c>
      <c r="M26" s="7" t="s">
        <v>346</v>
      </c>
      <c r="N26" t="s">
        <v>345</v>
      </c>
      <c r="O26"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6" s="2" t="str">
        <f>newreqtype!D6</f>
        <v>db-alert-static-route-missing-threshold</v>
      </c>
      <c r="Q26"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w.warehouseshortname='LUB') and requesttypeid=(select rt.requesttypeid from app.requesttype rt where rt.description='db-alert-static-route-missing-threshold');</v>
      </c>
      <c r="R26" t="b">
        <v>0</v>
      </c>
      <c r="S26" t="b">
        <v>0</v>
      </c>
    </row>
    <row r="27" spans="1:19" ht="80" x14ac:dyDescent="0.2">
      <c r="A27" s="8" t="s">
        <v>306</v>
      </c>
      <c r="B27" s="4" t="str">
        <f t="shared" si="0"/>
        <v>STATIC ROUTE MISSING THRESHOLD VALUE</v>
      </c>
      <c r="C27" s="3" t="s">
        <v>337</v>
      </c>
      <c r="D27" s="6" t="s">
        <v>338</v>
      </c>
      <c r="E27" s="6" t="s">
        <v>339</v>
      </c>
      <c r="F27" s="5" t="s">
        <v>340</v>
      </c>
      <c r="G27" t="s">
        <v>341</v>
      </c>
      <c r="H27" t="s">
        <v>342</v>
      </c>
      <c r="I27" s="6" t="s">
        <v>343</v>
      </c>
      <c r="J27" s="5" t="s">
        <v>344</v>
      </c>
      <c r="M27" s="7" t="s">
        <v>346</v>
      </c>
      <c r="N27" t="s">
        <v>345</v>
      </c>
      <c r="O27"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7" s="2" t="str">
        <f>newreqtype!D6</f>
        <v>db-alert-static-route-missing-threshold</v>
      </c>
      <c r="Q27"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w.warehouseshortname='MAU') and requesttypeid=(select rt.requesttypeid from app.requesttype rt where rt.description='db-alert-static-route-missing-threshold');</v>
      </c>
      <c r="R27" t="b">
        <v>0</v>
      </c>
      <c r="S27" t="b">
        <v>0</v>
      </c>
    </row>
    <row r="28" spans="1:19" ht="80" x14ac:dyDescent="0.2">
      <c r="A28" s="8" t="s">
        <v>307</v>
      </c>
      <c r="B28" s="4" t="str">
        <f t="shared" si="0"/>
        <v>STATIC ROUTE MISSING THRESHOLD VALUE</v>
      </c>
      <c r="C28" s="3" t="s">
        <v>337</v>
      </c>
      <c r="D28" s="6" t="s">
        <v>338</v>
      </c>
      <c r="E28" s="6" t="s">
        <v>339</v>
      </c>
      <c r="F28" s="5" t="s">
        <v>340</v>
      </c>
      <c r="G28" t="s">
        <v>341</v>
      </c>
      <c r="H28" t="s">
        <v>342</v>
      </c>
      <c r="I28" s="6" t="s">
        <v>343</v>
      </c>
      <c r="J28" s="5" t="s">
        <v>344</v>
      </c>
      <c r="M28" s="7" t="s">
        <v>346</v>
      </c>
      <c r="N28" t="s">
        <v>345</v>
      </c>
      <c r="O28"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8" s="2" t="str">
        <f>newreqtype!D6</f>
        <v>db-alert-static-route-missing-threshold</v>
      </c>
      <c r="Q28"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w.warehouseshortname='NEW') and requesttypeid=(select rt.requesttypeid from app.requesttype rt where rt.description='db-alert-static-route-missing-threshold');</v>
      </c>
      <c r="R28" t="b">
        <v>0</v>
      </c>
      <c r="S28" t="b">
        <v>0</v>
      </c>
    </row>
    <row r="29" spans="1:19" ht="80" x14ac:dyDescent="0.2">
      <c r="A29" s="8" t="s">
        <v>308</v>
      </c>
      <c r="B29" s="4" t="str">
        <f t="shared" si="0"/>
        <v>STATIC ROUTE MISSING THRESHOLD VALUE</v>
      </c>
      <c r="C29" s="3" t="s">
        <v>337</v>
      </c>
      <c r="D29" s="6" t="s">
        <v>338</v>
      </c>
      <c r="E29" s="6" t="s">
        <v>339</v>
      </c>
      <c r="F29" s="5" t="s">
        <v>340</v>
      </c>
      <c r="G29" t="s">
        <v>341</v>
      </c>
      <c r="H29" t="s">
        <v>342</v>
      </c>
      <c r="I29" s="6" t="s">
        <v>343</v>
      </c>
      <c r="J29" s="5" t="s">
        <v>344</v>
      </c>
      <c r="M29" s="7" t="s">
        <v>346</v>
      </c>
      <c r="N29" t="s">
        <v>345</v>
      </c>
      <c r="O29"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29" s="2" t="str">
        <f>newreqtype!D6</f>
        <v>db-alert-static-route-missing-threshold</v>
      </c>
      <c r="Q29"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w.warehouseshortname='OAH') and requesttypeid=(select rt.requesttypeid from app.requesttype rt where rt.description='db-alert-static-route-missing-threshold');</v>
      </c>
      <c r="R29" t="b">
        <v>0</v>
      </c>
      <c r="S29" t="b">
        <v>0</v>
      </c>
    </row>
    <row r="30" spans="1:19" ht="80" x14ac:dyDescent="0.2">
      <c r="A30" s="8" t="s">
        <v>309</v>
      </c>
      <c r="B30" s="4" t="str">
        <f t="shared" si="0"/>
        <v>STATIC ROUTE MISSING THRESHOLD VALUE</v>
      </c>
      <c r="C30" s="3" t="s">
        <v>337</v>
      </c>
      <c r="D30" s="6" t="s">
        <v>338</v>
      </c>
      <c r="E30" s="6" t="s">
        <v>339</v>
      </c>
      <c r="F30" s="5" t="s">
        <v>340</v>
      </c>
      <c r="G30" t="s">
        <v>341</v>
      </c>
      <c r="H30" t="s">
        <v>342</v>
      </c>
      <c r="I30" s="6" t="s">
        <v>343</v>
      </c>
      <c r="J30" s="5" t="s">
        <v>344</v>
      </c>
      <c r="M30" s="7" t="s">
        <v>346</v>
      </c>
      <c r="N30" t="s">
        <v>345</v>
      </c>
      <c r="O30"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0" s="2" t="str">
        <f>newreqtype!D6</f>
        <v>db-alert-static-route-missing-threshold</v>
      </c>
      <c r="Q30"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w.warehouseshortname='OKL') and requesttypeid=(select rt.requesttypeid from app.requesttype rt where rt.description='db-alert-static-route-missing-threshold');</v>
      </c>
      <c r="R30" t="b">
        <v>0</v>
      </c>
      <c r="S30" t="b">
        <v>0</v>
      </c>
    </row>
    <row r="31" spans="1:19" ht="80" x14ac:dyDescent="0.2">
      <c r="A31" s="8" t="s">
        <v>310</v>
      </c>
      <c r="B31" s="4" t="str">
        <f t="shared" si="0"/>
        <v>STATIC ROUTE MISSING THRESHOLD VALUE</v>
      </c>
      <c r="C31" s="3" t="s">
        <v>337</v>
      </c>
      <c r="D31" s="6" t="s">
        <v>338</v>
      </c>
      <c r="E31" s="6" t="s">
        <v>339</v>
      </c>
      <c r="F31" s="5" t="s">
        <v>340</v>
      </c>
      <c r="G31" t="s">
        <v>341</v>
      </c>
      <c r="H31" t="s">
        <v>342</v>
      </c>
      <c r="I31" s="6" t="s">
        <v>343</v>
      </c>
      <c r="J31" s="5" t="s">
        <v>344</v>
      </c>
      <c r="M31" s="7" t="s">
        <v>346</v>
      </c>
      <c r="N31" t="s">
        <v>345</v>
      </c>
      <c r="O31"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1" s="2" t="str">
        <f>newreqtype!D6</f>
        <v>db-alert-static-route-missing-threshold</v>
      </c>
      <c r="Q31"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w.warehouseshortname='OMA') and requesttypeid=(select rt.requesttypeid from app.requesttype rt where rt.description='db-alert-static-route-missing-threshold');</v>
      </c>
      <c r="R31" t="b">
        <v>0</v>
      </c>
      <c r="S31" t="b">
        <v>0</v>
      </c>
    </row>
    <row r="32" spans="1:19" ht="80" x14ac:dyDescent="0.2">
      <c r="A32" s="8" t="s">
        <v>311</v>
      </c>
      <c r="B32" s="4" t="str">
        <f t="shared" si="0"/>
        <v>STATIC ROUTE MISSING THRESHOLD VALUE</v>
      </c>
      <c r="C32" s="3" t="s">
        <v>337</v>
      </c>
      <c r="D32" s="6" t="s">
        <v>338</v>
      </c>
      <c r="E32" s="6" t="s">
        <v>339</v>
      </c>
      <c r="F32" s="5" t="s">
        <v>340</v>
      </c>
      <c r="G32" t="s">
        <v>341</v>
      </c>
      <c r="H32" t="s">
        <v>342</v>
      </c>
      <c r="I32" s="6" t="s">
        <v>343</v>
      </c>
      <c r="J32" s="5" t="s">
        <v>344</v>
      </c>
      <c r="M32" s="7" t="s">
        <v>346</v>
      </c>
      <c r="N32" t="s">
        <v>345</v>
      </c>
      <c r="O32"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2" s="2" t="str">
        <f>newreqtype!D6</f>
        <v>db-alert-static-route-missing-threshold</v>
      </c>
      <c r="Q32"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w.warehouseshortname='ORL') and requesttypeid=(select rt.requesttypeid from app.requesttype rt where rt.description='db-alert-static-route-missing-threshold');</v>
      </c>
      <c r="R32" t="b">
        <v>0</v>
      </c>
      <c r="S32" t="b">
        <v>0</v>
      </c>
    </row>
    <row r="33" spans="1:19" ht="96" x14ac:dyDescent="0.2">
      <c r="A33" s="8" t="s">
        <v>312</v>
      </c>
      <c r="B33" s="4" t="str">
        <f t="shared" si="0"/>
        <v>STATIC ROUTE MISSING THRESHOLD VALUE</v>
      </c>
      <c r="C33" s="3" t="s">
        <v>337</v>
      </c>
      <c r="D33" s="6" t="s">
        <v>338</v>
      </c>
      <c r="E33" s="6" t="s">
        <v>339</v>
      </c>
      <c r="F33" s="5" t="s">
        <v>340</v>
      </c>
      <c r="G33" t="s">
        <v>341</v>
      </c>
      <c r="H33" t="s">
        <v>342</v>
      </c>
      <c r="I33" s="6" t="s">
        <v>343</v>
      </c>
      <c r="J33" s="5" t="s">
        <v>352</v>
      </c>
      <c r="K33" s="6" t="s">
        <v>349</v>
      </c>
      <c r="M33" s="7" t="s">
        <v>346</v>
      </c>
      <c r="N33" t="s">
        <v>345</v>
      </c>
      <c r="O33"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3" s="2" t="str">
        <f>newreqtype!D6</f>
        <v>db-alert-static-route-missing-threshold</v>
      </c>
      <c r="Q33" t="str">
        <f>"update app.warehouselocationdetail set payload = '" &amp; O33 &amp; "' where warehouseid = (select w.warehouseid from app.warehouselocation w where w.warehouseshortname='"&amp;A33&amp;"') and requesttypeid=(select rt.requesttypeid from app.requesttype rt where rt.description='"&amp;P33&amp;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"toEmail":"Ryan.Metz@rndc-usa.com, John.Hall@rndc-usa.com, Anthony.Coleman@rndc-usa.com, Dazzle.Keyser@rndc-usa.com, Douglas.Garner@rndc-usa.com",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w.warehouseshortname='PEN') and requesttypeid=(select rt.requesttypeid from app.requesttype rt where rt.description='db-alert-static-route-missing-threshold');</v>
      </c>
      <c r="R33" t="b">
        <v>1</v>
      </c>
      <c r="S33" t="b">
        <v>1</v>
      </c>
    </row>
    <row r="34" spans="1:19" ht="80" x14ac:dyDescent="0.2">
      <c r="A34" s="8" t="s">
        <v>313</v>
      </c>
      <c r="B34" s="4" t="str">
        <f t="shared" si="0"/>
        <v>STATIC ROUTE MISSING THRESHOLD VALUE</v>
      </c>
      <c r="C34" s="3" t="s">
        <v>337</v>
      </c>
      <c r="D34" s="6" t="s">
        <v>338</v>
      </c>
      <c r="E34" s="6" t="s">
        <v>339</v>
      </c>
      <c r="F34" s="5" t="s">
        <v>340</v>
      </c>
      <c r="G34" t="s">
        <v>341</v>
      </c>
      <c r="H34" t="s">
        <v>342</v>
      </c>
      <c r="I34" s="6" t="s">
        <v>343</v>
      </c>
      <c r="J34" s="5" t="s">
        <v>344</v>
      </c>
      <c r="M34" s="7" t="s">
        <v>346</v>
      </c>
      <c r="N34" t="s">
        <v>345</v>
      </c>
      <c r="O34"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4" s="2" t="str">
        <f>newreqtype!D6</f>
        <v>db-alert-static-route-missing-threshold</v>
      </c>
      <c r="Q34"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w.warehouseshortname='PHO') and requesttypeid=(select rt.requesttypeid from app.requesttype rt where rt.description='db-alert-static-route-missing-threshold');</v>
      </c>
      <c r="R34" t="b">
        <v>0</v>
      </c>
      <c r="S34" t="b">
        <v>0</v>
      </c>
    </row>
    <row r="35" spans="1:19" ht="80" x14ac:dyDescent="0.2">
      <c r="A35" s="8" t="s">
        <v>314</v>
      </c>
      <c r="B35" s="4" t="str">
        <f t="shared" si="0"/>
        <v>STATIC ROUTE MISSING THRESHOLD VALUE</v>
      </c>
      <c r="C35" s="3" t="s">
        <v>337</v>
      </c>
      <c r="D35" s="6" t="s">
        <v>338</v>
      </c>
      <c r="E35" s="6" t="s">
        <v>339</v>
      </c>
      <c r="F35" s="5" t="s">
        <v>340</v>
      </c>
      <c r="G35" t="s">
        <v>341</v>
      </c>
      <c r="H35" t="s">
        <v>347</v>
      </c>
      <c r="I35" s="6" t="s">
        <v>343</v>
      </c>
      <c r="J35" s="5" t="s">
        <v>344</v>
      </c>
      <c r="M35" s="7" t="s">
        <v>346</v>
      </c>
      <c r="N35" t="s">
        <v>345</v>
      </c>
      <c r="O35" t="str">
        <f t="shared" si="1"/>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5" s="2" t="str">
        <f>newreqtype!D6</f>
        <v>db-alert-static-route-missing-threshold</v>
      </c>
      <c r="Q35"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w.warehouseshortname='POR') and requesttypeid=(select rt.requesttypeid from app.requesttype rt where rt.description='db-alert-static-route-missing-threshold');</v>
      </c>
      <c r="R35" t="b">
        <v>1</v>
      </c>
      <c r="S35" t="b">
        <v>1</v>
      </c>
    </row>
    <row r="36" spans="1:19" ht="80" x14ac:dyDescent="0.2">
      <c r="A36" s="8" t="s">
        <v>353</v>
      </c>
      <c r="B36" s="4" t="str">
        <f t="shared" si="0"/>
        <v>STATIC ROUTE MISSING THRESHOLD VALUE</v>
      </c>
      <c r="C36" s="3" t="s">
        <v>337</v>
      </c>
      <c r="D36" s="6" t="s">
        <v>338</v>
      </c>
      <c r="E36" s="6" t="s">
        <v>339</v>
      </c>
      <c r="F36" s="5" t="s">
        <v>340</v>
      </c>
      <c r="G36" t="s">
        <v>341</v>
      </c>
      <c r="H36" t="s">
        <v>342</v>
      </c>
      <c r="I36" s="6" t="s">
        <v>343</v>
      </c>
      <c r="J36" s="5" t="s">
        <v>344</v>
      </c>
      <c r="M36" s="7" t="s">
        <v>346</v>
      </c>
      <c r="N36" t="s">
        <v>345</v>
      </c>
      <c r="O36"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6" s="2" t="str">
        <f>newreqtype!D6</f>
        <v>db-alert-static-route-missing-threshold</v>
      </c>
      <c r="Q36"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w.warehouseshortname='RNDC') and requesttypeid=(select rt.requesttypeid from app.requesttype rt where rt.description='db-alert-static-route-missing-threshold');</v>
      </c>
      <c r="R36" t="b">
        <v>0</v>
      </c>
      <c r="S36" t="b">
        <v>0</v>
      </c>
    </row>
    <row r="37" spans="1:19" ht="80" x14ac:dyDescent="0.2">
      <c r="A37" s="8" t="s">
        <v>315</v>
      </c>
      <c r="B37" s="4" t="str">
        <f t="shared" si="0"/>
        <v>STATIC ROUTE MISSING THRESHOLD VALUE</v>
      </c>
      <c r="C37" s="3" t="s">
        <v>337</v>
      </c>
      <c r="D37" s="6" t="s">
        <v>338</v>
      </c>
      <c r="E37" s="6" t="s">
        <v>339</v>
      </c>
      <c r="F37" s="5" t="s">
        <v>340</v>
      </c>
      <c r="G37" t="s">
        <v>341</v>
      </c>
      <c r="H37" t="s">
        <v>342</v>
      </c>
      <c r="I37" s="6" t="s">
        <v>343</v>
      </c>
      <c r="J37" s="5" t="s">
        <v>344</v>
      </c>
      <c r="M37" s="7" t="s">
        <v>346</v>
      </c>
      <c r="N37" t="s">
        <v>345</v>
      </c>
      <c r="O37"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7" s="2" t="str">
        <f>newreqtype!D6</f>
        <v>db-alert-static-route-missing-threshold</v>
      </c>
      <c r="Q37"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w.warehouseshortname='ROM') and requesttypeid=(select rt.requesttypeid from app.requesttype rt where rt.description='db-alert-static-route-missing-threshold');</v>
      </c>
      <c r="R37" t="b">
        <v>0</v>
      </c>
      <c r="S37" t="b">
        <v>0</v>
      </c>
    </row>
    <row r="38" spans="1:19" ht="80" x14ac:dyDescent="0.2">
      <c r="A38" s="8" t="s">
        <v>354</v>
      </c>
      <c r="B38" s="4" t="str">
        <f t="shared" si="0"/>
        <v>STATIC ROUTE MISSING THRESHOLD VALUE</v>
      </c>
      <c r="C38" s="3" t="s">
        <v>337</v>
      </c>
      <c r="D38" s="6" t="s">
        <v>338</v>
      </c>
      <c r="E38" s="6" t="s">
        <v>339</v>
      </c>
      <c r="F38" s="5" t="s">
        <v>340</v>
      </c>
      <c r="G38" t="s">
        <v>341</v>
      </c>
      <c r="H38" t="s">
        <v>342</v>
      </c>
      <c r="I38" s="6" t="s">
        <v>343</v>
      </c>
      <c r="J38" s="5" t="s">
        <v>344</v>
      </c>
      <c r="M38" s="7" t="s">
        <v>346</v>
      </c>
      <c r="N38" t="s">
        <v>345</v>
      </c>
      <c r="O38"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38" s="2" t="str">
        <f>newreqtype!D6</f>
        <v>db-alert-static-route-missing-threshold</v>
      </c>
      <c r="Q38"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w.warehouseshortname='RVR') and requesttypeid=(select rt.requesttypeid from app.requesttype rt where rt.description='db-alert-static-route-missing-threshold');</v>
      </c>
      <c r="R38" t="b">
        <v>0</v>
      </c>
      <c r="S38" t="b">
        <v>0</v>
      </c>
    </row>
    <row r="39" spans="1:19" ht="96" x14ac:dyDescent="0.2">
      <c r="A39" s="8" t="s">
        <v>316</v>
      </c>
      <c r="B39" s="4" t="str">
        <f t="shared" si="0"/>
        <v>STATIC ROUTE MISSING THRESHOLD VALUE</v>
      </c>
      <c r="C39" s="3" t="s">
        <v>337</v>
      </c>
      <c r="D39" s="6" t="s">
        <v>338</v>
      </c>
      <c r="E39" s="6" t="s">
        <v>339</v>
      </c>
      <c r="F39" s="5" t="s">
        <v>340</v>
      </c>
      <c r="G39" t="s">
        <v>341</v>
      </c>
      <c r="H39" t="s">
        <v>347</v>
      </c>
      <c r="I39" s="6" t="s">
        <v>343</v>
      </c>
      <c r="J39" s="5" t="s">
        <v>355</v>
      </c>
      <c r="K39" s="6" t="s">
        <v>349</v>
      </c>
      <c r="M39" s="7" t="s">
        <v>346</v>
      </c>
      <c r="N39" t="s">
        <v>345</v>
      </c>
      <c r="O39" t="str">
        <f t="shared" si="1"/>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39" s="2" t="str">
        <f>newreqtype!D6</f>
        <v>db-alert-static-route-missing-threshold</v>
      </c>
      <c r="Q39"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"toEmail":"Travis.Eldridge@rndc-usa.com,joseph.duran@rndc-usa.com,travis.gusler@rndc-usa.com,christopher.gonzales@rndc-usa.com,Larry.Shelton@RNDC-USA.COM, Octavio.Chavez@RNDC-USA.COM, kameron.phipps@rndc-usa.com,",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w.warehouseshortname='SAA') and requesttypeid=(select rt.requesttypeid from app.requesttype rt where rt.description='db-alert-static-route-missing-threshold');</v>
      </c>
      <c r="R39" t="b">
        <v>1</v>
      </c>
      <c r="S39" t="b">
        <v>1</v>
      </c>
    </row>
    <row r="40" spans="1:19" ht="80" x14ac:dyDescent="0.2">
      <c r="A40" s="8" t="s">
        <v>317</v>
      </c>
      <c r="B40" s="4" t="str">
        <f t="shared" si="0"/>
        <v>STATIC ROUTE MISSING THRESHOLD VALUE</v>
      </c>
      <c r="C40" s="3" t="s">
        <v>337</v>
      </c>
      <c r="D40" s="6" t="s">
        <v>338</v>
      </c>
      <c r="E40" s="6" t="s">
        <v>339</v>
      </c>
      <c r="F40" s="5" t="s">
        <v>340</v>
      </c>
      <c r="G40" t="s">
        <v>341</v>
      </c>
      <c r="H40" t="s">
        <v>342</v>
      </c>
      <c r="I40" s="6" t="s">
        <v>343</v>
      </c>
      <c r="J40" s="5" t="s">
        <v>344</v>
      </c>
      <c r="M40" s="7" t="s">
        <v>346</v>
      </c>
      <c r="N40" t="s">
        <v>345</v>
      </c>
      <c r="O40"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0" s="2" t="str">
        <f>newreqtype!D6</f>
        <v>db-alert-static-route-missing-threshold</v>
      </c>
      <c r="Q40"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w.warehouseshortname='SIO') and requesttypeid=(select rt.requesttypeid from app.requesttype rt where rt.description='db-alert-static-route-missing-threshold');</v>
      </c>
      <c r="R40" t="b">
        <v>0</v>
      </c>
      <c r="S40" t="b">
        <v>0</v>
      </c>
    </row>
    <row r="41" spans="1:19" ht="80" x14ac:dyDescent="0.2">
      <c r="A41" s="8" t="s">
        <v>318</v>
      </c>
      <c r="B41" s="4" t="str">
        <f t="shared" si="0"/>
        <v>STATIC ROUTE MISSING THRESHOLD VALUE</v>
      </c>
      <c r="C41" s="3" t="s">
        <v>337</v>
      </c>
      <c r="D41" s="6" t="s">
        <v>338</v>
      </c>
      <c r="E41" s="6" t="s">
        <v>339</v>
      </c>
      <c r="F41" s="5" t="s">
        <v>340</v>
      </c>
      <c r="G41" t="s">
        <v>341</v>
      </c>
      <c r="H41" t="s">
        <v>342</v>
      </c>
      <c r="I41" s="6" t="s">
        <v>343</v>
      </c>
      <c r="J41" s="5" t="s">
        <v>344</v>
      </c>
      <c r="M41" s="7" t="s">
        <v>346</v>
      </c>
      <c r="N41" t="s">
        <v>345</v>
      </c>
      <c r="O41"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1" s="2" t="str">
        <f>newreqtype!D6</f>
        <v>db-alert-static-route-missing-threshold</v>
      </c>
      <c r="Q41"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w.warehouseshortname='TAM') and requesttypeid=(select rt.requesttypeid from app.requesttype rt where rt.description='db-alert-static-route-missing-threshold');</v>
      </c>
      <c r="R41" t="b">
        <v>0</v>
      </c>
      <c r="S41" t="b">
        <v>0</v>
      </c>
    </row>
    <row r="42" spans="1:19" ht="80" x14ac:dyDescent="0.2">
      <c r="A42" s="8" t="s">
        <v>319</v>
      </c>
      <c r="B42" s="4" t="str">
        <f t="shared" si="0"/>
        <v>STATIC ROUTE MISSING THRESHOLD VALUE</v>
      </c>
      <c r="C42" s="3" t="s">
        <v>337</v>
      </c>
      <c r="D42" s="6" t="s">
        <v>338</v>
      </c>
      <c r="E42" s="6" t="s">
        <v>339</v>
      </c>
      <c r="F42" s="5" t="s">
        <v>340</v>
      </c>
      <c r="G42" t="s">
        <v>341</v>
      </c>
      <c r="H42" t="s">
        <v>342</v>
      </c>
      <c r="I42" s="6" t="s">
        <v>343</v>
      </c>
      <c r="J42" s="5" t="s">
        <v>344</v>
      </c>
      <c r="M42" s="7" t="s">
        <v>346</v>
      </c>
      <c r="N42" t="s">
        <v>345</v>
      </c>
      <c r="O42" t="str">
        <f t="shared" si="1"/>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2" s="2" t="str">
        <f>newreqtype!D6</f>
        <v>db-alert-static-route-missing-threshold</v>
      </c>
      <c r="Q42"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w.warehouseshortname='TOL') and requesttypeid=(select rt.requesttypeid from app.requesttype rt where rt.description='db-alert-static-route-missing-threshold');</v>
      </c>
      <c r="R42" t="b">
        <v>0</v>
      </c>
      <c r="S42" t="b">
        <v>0</v>
      </c>
    </row>
    <row r="43" spans="1:19" ht="80" x14ac:dyDescent="0.2">
      <c r="A43" s="8" t="s">
        <v>356</v>
      </c>
      <c r="B43" s="4" t="str">
        <f t="shared" si="0"/>
        <v>STATIC ROUTE MISSING THRESHOLD VALUE</v>
      </c>
      <c r="C43" s="3" t="s">
        <v>337</v>
      </c>
      <c r="D43" s="6" t="s">
        <v>338</v>
      </c>
      <c r="E43" s="6" t="s">
        <v>339</v>
      </c>
      <c r="F43" s="5" t="s">
        <v>340</v>
      </c>
      <c r="G43" t="s">
        <v>341</v>
      </c>
      <c r="H43" t="s">
        <v>342</v>
      </c>
      <c r="I43" s="6" t="s">
        <v>343</v>
      </c>
      <c r="J43" s="5" t="s">
        <v>344</v>
      </c>
      <c r="M43" s="7" t="s">
        <v>346</v>
      </c>
      <c r="N43" t="s">
        <v>345</v>
      </c>
      <c r="O43" t="str">
        <f>"{
    ""alertName"":""" &amp;B43&amp; """,
    ""dataSource"":""" &amp;C43&amp;""",
    ""database"":{
        ""connection"":""" &amp;D43&amp; """,
        ""type"":""" &amp;E43&amp; """,
        ""uri"":""" &amp;F43&amp; """
    },
    ""email"":{
        ""subject"":""" &amp;G43&amp; """,
        ""body"":""" &amp;H43&amp; """,
        ""fromEmail"":""" &amp;I43&amp; """,
        ""toEmail"":""" &amp;J43&amp; """,
        ""ccEmail"":""" &amp;K43&amp; """,
        ""footer"":""" &amp;L43&amp; """,
        ""attachment"":" &amp;M43&amp; "
    },
    ""sql"":""" &amp;N43&amp; """
}"</f>
        <v>{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v>
      </c>
      <c r="P43" s="2" t="str">
        <f>newreqtype!D6</f>
        <v>db-alert-static-route-missing-threshold</v>
      </c>
      <c r="Q43" t="str">
        <f>"update app.warehouselocationdetail set payload = '" &amp; O43 &amp; "' where warehouseid = (select w.warehouseid from app.warehouselocation w where w.warehouseshortname='"&amp;A43&amp;"') and requesttypeid=(select rt.requesttypeid from app.requesttype rt where rt.description='"&amp;P43&amp; "');"</f>
        <v>update app.warehouselocationdetail set payload = '{
    "alertName":"STATIC ROUTE MISSING THRESHOLD VALUE",
    "dataSource":"MAWM",
    "database":{
        "connection":"MAPRD_NEW",
        "type":"MySQL",
        "uri":"jdbc:{host}:{port}/information_schema"
    },
    "email":{
        "subject":"Splunk Alert: $alertName$",
        "body":"&lt;pre&gt;The alert condition for ''$name$'' was triggered.&lt;/pre&gt;",
        "fromEmail":"wms-tools-noreply@rndc-usa.com",
        "toEmail":"wmsinternal@RNDC-USA.COM, WMSMSPSupport@RNDC-USA.COM",
        "ccEmail":"",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w.warehouseshortname='TRN') and requesttypeid=(select rt.requesttypeid from app.requesttype rt where rt.description='db-alert-static-route-missing-threshold');</v>
      </c>
      <c r="R43" t="b">
        <v>0</v>
      </c>
      <c r="S43" t="b">
        <v>0</v>
      </c>
    </row>
    <row r="44" spans="1:19" ht="96" x14ac:dyDescent="0.2">
      <c r="A44" s="8" t="s">
        <v>320</v>
      </c>
      <c r="B44" s="4" t="str">
        <f t="shared" si="0"/>
        <v>STATIC ROUTE MISSING THRESHOLD VALUE</v>
      </c>
      <c r="C44" s="3" t="s">
        <v>337</v>
      </c>
      <c r="D44" s="6" t="s">
        <v>338</v>
      </c>
      <c r="E44" s="6" t="s">
        <v>339</v>
      </c>
      <c r="F44" s="5" t="s">
        <v>340</v>
      </c>
      <c r="G44" t="s">
        <v>341</v>
      </c>
      <c r="H44" t="s">
        <v>347</v>
      </c>
      <c r="I44" s="6" t="s">
        <v>343</v>
      </c>
      <c r="J44" s="5" t="s">
        <v>357</v>
      </c>
      <c r="K44" s="6" t="s">
        <v>349</v>
      </c>
      <c r="M44" s="7" t="s">
        <v>346</v>
      </c>
      <c r="N44" t="s">
        <v>345</v>
      </c>
      <c r="O44" t="str">
        <f>"{
    ""alertName"":""" &amp;B44&amp; """,
    ""dataSource"":""" &amp;C44&amp;""",
    ""database"":{
        ""connection"":""" &amp;D44&amp; """,
        ""type"":""" &amp;E44&amp; """,
        ""uri"":""" &amp;F44&amp; """
    },
    ""email"":{
        ""subject"":""" &amp;G44&amp; """,
        ""body"":""" &amp;H44&amp; """,
        ""fromEmail"":""" &amp;I44&amp; """,
        ""toEmail"":""" &amp;J44&amp; """,
        ""ccEmail"":""" &amp;K44&amp; """,
        ""footer"":""" &amp;L44&amp; """,
        ""attachment"":" &amp;M44&amp; "
    },
    ""sql"":""" &amp;N44&amp; """
}"</f>
        <v>{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v>
      </c>
      <c r="P44" s="2" t="str">
        <f>newreqtype!D6</f>
        <v>db-alert-static-route-missing-threshold</v>
      </c>
      <c r="Q44" t="str">
        <f t="shared" si="2"/>
        <v>update app.warehouselocationdetail set payload = '{
    "alertName":"STATIC ROUTE MISSING THRESHOLD VALUE",
    "dataSource":"MAWM",
    "database":{
        "connection":"MAPRD_NEW",
        "type":"MySQL",
        "uri":"jdbc:{host}:{port}/information_schema"
    },
    "email":{
        "subject":"Splunk Alert: $alertName$",
        "body":"&lt;pre&gt;The alert condition for ''$name$'' was triggered.&lt;br /&gt;&lt;br /&gt;***MSP TO CLEAN UP***&lt;br /&gt;Configure the necessary values in the Static Route UI&lt;/pre&gt;",
        "fromEmail":"wms-tools-noreply@rndc-usa.com",
        "toEmail":"demetrius.dever@rndc-usa.com,Michael.Clark@RNDC-USA.com,clarence.hall@rndc-usa.com,brian.bowen@rndc-usa.com,barbara.jackson@rndc-usa.com,rodney.williams@rndc-usa.com",
        "ccEmail":"wmsinternal@rndc-usa.com, wmsconsultant@rndc-usa.com, WMSMSPSupport@RNDC-USA.COM",
        "footer":"",
        "attachment":["link-to-alert","link-to-results", "inline-table"]
    },
    "sql":"SELECT Substr(profile_id, 1, 3) ''WHSE'', static_route_id, ext_threshold ''THRESHOLD_VALUE'' FROM default_routing.RTG_STATIC_ROUTE WHERE ext_threshold IS NULL AND profile_id = ''$orgId_Org_Profile'' "
}' where warehouseid = (select w.warehouseid from app.warehouselocation w where w.warehouseshortname='WSD') and requesttypeid=(select rt.requesttypeid from app.requesttype rt where rt.description='db-alert-static-route-missing-threshold');</v>
      </c>
      <c r="R44" t="b">
        <v>1</v>
      </c>
      <c r="S44" t="b">
        <v>1</v>
      </c>
    </row>
    <row r="45" spans="1:19" x14ac:dyDescent="0.2">
      <c r="A45" t="s">
        <v>276</v>
      </c>
      <c r="B45" t="s">
        <v>70</v>
      </c>
      <c r="C45" t="s">
        <v>337</v>
      </c>
      <c r="D45" s="14" t="s">
        <v>338</v>
      </c>
      <c r="E45" s="14" t="s">
        <v>339</v>
      </c>
      <c r="F45" s="5" t="s">
        <v>340</v>
      </c>
      <c r="G45" s="14" t="s">
        <v>358</v>
      </c>
    </row>
    <row r="46" spans="1:19" x14ac:dyDescent="0.2">
      <c r="A46" t="s">
        <v>284</v>
      </c>
      <c r="B46" t="str">
        <f t="shared" ref="B46:B87" si="3">B45</f>
        <v>STATIC ROUTE UI MISSING DFLT VALUE</v>
      </c>
      <c r="C46" t="s">
        <v>337</v>
      </c>
      <c r="D46" s="14" t="s">
        <v>338</v>
      </c>
      <c r="E46" s="14" t="s">
        <v>339</v>
      </c>
      <c r="F46" s="5" t="s">
        <v>340</v>
      </c>
      <c r="G46" s="14" t="s">
        <v>358</v>
      </c>
    </row>
    <row r="47" spans="1:19" ht="16" x14ac:dyDescent="0.2">
      <c r="A47" s="3" t="s">
        <v>285</v>
      </c>
      <c r="B47" t="str">
        <f t="shared" si="3"/>
        <v>STATIC ROUTE UI MISSING DFLT VALUE</v>
      </c>
      <c r="C47" t="s">
        <v>337</v>
      </c>
      <c r="D47" s="14" t="s">
        <v>338</v>
      </c>
      <c r="E47" s="14" t="s">
        <v>339</v>
      </c>
      <c r="F47" s="5" t="s">
        <v>340</v>
      </c>
      <c r="G47" s="14" t="s">
        <v>358</v>
      </c>
    </row>
    <row r="48" spans="1:19" ht="16" x14ac:dyDescent="0.2">
      <c r="A48" s="11" t="s">
        <v>286</v>
      </c>
      <c r="B48" t="str">
        <f t="shared" si="3"/>
        <v>STATIC ROUTE UI MISSING DFLT VALUE</v>
      </c>
      <c r="C48" t="s">
        <v>337</v>
      </c>
      <c r="D48" s="14" t="s">
        <v>338</v>
      </c>
      <c r="E48" s="14" t="s">
        <v>339</v>
      </c>
      <c r="F48" s="5" t="s">
        <v>340</v>
      </c>
      <c r="G48" s="14" t="s">
        <v>358</v>
      </c>
    </row>
    <row r="49" spans="1:7" ht="16" x14ac:dyDescent="0.2">
      <c r="A49" s="11" t="s">
        <v>287</v>
      </c>
      <c r="B49" t="str">
        <f t="shared" si="3"/>
        <v>STATIC ROUTE UI MISSING DFLT VALUE</v>
      </c>
      <c r="C49" t="s">
        <v>337</v>
      </c>
      <c r="D49" s="14" t="s">
        <v>338</v>
      </c>
      <c r="E49" s="14" t="s">
        <v>339</v>
      </c>
      <c r="F49" s="5" t="s">
        <v>340</v>
      </c>
      <c r="G49" s="14" t="s">
        <v>358</v>
      </c>
    </row>
    <row r="50" spans="1:7" ht="16" x14ac:dyDescent="0.2">
      <c r="A50" s="11" t="s">
        <v>350</v>
      </c>
      <c r="B50" t="str">
        <f t="shared" si="3"/>
        <v>STATIC ROUTE UI MISSING DFLT VALUE</v>
      </c>
      <c r="C50" t="s">
        <v>337</v>
      </c>
      <c r="D50" s="14" t="s">
        <v>338</v>
      </c>
      <c r="E50" s="14" t="s">
        <v>339</v>
      </c>
      <c r="F50" s="5" t="s">
        <v>340</v>
      </c>
      <c r="G50" s="14" t="s">
        <v>358</v>
      </c>
    </row>
    <row r="51" spans="1:7" ht="16" x14ac:dyDescent="0.2">
      <c r="A51" s="11" t="s">
        <v>288</v>
      </c>
      <c r="B51" t="str">
        <f t="shared" si="3"/>
        <v>STATIC ROUTE UI MISSING DFLT VALUE</v>
      </c>
      <c r="C51" t="s">
        <v>337</v>
      </c>
      <c r="D51" s="14" t="s">
        <v>338</v>
      </c>
      <c r="E51" s="14" t="s">
        <v>339</v>
      </c>
      <c r="F51" s="5" t="s">
        <v>340</v>
      </c>
      <c r="G51" s="14" t="s">
        <v>358</v>
      </c>
    </row>
    <row r="52" spans="1:7" ht="16" x14ac:dyDescent="0.2">
      <c r="A52" s="11" t="s">
        <v>351</v>
      </c>
      <c r="B52" t="str">
        <f t="shared" si="3"/>
        <v>STATIC ROUTE UI MISSING DFLT VALUE</v>
      </c>
      <c r="C52" t="s">
        <v>337</v>
      </c>
      <c r="D52" s="14" t="s">
        <v>338</v>
      </c>
      <c r="E52" s="14" t="s">
        <v>339</v>
      </c>
      <c r="F52" s="5" t="s">
        <v>340</v>
      </c>
      <c r="G52" s="14" t="s">
        <v>358</v>
      </c>
    </row>
    <row r="53" spans="1:7" ht="16" x14ac:dyDescent="0.2">
      <c r="A53" s="11" t="s">
        <v>289</v>
      </c>
      <c r="B53" t="str">
        <f t="shared" si="3"/>
        <v>STATIC ROUTE UI MISSING DFLT VALUE</v>
      </c>
      <c r="C53" t="s">
        <v>337</v>
      </c>
      <c r="D53" s="14" t="s">
        <v>338</v>
      </c>
      <c r="E53" s="14" t="s">
        <v>339</v>
      </c>
      <c r="F53" s="5" t="s">
        <v>340</v>
      </c>
      <c r="G53" s="14" t="s">
        <v>358</v>
      </c>
    </row>
    <row r="54" spans="1:7" ht="16" x14ac:dyDescent="0.2">
      <c r="A54" s="11" t="s">
        <v>290</v>
      </c>
      <c r="B54" t="str">
        <f t="shared" si="3"/>
        <v>STATIC ROUTE UI MISSING DFLT VALUE</v>
      </c>
      <c r="C54" t="s">
        <v>337</v>
      </c>
      <c r="D54" s="14" t="s">
        <v>338</v>
      </c>
      <c r="E54" s="14" t="s">
        <v>339</v>
      </c>
      <c r="F54" s="5" t="s">
        <v>340</v>
      </c>
      <c r="G54" s="14" t="s">
        <v>358</v>
      </c>
    </row>
    <row r="55" spans="1:7" ht="16" x14ac:dyDescent="0.2">
      <c r="A55" s="11" t="s">
        <v>291</v>
      </c>
      <c r="B55" t="str">
        <f t="shared" si="3"/>
        <v>STATIC ROUTE UI MISSING DFLT VALUE</v>
      </c>
      <c r="C55" t="s">
        <v>337</v>
      </c>
      <c r="D55" s="14" t="s">
        <v>338</v>
      </c>
      <c r="E55" s="14" t="s">
        <v>339</v>
      </c>
      <c r="F55" s="5" t="s">
        <v>340</v>
      </c>
      <c r="G55" s="14" t="s">
        <v>358</v>
      </c>
    </row>
    <row r="56" spans="1:7" ht="16" x14ac:dyDescent="0.2">
      <c r="A56" s="11" t="s">
        <v>292</v>
      </c>
      <c r="B56" t="str">
        <f t="shared" si="3"/>
        <v>STATIC ROUTE UI MISSING DFLT VALUE</v>
      </c>
      <c r="C56" t="s">
        <v>337</v>
      </c>
      <c r="D56" s="14" t="s">
        <v>338</v>
      </c>
      <c r="E56" s="14" t="s">
        <v>339</v>
      </c>
      <c r="F56" s="5" t="s">
        <v>340</v>
      </c>
      <c r="G56" s="14" t="s">
        <v>358</v>
      </c>
    </row>
    <row r="57" spans="1:7" ht="16" x14ac:dyDescent="0.2">
      <c r="A57" s="11" t="s">
        <v>293</v>
      </c>
      <c r="B57" t="str">
        <f t="shared" si="3"/>
        <v>STATIC ROUTE UI MISSING DFLT VALUE</v>
      </c>
      <c r="C57" t="s">
        <v>337</v>
      </c>
      <c r="D57" s="14" t="s">
        <v>338</v>
      </c>
      <c r="E57" s="14" t="s">
        <v>339</v>
      </c>
      <c r="F57" s="5" t="s">
        <v>340</v>
      </c>
      <c r="G57" s="14" t="s">
        <v>358</v>
      </c>
    </row>
    <row r="58" spans="1:7" ht="16" x14ac:dyDescent="0.2">
      <c r="A58" s="11" t="s">
        <v>294</v>
      </c>
      <c r="B58" t="str">
        <f t="shared" si="3"/>
        <v>STATIC ROUTE UI MISSING DFLT VALUE</v>
      </c>
      <c r="C58" t="s">
        <v>337</v>
      </c>
      <c r="D58" s="14" t="s">
        <v>338</v>
      </c>
      <c r="E58" s="14" t="s">
        <v>339</v>
      </c>
      <c r="F58" s="5" t="s">
        <v>340</v>
      </c>
      <c r="G58" s="14" t="s">
        <v>358</v>
      </c>
    </row>
    <row r="59" spans="1:7" ht="16" x14ac:dyDescent="0.2">
      <c r="A59" s="11" t="s">
        <v>295</v>
      </c>
      <c r="B59" t="str">
        <f t="shared" si="3"/>
        <v>STATIC ROUTE UI MISSING DFLT VALUE</v>
      </c>
      <c r="C59" t="s">
        <v>337</v>
      </c>
      <c r="D59" s="14" t="s">
        <v>338</v>
      </c>
      <c r="E59" s="14" t="s">
        <v>339</v>
      </c>
      <c r="F59" s="5" t="s">
        <v>340</v>
      </c>
      <c r="G59" s="14" t="s">
        <v>358</v>
      </c>
    </row>
    <row r="60" spans="1:7" ht="16" x14ac:dyDescent="0.2">
      <c r="A60" s="11" t="s">
        <v>296</v>
      </c>
      <c r="B60" t="str">
        <f t="shared" si="3"/>
        <v>STATIC ROUTE UI MISSING DFLT VALUE</v>
      </c>
      <c r="C60" t="s">
        <v>337</v>
      </c>
      <c r="D60" s="14" t="s">
        <v>338</v>
      </c>
      <c r="E60" s="14" t="s">
        <v>339</v>
      </c>
      <c r="F60" s="5" t="s">
        <v>340</v>
      </c>
      <c r="G60" s="14" t="s">
        <v>358</v>
      </c>
    </row>
    <row r="61" spans="1:7" ht="16" x14ac:dyDescent="0.2">
      <c r="A61" s="11" t="s">
        <v>297</v>
      </c>
      <c r="B61" t="str">
        <f t="shared" si="3"/>
        <v>STATIC ROUTE UI MISSING DFLT VALUE</v>
      </c>
      <c r="C61" t="s">
        <v>337</v>
      </c>
      <c r="D61" s="14" t="s">
        <v>338</v>
      </c>
      <c r="E61" s="14" t="s">
        <v>339</v>
      </c>
      <c r="F61" s="5" t="s">
        <v>340</v>
      </c>
      <c r="G61" s="14" t="s">
        <v>358</v>
      </c>
    </row>
    <row r="62" spans="1:7" ht="16" x14ac:dyDescent="0.2">
      <c r="A62" s="11" t="s">
        <v>298</v>
      </c>
      <c r="B62" t="str">
        <f t="shared" si="3"/>
        <v>STATIC ROUTE UI MISSING DFLT VALUE</v>
      </c>
      <c r="C62" t="s">
        <v>337</v>
      </c>
      <c r="D62" s="14" t="s">
        <v>338</v>
      </c>
      <c r="E62" s="14" t="s">
        <v>339</v>
      </c>
      <c r="F62" s="5" t="s">
        <v>340</v>
      </c>
      <c r="G62" s="14" t="s">
        <v>358</v>
      </c>
    </row>
    <row r="63" spans="1:7" ht="16" x14ac:dyDescent="0.2">
      <c r="A63" s="11" t="s">
        <v>299</v>
      </c>
      <c r="B63" t="str">
        <f t="shared" si="3"/>
        <v>STATIC ROUTE UI MISSING DFLT VALUE</v>
      </c>
      <c r="C63" t="s">
        <v>337</v>
      </c>
      <c r="D63" s="14" t="s">
        <v>338</v>
      </c>
      <c r="E63" s="14" t="s">
        <v>339</v>
      </c>
      <c r="F63" s="5" t="s">
        <v>340</v>
      </c>
      <c r="G63" s="14" t="s">
        <v>358</v>
      </c>
    </row>
    <row r="64" spans="1:7" ht="16" x14ac:dyDescent="0.2">
      <c r="A64" s="11" t="s">
        <v>300</v>
      </c>
      <c r="B64" t="str">
        <f t="shared" si="3"/>
        <v>STATIC ROUTE UI MISSING DFLT VALUE</v>
      </c>
      <c r="C64" t="s">
        <v>337</v>
      </c>
      <c r="D64" s="14" t="s">
        <v>338</v>
      </c>
      <c r="E64" s="14" t="s">
        <v>339</v>
      </c>
      <c r="F64" s="5" t="s">
        <v>340</v>
      </c>
      <c r="G64" s="14" t="s">
        <v>358</v>
      </c>
    </row>
    <row r="65" spans="1:7" ht="16" x14ac:dyDescent="0.2">
      <c r="A65" s="11" t="s">
        <v>301</v>
      </c>
      <c r="B65" t="str">
        <f t="shared" si="3"/>
        <v>STATIC ROUTE UI MISSING DFLT VALUE</v>
      </c>
      <c r="C65" t="s">
        <v>337</v>
      </c>
      <c r="D65" s="14" t="s">
        <v>338</v>
      </c>
      <c r="E65" s="14" t="s">
        <v>339</v>
      </c>
      <c r="F65" s="5" t="s">
        <v>340</v>
      </c>
      <c r="G65" s="14" t="s">
        <v>358</v>
      </c>
    </row>
    <row r="66" spans="1:7" ht="16" x14ac:dyDescent="0.2">
      <c r="A66" s="11" t="s">
        <v>302</v>
      </c>
      <c r="B66" t="str">
        <f t="shared" si="3"/>
        <v>STATIC ROUTE UI MISSING DFLT VALUE</v>
      </c>
      <c r="C66" t="s">
        <v>337</v>
      </c>
      <c r="D66" s="14" t="s">
        <v>338</v>
      </c>
      <c r="E66" s="14" t="s">
        <v>339</v>
      </c>
      <c r="F66" s="5" t="s">
        <v>340</v>
      </c>
      <c r="G66" s="14" t="s">
        <v>358</v>
      </c>
    </row>
    <row r="67" spans="1:7" ht="16" x14ac:dyDescent="0.2">
      <c r="A67" s="11" t="s">
        <v>303</v>
      </c>
      <c r="B67" t="str">
        <f t="shared" si="3"/>
        <v>STATIC ROUTE UI MISSING DFLT VALUE</v>
      </c>
      <c r="C67" t="s">
        <v>337</v>
      </c>
      <c r="D67" s="14" t="s">
        <v>338</v>
      </c>
      <c r="E67" s="14" t="s">
        <v>339</v>
      </c>
      <c r="F67" s="5" t="s">
        <v>340</v>
      </c>
      <c r="G67" s="14" t="s">
        <v>358</v>
      </c>
    </row>
    <row r="68" spans="1:7" ht="16" x14ac:dyDescent="0.2">
      <c r="A68" s="11" t="s">
        <v>304</v>
      </c>
      <c r="B68" t="str">
        <f t="shared" si="3"/>
        <v>STATIC ROUTE UI MISSING DFLT VALUE</v>
      </c>
      <c r="C68" t="s">
        <v>337</v>
      </c>
      <c r="D68" s="14" t="s">
        <v>338</v>
      </c>
      <c r="E68" s="14" t="s">
        <v>339</v>
      </c>
      <c r="F68" s="5" t="s">
        <v>340</v>
      </c>
      <c r="G68" s="14" t="s">
        <v>358</v>
      </c>
    </row>
    <row r="69" spans="1:7" ht="16" x14ac:dyDescent="0.2">
      <c r="A69" s="11" t="s">
        <v>305</v>
      </c>
      <c r="B69" t="str">
        <f t="shared" si="3"/>
        <v>STATIC ROUTE UI MISSING DFLT VALUE</v>
      </c>
      <c r="C69" t="s">
        <v>337</v>
      </c>
      <c r="D69" s="14" t="s">
        <v>338</v>
      </c>
      <c r="E69" s="14" t="s">
        <v>339</v>
      </c>
      <c r="F69" s="5" t="s">
        <v>340</v>
      </c>
      <c r="G69" s="14" t="s">
        <v>358</v>
      </c>
    </row>
    <row r="70" spans="1:7" ht="16" x14ac:dyDescent="0.2">
      <c r="A70" s="11" t="s">
        <v>306</v>
      </c>
      <c r="B70" t="str">
        <f t="shared" si="3"/>
        <v>STATIC ROUTE UI MISSING DFLT VALUE</v>
      </c>
      <c r="C70" t="s">
        <v>337</v>
      </c>
      <c r="D70" s="14" t="s">
        <v>338</v>
      </c>
      <c r="E70" s="14" t="s">
        <v>339</v>
      </c>
      <c r="F70" s="5" t="s">
        <v>340</v>
      </c>
      <c r="G70" s="14" t="s">
        <v>358</v>
      </c>
    </row>
    <row r="71" spans="1:7" ht="16" x14ac:dyDescent="0.2">
      <c r="A71" s="11" t="s">
        <v>307</v>
      </c>
      <c r="B71" t="str">
        <f t="shared" si="3"/>
        <v>STATIC ROUTE UI MISSING DFLT VALUE</v>
      </c>
      <c r="C71" t="s">
        <v>337</v>
      </c>
      <c r="D71" s="14" t="s">
        <v>338</v>
      </c>
      <c r="E71" s="14" t="s">
        <v>339</v>
      </c>
      <c r="F71" s="5" t="s">
        <v>340</v>
      </c>
      <c r="G71" s="14" t="s">
        <v>358</v>
      </c>
    </row>
    <row r="72" spans="1:7" ht="16" x14ac:dyDescent="0.2">
      <c r="A72" s="11" t="s">
        <v>308</v>
      </c>
      <c r="B72" t="str">
        <f t="shared" si="3"/>
        <v>STATIC ROUTE UI MISSING DFLT VALUE</v>
      </c>
      <c r="C72" t="s">
        <v>337</v>
      </c>
      <c r="D72" s="14" t="s">
        <v>338</v>
      </c>
      <c r="E72" s="14" t="s">
        <v>339</v>
      </c>
      <c r="F72" s="5" t="s">
        <v>340</v>
      </c>
      <c r="G72" s="14" t="s">
        <v>358</v>
      </c>
    </row>
    <row r="73" spans="1:7" ht="16" x14ac:dyDescent="0.2">
      <c r="A73" s="11" t="s">
        <v>309</v>
      </c>
      <c r="B73" t="str">
        <f t="shared" si="3"/>
        <v>STATIC ROUTE UI MISSING DFLT VALUE</v>
      </c>
      <c r="C73" t="s">
        <v>337</v>
      </c>
      <c r="D73" s="14" t="s">
        <v>338</v>
      </c>
      <c r="E73" s="14" t="s">
        <v>339</v>
      </c>
      <c r="F73" s="5" t="s">
        <v>340</v>
      </c>
      <c r="G73" s="14" t="s">
        <v>358</v>
      </c>
    </row>
    <row r="74" spans="1:7" ht="16" x14ac:dyDescent="0.2">
      <c r="A74" s="11" t="s">
        <v>310</v>
      </c>
      <c r="B74" t="str">
        <f t="shared" si="3"/>
        <v>STATIC ROUTE UI MISSING DFLT VALUE</v>
      </c>
      <c r="C74" t="s">
        <v>337</v>
      </c>
      <c r="D74" s="14" t="s">
        <v>338</v>
      </c>
      <c r="E74" s="14" t="s">
        <v>339</v>
      </c>
      <c r="F74" s="5" t="s">
        <v>340</v>
      </c>
      <c r="G74" s="14" t="s">
        <v>358</v>
      </c>
    </row>
    <row r="75" spans="1:7" ht="16" x14ac:dyDescent="0.2">
      <c r="A75" s="11" t="s">
        <v>311</v>
      </c>
      <c r="B75" t="str">
        <f t="shared" si="3"/>
        <v>STATIC ROUTE UI MISSING DFLT VALUE</v>
      </c>
      <c r="C75" t="s">
        <v>337</v>
      </c>
      <c r="D75" s="14" t="s">
        <v>338</v>
      </c>
      <c r="E75" s="14" t="s">
        <v>339</v>
      </c>
      <c r="F75" s="5" t="s">
        <v>340</v>
      </c>
      <c r="G75" s="14" t="s">
        <v>358</v>
      </c>
    </row>
    <row r="76" spans="1:7" ht="16" x14ac:dyDescent="0.2">
      <c r="A76" s="11" t="s">
        <v>312</v>
      </c>
      <c r="B76" t="str">
        <f t="shared" si="3"/>
        <v>STATIC ROUTE UI MISSING DFLT VALUE</v>
      </c>
      <c r="C76" t="s">
        <v>337</v>
      </c>
      <c r="D76" s="14" t="s">
        <v>338</v>
      </c>
      <c r="E76" s="14" t="s">
        <v>339</v>
      </c>
      <c r="F76" s="5" t="s">
        <v>340</v>
      </c>
      <c r="G76" s="14" t="s">
        <v>358</v>
      </c>
    </row>
    <row r="77" spans="1:7" ht="16" x14ac:dyDescent="0.2">
      <c r="A77" s="11" t="s">
        <v>313</v>
      </c>
      <c r="B77" t="str">
        <f t="shared" si="3"/>
        <v>STATIC ROUTE UI MISSING DFLT VALUE</v>
      </c>
      <c r="C77" t="s">
        <v>337</v>
      </c>
      <c r="D77" s="14" t="s">
        <v>338</v>
      </c>
      <c r="E77" s="14" t="s">
        <v>339</v>
      </c>
      <c r="F77" s="5" t="s">
        <v>340</v>
      </c>
      <c r="G77" s="14" t="s">
        <v>358</v>
      </c>
    </row>
    <row r="78" spans="1:7" ht="16" x14ac:dyDescent="0.2">
      <c r="A78" s="11" t="s">
        <v>314</v>
      </c>
      <c r="B78" t="str">
        <f t="shared" si="3"/>
        <v>STATIC ROUTE UI MISSING DFLT VALUE</v>
      </c>
      <c r="C78" t="s">
        <v>337</v>
      </c>
      <c r="D78" s="14" t="s">
        <v>338</v>
      </c>
      <c r="E78" s="14" t="s">
        <v>339</v>
      </c>
      <c r="F78" s="5" t="s">
        <v>340</v>
      </c>
      <c r="G78" s="14" t="s">
        <v>358</v>
      </c>
    </row>
    <row r="79" spans="1:7" ht="16" x14ac:dyDescent="0.2">
      <c r="A79" s="11" t="s">
        <v>353</v>
      </c>
      <c r="B79" t="str">
        <f t="shared" si="3"/>
        <v>STATIC ROUTE UI MISSING DFLT VALUE</v>
      </c>
      <c r="C79" t="s">
        <v>337</v>
      </c>
      <c r="D79" s="14" t="s">
        <v>338</v>
      </c>
      <c r="E79" s="14" t="s">
        <v>339</v>
      </c>
      <c r="F79" s="5" t="s">
        <v>340</v>
      </c>
      <c r="G79" s="14" t="s">
        <v>358</v>
      </c>
    </row>
    <row r="80" spans="1:7" ht="16" x14ac:dyDescent="0.2">
      <c r="A80" s="11" t="s">
        <v>315</v>
      </c>
      <c r="B80" t="str">
        <f t="shared" si="3"/>
        <v>STATIC ROUTE UI MISSING DFLT VALUE</v>
      </c>
      <c r="C80" t="s">
        <v>337</v>
      </c>
      <c r="D80" s="14" t="s">
        <v>338</v>
      </c>
      <c r="E80" s="14" t="s">
        <v>339</v>
      </c>
      <c r="F80" s="5" t="s">
        <v>340</v>
      </c>
      <c r="G80" s="14" t="s">
        <v>358</v>
      </c>
    </row>
    <row r="81" spans="1:7" ht="16" x14ac:dyDescent="0.2">
      <c r="A81" s="11" t="s">
        <v>354</v>
      </c>
      <c r="B81" t="str">
        <f t="shared" si="3"/>
        <v>STATIC ROUTE UI MISSING DFLT VALUE</v>
      </c>
      <c r="C81" t="s">
        <v>337</v>
      </c>
      <c r="D81" s="14" t="s">
        <v>338</v>
      </c>
      <c r="E81" s="14" t="s">
        <v>339</v>
      </c>
      <c r="F81" s="5" t="s">
        <v>340</v>
      </c>
      <c r="G81" s="14" t="s">
        <v>358</v>
      </c>
    </row>
    <row r="82" spans="1:7" ht="16" x14ac:dyDescent="0.2">
      <c r="A82" s="11" t="s">
        <v>316</v>
      </c>
      <c r="B82" t="str">
        <f t="shared" si="3"/>
        <v>STATIC ROUTE UI MISSING DFLT VALUE</v>
      </c>
      <c r="C82" t="s">
        <v>337</v>
      </c>
      <c r="D82" s="14" t="s">
        <v>338</v>
      </c>
      <c r="E82" s="14" t="s">
        <v>339</v>
      </c>
      <c r="F82" s="5" t="s">
        <v>340</v>
      </c>
      <c r="G82" s="14" t="s">
        <v>358</v>
      </c>
    </row>
    <row r="83" spans="1:7" ht="16" x14ac:dyDescent="0.2">
      <c r="A83" s="11" t="s">
        <v>317</v>
      </c>
      <c r="B83" t="str">
        <f t="shared" si="3"/>
        <v>STATIC ROUTE UI MISSING DFLT VALUE</v>
      </c>
      <c r="C83" t="s">
        <v>337</v>
      </c>
      <c r="D83" s="14" t="s">
        <v>338</v>
      </c>
      <c r="E83" s="14" t="s">
        <v>339</v>
      </c>
      <c r="F83" s="5" t="s">
        <v>340</v>
      </c>
      <c r="G83" s="14" t="s">
        <v>358</v>
      </c>
    </row>
    <row r="84" spans="1:7" ht="16" x14ac:dyDescent="0.2">
      <c r="A84" s="11" t="s">
        <v>318</v>
      </c>
      <c r="B84" t="str">
        <f t="shared" si="3"/>
        <v>STATIC ROUTE UI MISSING DFLT VALUE</v>
      </c>
      <c r="C84" t="s">
        <v>337</v>
      </c>
      <c r="D84" s="14" t="s">
        <v>338</v>
      </c>
      <c r="E84" s="14" t="s">
        <v>339</v>
      </c>
      <c r="F84" s="5" t="s">
        <v>340</v>
      </c>
      <c r="G84" s="14" t="s">
        <v>358</v>
      </c>
    </row>
    <row r="85" spans="1:7" ht="16" x14ac:dyDescent="0.2">
      <c r="A85" s="11" t="s">
        <v>319</v>
      </c>
      <c r="B85" t="str">
        <f t="shared" si="3"/>
        <v>STATIC ROUTE UI MISSING DFLT VALUE</v>
      </c>
      <c r="C85" t="s">
        <v>337</v>
      </c>
      <c r="D85" s="14" t="s">
        <v>338</v>
      </c>
      <c r="E85" s="14" t="s">
        <v>339</v>
      </c>
      <c r="F85" s="5" t="s">
        <v>340</v>
      </c>
      <c r="G85" s="14" t="s">
        <v>358</v>
      </c>
    </row>
    <row r="86" spans="1:7" ht="16" x14ac:dyDescent="0.2">
      <c r="A86" s="11" t="s">
        <v>356</v>
      </c>
      <c r="B86" t="str">
        <f t="shared" si="3"/>
        <v>STATIC ROUTE UI MISSING DFLT VALUE</v>
      </c>
      <c r="C86" t="s">
        <v>337</v>
      </c>
      <c r="D86" s="14" t="s">
        <v>338</v>
      </c>
      <c r="E86" s="14" t="s">
        <v>339</v>
      </c>
      <c r="F86" s="5" t="s">
        <v>340</v>
      </c>
      <c r="G86" s="14" t="s">
        <v>358</v>
      </c>
    </row>
    <row r="87" spans="1:7" ht="16" x14ac:dyDescent="0.2">
      <c r="A87" s="11" t="s">
        <v>320</v>
      </c>
      <c r="B87" t="str">
        <f t="shared" si="3"/>
        <v>STATIC ROUTE UI MISSING DFLT VALUE</v>
      </c>
      <c r="C87" t="s">
        <v>337</v>
      </c>
      <c r="D87" s="14" t="s">
        <v>338</v>
      </c>
      <c r="E87" s="14" t="s">
        <v>339</v>
      </c>
      <c r="F87" s="5" t="s">
        <v>340</v>
      </c>
      <c r="G87" s="14" t="s">
        <v>358</v>
      </c>
    </row>
  </sheetData>
  <hyperlinks>
    <hyperlink ref="I4" r:id="rId1" xr:uid="{0C67993F-8383-4FF9-B58A-096592BC8282}"/>
    <hyperlink ref="J4" r:id="rId2" xr:uid="{4133C6FC-1FF7-4A9C-99AF-DE8F2159E49B}"/>
    <hyperlink ref="K4" r:id="rId3" xr:uid="{5D771A55-7763-4F6C-909D-7098BA376AC1}"/>
    <hyperlink ref="I2" r:id="rId4" xr:uid="{56428242-3366-4DA4-A9F5-38AA47667BC7}"/>
    <hyperlink ref="I3" r:id="rId5" xr:uid="{ED6969BD-A34B-4661-8D12-64FB00282A54}"/>
    <hyperlink ref="I5:I44" r:id="rId6" display="wms-tools-noreply@rndc-usa.com" xr:uid="{6E3C7661-E402-4817-8310-1211CB401D40}"/>
    <hyperlink ref="J35" r:id="rId7" xr:uid="{EA89353F-C1B3-4877-B3E6-F0BC019FC54F}"/>
    <hyperlink ref="J39" r:id="rId8" xr:uid="{67745CE7-B27C-4800-ACD3-C529F203834B}"/>
    <hyperlink ref="K39" r:id="rId9" xr:uid="{47C9AE94-7ED1-48BE-B0F7-BB03AB0664B9}"/>
    <hyperlink ref="K44" r:id="rId10" xr:uid="{3D928F70-B45F-4B13-A224-E182D13463CA}"/>
    <hyperlink ref="J44" r:id="rId11" xr:uid="{66C1E611-1994-4AA8-9535-A8A7938B4D2B}"/>
    <hyperlink ref="K33" r:id="rId12" xr:uid="{5F2575D2-B9DA-468D-94DC-36F1B327C335}"/>
    <hyperlink ref="J33" r:id="rId13" xr:uid="{4634F1D9-8E29-4A43-8554-FCBD21023314}"/>
    <hyperlink ref="J34" r:id="rId14" xr:uid="{6697AE33-1202-46FE-A5CF-73A59D564DAD}"/>
    <hyperlink ref="J5:J32" r:id="rId15" display="wmsinternal@RNDC-USA.COM, WMSMSPSupport@RNDC-USA.COM" xr:uid="{93F26D77-F921-41CD-B554-CD79788DCDA1}"/>
    <hyperlink ref="J3" r:id="rId16" xr:uid="{D98BED6D-BC19-47EE-B0B5-A052F0241AA9}"/>
    <hyperlink ref="J2" r:id="rId17" xr:uid="{2F86F590-1814-4D55-9DD2-7D93A9EAB2C9}"/>
    <hyperlink ref="J36:J38" r:id="rId18" display="wmsinternal@RNDC-USA.COM, WMSMSPSupport@RNDC-USA.COM" xr:uid="{CA7FD4C7-4DEE-4B06-8A82-344BF286AA71}"/>
    <hyperlink ref="J40:J43" r:id="rId19" display="wmsinternal@RNDC-USA.COM, WMSMSPSupport@RNDC-USA.COM" xr:uid="{D1268F9E-3CBE-4B0A-9C6D-D077F1C45E2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46D5-4CB0-4AEE-BEFA-86B8E8C77356}">
  <dimension ref="A1:E173"/>
  <sheetViews>
    <sheetView zoomScale="214" zoomScaleNormal="214" workbookViewId="0">
      <pane xSplit="2" ySplit="1" topLeftCell="D2" activePane="bottomRight" state="frozen"/>
      <selection pane="topRight" activeCell="C1" sqref="C1"/>
      <selection pane="bottomLeft" activeCell="A2" sqref="A2"/>
      <selection pane="bottomRight" activeCell="B3" sqref="B3"/>
    </sheetView>
  </sheetViews>
  <sheetFormatPr baseColWidth="10" defaultColWidth="8.83203125" defaultRowHeight="15" x14ac:dyDescent="0.2"/>
  <cols>
    <col min="2" max="2" width="28.33203125" customWidth="1"/>
    <col min="3" max="3" width="105.5" customWidth="1"/>
    <col min="4" max="4" width="75.6640625" customWidth="1"/>
  </cols>
  <sheetData>
    <row r="1" spans="1:5" x14ac:dyDescent="0.2">
      <c r="A1" t="s">
        <v>262</v>
      </c>
      <c r="B1" t="s">
        <v>359</v>
      </c>
      <c r="C1" t="s">
        <v>274</v>
      </c>
      <c r="D1" t="s">
        <v>360</v>
      </c>
    </row>
    <row r="2" spans="1:5" x14ac:dyDescent="0.2">
      <c r="A2" t="s">
        <v>276</v>
      </c>
      <c r="B2" t="s">
        <v>361</v>
      </c>
      <c r="C2" s="1" t="s">
        <v>362</v>
      </c>
      <c r="D2" t="str">
        <f>"select '" &amp; B2 &amp; "' description, '" &amp; B2 &amp; "' longdescription, w.warehouseid, rt.requesttypeid, '" &amp; C2 &amp; "' payload from app.requesttype rt, app.warehouselocation w  where rt.description = '" &amp; B2 &amp; "' and w.warehouseshortname = '" &amp; A2 &amp; "'"
&amp; " and not exists (select 1 from app.warehouselocationdetail d, app.warehouselocation w2, app.requesttype rt2 where d.warehouseid = w2.warehouseid and d.requesttypeid = rt2.requesttypeid and w2.warehouseshortname = '" &amp; A2 &amp; "' and rt2.description = '" &amp; B2 &amp; "')"</f>
        <v>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c r="E2" t="str">
        <f>$D$1 &amp; " " &amp; D2</f>
        <v>insert into app.warehouselocationdetail(description, longdescription, warehouseid, requesttypeid, payload)  select 'db-alert-lia-pack-uom' description, 'db-alert-lia-pack-uom' longdescription,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payload from app.requesttype rt, app.warehouselocation w  where rt.description = 'db-alert-lia-pack-uom' and w.warehouseshortname = 'ABQ' and not exists (select 1 from app.warehouselocationdetail d, app.warehouselocation w2, app.requesttype rt2 where d.warehouseid = w2.warehouseid and d.requesttypeid = rt2.requesttypeid and w2.warehouseshortname = 'ABQ' and rt2.description = 'db-alert-lia-pack-uom')</v>
      </c>
    </row>
    <row r="3" spans="1:5" x14ac:dyDescent="0.2">
      <c r="A3" t="s">
        <v>276</v>
      </c>
      <c r="B3" t="s">
        <v>363</v>
      </c>
      <c r="C3" s="1" t="s">
        <v>364</v>
      </c>
      <c r="D3" t="str">
        <f t="shared" ref="D3:D66" si="0">"select '" &amp; B3 &amp; "', '" &amp; B3 &amp; "', w.warehouseid, rt.requesttypeid, '" &amp; C3 &amp; "' from app.requesttype rt, app.warehouselocation w  where rt.description = '" &amp; B3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B3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c r="E3" t="str">
        <f>$D$1 &amp; " " &amp; D3</f>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'ABQ' and not exists (select 1 from app.warehouselocationdetail d, app.warehouselocation w2, app.requesttype rt2 where d.warehouseid = w2.warehouseid and d.requesttypeid = rt2.requesttypeid and w2.warehouseshortname = 'ABQ' and rt2.description = 'fs-asw-asn-error')</v>
      </c>
    </row>
    <row r="4" spans="1:5" x14ac:dyDescent="0.2">
      <c r="A4" t="s">
        <v>276</v>
      </c>
      <c r="B4" t="s">
        <v>365</v>
      </c>
      <c r="C4" t="s">
        <v>366</v>
      </c>
      <c r="D4" t="str">
        <f>"select '" &amp; B4 &amp; "' description, '" &amp; B4 &amp; "' longdescription, w.warehouseid, rt.requesttypeid, '" &amp; C4 &amp; "' from app.requesttype rt, app.warehouselocation w  where rt.description = '" &amp; B4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B4 &amp; "')"</f>
        <v>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c r="E4" t="str">
        <f t="shared" ref="E4:E67" si="1">$D$1 &amp; " " &amp; D4</f>
        <v>insert into app.warehouselocationdetail(description, longdescription, warehouseid, requesttypeid, payload)  select 'tms-scheduled-scripts' description, 'tms-scheduled-scripts' longdescription, w.warehouseid, rt.requesttypeid, 'null' from app.requesttype rt, app.warehouselocation w  where rt.description = 'tms-scheduled-scripts' and w.warehouseshortname = 'ABQ' and not exists (select 1 from app.warehouselocationdetail d, app.warehouselocation w2, app.requesttype rt2 where d.warehouseid = w2.warehouseid and d.requesttypeid = rt2.requesttypeid and w2.warehouseshortname = 'ABQ' and rt2.description = 'tms-scheduled-scripts')</v>
      </c>
    </row>
    <row r="5" spans="1:5" x14ac:dyDescent="0.2">
      <c r="A5" t="s">
        <v>276</v>
      </c>
      <c r="B5" t="s">
        <v>367</v>
      </c>
      <c r="C5" s="1" t="s">
        <v>368</v>
      </c>
      <c r="D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c r="E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'ABQ' and not exists (select 1 from app.warehouselocationdetail d, app.warehouselocation w2, app.requesttype rt2 where d.warehouseid = w2.warehouseid and d.requesttypeid = rt2.requesttypeid and w2.warehouseshortname = 'ABQ' and rt2.description = 'will-call-alert')</v>
      </c>
    </row>
    <row r="6" spans="1:5" x14ac:dyDescent="0.2">
      <c r="A6" t="s">
        <v>284</v>
      </c>
      <c r="B6" t="s">
        <v>361</v>
      </c>
      <c r="C6" s="1" t="s">
        <v>362</v>
      </c>
      <c r="D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E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7" spans="1:5" x14ac:dyDescent="0.2">
      <c r="A7" t="s">
        <v>284</v>
      </c>
      <c r="B7" t="s">
        <v>363</v>
      </c>
      <c r="C7" s="1" t="s">
        <v>364</v>
      </c>
      <c r="D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c r="E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'ARK' and not exists (select 1 from app.warehouselocationdetail d, app.warehouselocation w2, app.requesttype rt2 where d.warehouseid = w2.warehouseid and d.requesttypeid = rt2.requesttypeid and w2.warehouseshortname = 'ARK' and rt2.description = 'fs-asw-asn-error')</v>
      </c>
    </row>
    <row r="8" spans="1:5" x14ac:dyDescent="0.2">
      <c r="A8" t="s">
        <v>284</v>
      </c>
      <c r="B8" t="s">
        <v>365</v>
      </c>
      <c r="C8" t="s">
        <v>366</v>
      </c>
      <c r="D8" t="str">
        <f t="shared" si="0"/>
        <v>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c r="E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'ARK' and not exists (select 1 from app.warehouselocationdetail d, app.warehouselocation w2, app.requesttype rt2 where d.warehouseid = w2.warehouseid and d.requesttypeid = rt2.requesttypeid and w2.warehouseshortname = 'ARK' and rt2.description = 'tms-scheduled-scripts')</v>
      </c>
    </row>
    <row r="9" spans="1:5" x14ac:dyDescent="0.2">
      <c r="A9" t="s">
        <v>284</v>
      </c>
      <c r="B9" t="s">
        <v>367</v>
      </c>
      <c r="C9" s="1" t="s">
        <v>368</v>
      </c>
      <c r="D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E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10" spans="1:5" x14ac:dyDescent="0.2">
      <c r="A10" t="s">
        <v>285</v>
      </c>
      <c r="B10" t="s">
        <v>361</v>
      </c>
      <c r="C10" s="1" t="s">
        <v>362</v>
      </c>
      <c r="D1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c r="E1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'ASH' and not exists (select 1 from app.warehouselocationdetail d, app.warehouselocation w2, app.requesttype rt2 where d.warehouseid = w2.warehouseid and d.requesttypeid = rt2.requesttypeid and w2.warehouseshortname = 'ASH' and rt2.description = 'db-alert-lia-pack-uom')</v>
      </c>
    </row>
    <row r="11" spans="1:5" x14ac:dyDescent="0.2">
      <c r="A11" t="s">
        <v>285</v>
      </c>
      <c r="B11" t="s">
        <v>363</v>
      </c>
      <c r="C11" s="1" t="s">
        <v>364</v>
      </c>
      <c r="D1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c r="E1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'ASH' and not exists (select 1 from app.warehouselocationdetail d, app.warehouselocation w2, app.requesttype rt2 where d.warehouseid = w2.warehouseid and d.requesttypeid = rt2.requesttypeid and w2.warehouseshortname = 'ASH' and rt2.description = 'fs-asw-asn-error')</v>
      </c>
    </row>
    <row r="12" spans="1:5" x14ac:dyDescent="0.2">
      <c r="A12" t="s">
        <v>285</v>
      </c>
      <c r="B12" t="s">
        <v>365</v>
      </c>
      <c r="C12" t="s">
        <v>366</v>
      </c>
      <c r="D12" t="str">
        <f t="shared" si="0"/>
        <v>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c r="E1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'ASH' and not exists (select 1 from app.warehouselocationdetail d, app.warehouselocation w2, app.requesttype rt2 where d.warehouseid = w2.warehouseid and d.requesttypeid = rt2.requesttypeid and w2.warehouseshortname = 'ASH' and rt2.description = 'tms-scheduled-scripts')</v>
      </c>
    </row>
    <row r="13" spans="1:5" x14ac:dyDescent="0.2">
      <c r="A13" t="s">
        <v>285</v>
      </c>
      <c r="B13" t="s">
        <v>367</v>
      </c>
      <c r="C13" s="1" t="s">
        <v>368</v>
      </c>
      <c r="D1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c r="E1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'ASH' and not exists (select 1 from app.warehouselocationdetail d, app.warehouselocation w2, app.requesttype rt2 where d.warehouseid = w2.warehouseid and d.requesttypeid = rt2.requesttypeid and w2.warehouseshortname = 'ASH' and rt2.description = 'will-call-alert')</v>
      </c>
    </row>
    <row r="14" spans="1:5" x14ac:dyDescent="0.2">
      <c r="A14" t="s">
        <v>286</v>
      </c>
      <c r="B14" t="s">
        <v>361</v>
      </c>
      <c r="C14" s="1" t="s">
        <v>362</v>
      </c>
      <c r="D1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c r="E1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'ATL' and not exists (select 1 from app.warehouselocationdetail d, app.warehouselocation w2, app.requesttype rt2 where d.warehouseid = w2.warehouseid and d.requesttypeid = rt2.requesttypeid and w2.warehouseshortname = 'ATL' and rt2.description = 'db-alert-lia-pack-uom')</v>
      </c>
    </row>
    <row r="15" spans="1:5" x14ac:dyDescent="0.2">
      <c r="A15" t="s">
        <v>286</v>
      </c>
      <c r="B15" t="s">
        <v>363</v>
      </c>
      <c r="C15" s="1" t="s">
        <v>364</v>
      </c>
      <c r="D1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c r="E1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'ATL' and not exists (select 1 from app.warehouselocationdetail d, app.warehouselocation w2, app.requesttype rt2 where d.warehouseid = w2.warehouseid and d.requesttypeid = rt2.requesttypeid and w2.warehouseshortname = 'ATL' and rt2.description = 'fs-asw-asn-error')</v>
      </c>
    </row>
    <row r="16" spans="1:5" x14ac:dyDescent="0.2">
      <c r="A16" t="s">
        <v>286</v>
      </c>
      <c r="B16" t="s">
        <v>365</v>
      </c>
      <c r="C16" t="s">
        <v>366</v>
      </c>
      <c r="D16" t="str">
        <f t="shared" si="0"/>
        <v>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c r="E1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'ATL' and not exists (select 1 from app.warehouselocationdetail d, app.warehouselocation w2, app.requesttype rt2 where d.warehouseid = w2.warehouseid and d.requesttypeid = rt2.requesttypeid and w2.warehouseshortname = 'ATL' and rt2.description = 'tms-scheduled-scripts')</v>
      </c>
    </row>
    <row r="17" spans="1:5" x14ac:dyDescent="0.2">
      <c r="A17" t="s">
        <v>286</v>
      </c>
      <c r="B17" t="s">
        <v>367</v>
      </c>
      <c r="C17" s="1" t="s">
        <v>368</v>
      </c>
      <c r="D1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c r="E1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'ATL' and not exists (select 1 from app.warehouselocationdetail d, app.warehouselocation w2, app.requesttype rt2 where d.warehouseid = w2.warehouseid and d.requesttypeid = rt2.requesttypeid and w2.warehouseshortname = 'ATL' and rt2.description = 'will-call-alert')</v>
      </c>
    </row>
    <row r="18" spans="1:5" x14ac:dyDescent="0.2">
      <c r="A18" t="s">
        <v>287</v>
      </c>
      <c r="B18" t="s">
        <v>361</v>
      </c>
      <c r="C18" s="1" t="s">
        <v>362</v>
      </c>
      <c r="D1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c r="E1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'AUB' and not exists (select 1 from app.warehouselocationdetail d, app.warehouselocation w2, app.requesttype rt2 where d.warehouseid = w2.warehouseid and d.requesttypeid = rt2.requesttypeid and w2.warehouseshortname = 'AUB' and rt2.description = 'db-alert-lia-pack-uom')</v>
      </c>
    </row>
    <row r="19" spans="1:5" x14ac:dyDescent="0.2">
      <c r="A19" t="s">
        <v>287</v>
      </c>
      <c r="B19" t="s">
        <v>363</v>
      </c>
      <c r="C19" s="1" t="s">
        <v>364</v>
      </c>
      <c r="D1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c r="E1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'AUB' and not exists (select 1 from app.warehouselocationdetail d, app.warehouselocation w2, app.requesttype rt2 where d.warehouseid = w2.warehouseid and d.requesttypeid = rt2.requesttypeid and w2.warehouseshortname = 'AUB' and rt2.description = 'fs-asw-asn-error')</v>
      </c>
    </row>
    <row r="20" spans="1:5" x14ac:dyDescent="0.2">
      <c r="A20" t="s">
        <v>287</v>
      </c>
      <c r="B20" t="s">
        <v>365</v>
      </c>
      <c r="C20" t="s">
        <v>366</v>
      </c>
      <c r="D20" t="str">
        <f t="shared" si="0"/>
        <v>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c r="E2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'AUB' and not exists (select 1 from app.warehouselocationdetail d, app.warehouselocation w2, app.requesttype rt2 where d.warehouseid = w2.warehouseid and d.requesttypeid = rt2.requesttypeid and w2.warehouseshortname = 'AUB' and rt2.description = 'tms-scheduled-scripts')</v>
      </c>
    </row>
    <row r="21" spans="1:5" x14ac:dyDescent="0.2">
      <c r="A21" t="s">
        <v>287</v>
      </c>
      <c r="B21" t="s">
        <v>367</v>
      </c>
      <c r="C21" s="1" t="s">
        <v>368</v>
      </c>
      <c r="D2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c r="E2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'AUB' and not exists (select 1 from app.warehouselocationdetail d, app.warehouselocation w2, app.requesttype rt2 where d.warehouseid = w2.warehouseid and d.requesttypeid = rt2.requesttypeid and w2.warehouseshortname = 'AUB' and rt2.description = 'will-call-alert')</v>
      </c>
    </row>
    <row r="22" spans="1:5" x14ac:dyDescent="0.2">
      <c r="A22" t="s">
        <v>350</v>
      </c>
      <c r="B22" t="s">
        <v>361</v>
      </c>
      <c r="C22" s="1" t="s">
        <v>362</v>
      </c>
      <c r="D2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c r="E2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'AUT' and not exists (select 1 from app.warehouselocationdetail d, app.warehouselocation w2, app.requesttype rt2 where d.warehouseid = w2.warehouseid and d.requesttypeid = rt2.requesttypeid and w2.warehouseshortname = 'AUT' and rt2.description = 'db-alert-lia-pack-uom')</v>
      </c>
    </row>
    <row r="23" spans="1:5" x14ac:dyDescent="0.2">
      <c r="A23" t="s">
        <v>350</v>
      </c>
      <c r="B23" t="s">
        <v>363</v>
      </c>
      <c r="C23" s="1" t="s">
        <v>364</v>
      </c>
      <c r="D2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c r="E2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'AUT' and not exists (select 1 from app.warehouselocationdetail d, app.warehouselocation w2, app.requesttype rt2 where d.warehouseid = w2.warehouseid and d.requesttypeid = rt2.requesttypeid and w2.warehouseshortname = 'AUT' and rt2.description = 'fs-asw-asn-error')</v>
      </c>
    </row>
    <row r="24" spans="1:5" x14ac:dyDescent="0.2">
      <c r="A24" t="s">
        <v>350</v>
      </c>
      <c r="B24" t="s">
        <v>365</v>
      </c>
      <c r="C24" t="s">
        <v>366</v>
      </c>
      <c r="D24" t="str">
        <f t="shared" si="0"/>
        <v>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c r="E2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'AUT' and not exists (select 1 from app.warehouselocationdetail d, app.warehouselocation w2, app.requesttype rt2 where d.warehouseid = w2.warehouseid and d.requesttypeid = rt2.requesttypeid and w2.warehouseshortname = 'AUT' and rt2.description = 'tms-scheduled-scripts')</v>
      </c>
    </row>
    <row r="25" spans="1:5" x14ac:dyDescent="0.2">
      <c r="A25" t="s">
        <v>350</v>
      </c>
      <c r="B25" t="s">
        <v>367</v>
      </c>
      <c r="C25" s="1" t="s">
        <v>368</v>
      </c>
      <c r="D2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c r="E2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'AUT' and not exists (select 1 from app.warehouselocationdetail d, app.warehouselocation w2, app.requesttype rt2 where d.warehouseid = w2.warehouseid and d.requesttypeid = rt2.requesttypeid and w2.warehouseshortname = 'AUT' and rt2.description = 'will-call-alert')</v>
      </c>
    </row>
    <row r="26" spans="1:5" x14ac:dyDescent="0.2">
      <c r="A26" t="s">
        <v>288</v>
      </c>
      <c r="B26" t="s">
        <v>361</v>
      </c>
      <c r="C26" s="1" t="s">
        <v>362</v>
      </c>
      <c r="D2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c r="E2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'CCR' and not exists (select 1 from app.warehouselocationdetail d, app.warehouselocation w2, app.requesttype rt2 where d.warehouseid = w2.warehouseid and d.requesttypeid = rt2.requesttypeid and w2.warehouseshortname = 'CCR' and rt2.description = 'db-alert-lia-pack-uom')</v>
      </c>
    </row>
    <row r="27" spans="1:5" x14ac:dyDescent="0.2">
      <c r="A27" t="s">
        <v>288</v>
      </c>
      <c r="B27" t="s">
        <v>363</v>
      </c>
      <c r="C27" s="1" t="s">
        <v>364</v>
      </c>
      <c r="D2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c r="E2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'CCR' and not exists (select 1 from app.warehouselocationdetail d, app.warehouselocation w2, app.requesttype rt2 where d.warehouseid = w2.warehouseid and d.requesttypeid = rt2.requesttypeid and w2.warehouseshortname = 'CCR' and rt2.description = 'fs-asw-asn-error')</v>
      </c>
    </row>
    <row r="28" spans="1:5" x14ac:dyDescent="0.2">
      <c r="A28" t="s">
        <v>288</v>
      </c>
      <c r="B28" t="s">
        <v>365</v>
      </c>
      <c r="C28" t="s">
        <v>366</v>
      </c>
      <c r="D28" t="str">
        <f t="shared" si="0"/>
        <v>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c r="E2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'CCR' and not exists (select 1 from app.warehouselocationdetail d, app.warehouselocation w2, app.requesttype rt2 where d.warehouseid = w2.warehouseid and d.requesttypeid = rt2.requesttypeid and w2.warehouseshortname = 'CCR' and rt2.description = 'tms-scheduled-scripts')</v>
      </c>
    </row>
    <row r="29" spans="1:5" x14ac:dyDescent="0.2">
      <c r="A29" t="s">
        <v>288</v>
      </c>
      <c r="B29" t="s">
        <v>367</v>
      </c>
      <c r="C29" s="1" t="s">
        <v>368</v>
      </c>
      <c r="D2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E2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30" spans="1:5" x14ac:dyDescent="0.2">
      <c r="A30" t="s">
        <v>351</v>
      </c>
      <c r="B30" t="s">
        <v>361</v>
      </c>
      <c r="C30" s="1" t="s">
        <v>362</v>
      </c>
      <c r="D3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c r="E3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'CHI' and not exists (select 1 from app.warehouselocationdetail d, app.warehouselocation w2, app.requesttype rt2 where d.warehouseid = w2.warehouseid and d.requesttypeid = rt2.requesttypeid and w2.warehouseshortname = 'CHI' and rt2.description = 'db-alert-lia-pack-uom')</v>
      </c>
    </row>
    <row r="31" spans="1:5" x14ac:dyDescent="0.2">
      <c r="A31" t="s">
        <v>351</v>
      </c>
      <c r="B31" t="s">
        <v>363</v>
      </c>
      <c r="C31" s="1" t="s">
        <v>364</v>
      </c>
      <c r="D3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c r="E3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'CHI' and not exists (select 1 from app.warehouselocationdetail d, app.warehouselocation w2, app.requesttype rt2 where d.warehouseid = w2.warehouseid and d.requesttypeid = rt2.requesttypeid and w2.warehouseshortname = 'CHI' and rt2.description = 'fs-asw-asn-error')</v>
      </c>
    </row>
    <row r="32" spans="1:5" x14ac:dyDescent="0.2">
      <c r="A32" t="s">
        <v>351</v>
      </c>
      <c r="B32" t="s">
        <v>365</v>
      </c>
      <c r="C32" t="s">
        <v>366</v>
      </c>
      <c r="D32" t="str">
        <f t="shared" si="0"/>
        <v>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c r="E3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'CHI' and not exists (select 1 from app.warehouselocationdetail d, app.warehouselocation w2, app.requesttype rt2 where d.warehouseid = w2.warehouseid and d.requesttypeid = rt2.requesttypeid and w2.warehouseshortname = 'CHI' and rt2.description = 'tms-scheduled-scripts')</v>
      </c>
    </row>
    <row r="33" spans="1:5" x14ac:dyDescent="0.2">
      <c r="A33" t="s">
        <v>351</v>
      </c>
      <c r="B33" t="s">
        <v>367</v>
      </c>
      <c r="C33" s="1" t="s">
        <v>368</v>
      </c>
      <c r="D3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c r="E3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'CHI' and not exists (select 1 from app.warehouselocationdetail d, app.warehouselocation w2, app.requesttype rt2 where d.warehouseid = w2.warehouseid and d.requesttypeid = rt2.requesttypeid and w2.warehouseshortname = 'CHI' and rt2.description = 'will-call-alert')</v>
      </c>
    </row>
    <row r="34" spans="1:5" x14ac:dyDescent="0.2">
      <c r="A34" t="s">
        <v>289</v>
      </c>
      <c r="B34" t="s">
        <v>361</v>
      </c>
      <c r="C34" s="1" t="s">
        <v>362</v>
      </c>
      <c r="D3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c r="E3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'COL' and not exists (select 1 from app.warehouselocationdetail d, app.warehouselocation w2, app.requesttype rt2 where d.warehouseid = w2.warehouseid and d.requesttypeid = rt2.requesttypeid and w2.warehouseshortname = 'COL' and rt2.description = 'db-alert-lia-pack-uom')</v>
      </c>
    </row>
    <row r="35" spans="1:5" x14ac:dyDescent="0.2">
      <c r="A35" t="s">
        <v>289</v>
      </c>
      <c r="B35" t="s">
        <v>363</v>
      </c>
      <c r="C35" s="1" t="s">
        <v>364</v>
      </c>
      <c r="D3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c r="E3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'COL' and not exists (select 1 from app.warehouselocationdetail d, app.warehouselocation w2, app.requesttype rt2 where d.warehouseid = w2.warehouseid and d.requesttypeid = rt2.requesttypeid and w2.warehouseshortname = 'COL' and rt2.description = 'fs-asw-asn-error')</v>
      </c>
    </row>
    <row r="36" spans="1:5" x14ac:dyDescent="0.2">
      <c r="A36" t="s">
        <v>289</v>
      </c>
      <c r="B36" t="s">
        <v>365</v>
      </c>
      <c r="C36" t="s">
        <v>366</v>
      </c>
      <c r="D36" t="str">
        <f t="shared" si="0"/>
        <v>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c r="E3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'COL' and not exists (select 1 from app.warehouselocationdetail d, app.warehouselocation w2, app.requesttype rt2 where d.warehouseid = w2.warehouseid and d.requesttypeid = rt2.requesttypeid and w2.warehouseshortname = 'COL' and rt2.description = 'tms-scheduled-scripts')</v>
      </c>
    </row>
    <row r="37" spans="1:5" x14ac:dyDescent="0.2">
      <c r="A37" t="s">
        <v>289</v>
      </c>
      <c r="B37" t="s">
        <v>367</v>
      </c>
      <c r="C37" s="1" t="s">
        <v>368</v>
      </c>
      <c r="D3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c r="E3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'COL' and not exists (select 1 from app.warehouselocationdetail d, app.warehouselocation w2, app.requesttype rt2 where d.warehouseid = w2.warehouseid and d.requesttypeid = rt2.requesttypeid and w2.warehouseshortname = 'COL' and rt2.description = 'will-call-alert')</v>
      </c>
    </row>
    <row r="38" spans="1:5" x14ac:dyDescent="0.2">
      <c r="A38" t="s">
        <v>290</v>
      </c>
      <c r="B38" t="s">
        <v>361</v>
      </c>
      <c r="C38" s="1" t="s">
        <v>362</v>
      </c>
      <c r="D3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c r="E3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'DEN' and not exists (select 1 from app.warehouselocationdetail d, app.warehouselocation w2, app.requesttype rt2 where d.warehouseid = w2.warehouseid and d.requesttypeid = rt2.requesttypeid and w2.warehouseshortname = 'DEN' and rt2.description = 'db-alert-lia-pack-uom')</v>
      </c>
    </row>
    <row r="39" spans="1:5" x14ac:dyDescent="0.2">
      <c r="A39" t="s">
        <v>290</v>
      </c>
      <c r="B39" t="s">
        <v>363</v>
      </c>
      <c r="C39" s="1" t="s">
        <v>364</v>
      </c>
      <c r="D3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c r="E3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'DEN' and not exists (select 1 from app.warehouselocationdetail d, app.warehouselocation w2, app.requesttype rt2 where d.warehouseid = w2.warehouseid and d.requesttypeid = rt2.requesttypeid and w2.warehouseshortname = 'DEN' and rt2.description = 'fs-asw-asn-error')</v>
      </c>
    </row>
    <row r="40" spans="1:5" x14ac:dyDescent="0.2">
      <c r="A40" t="s">
        <v>290</v>
      </c>
      <c r="B40" t="s">
        <v>365</v>
      </c>
      <c r="C40" t="s">
        <v>366</v>
      </c>
      <c r="D40" t="str">
        <f t="shared" si="0"/>
        <v>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c r="E4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'DEN' and not exists (select 1 from app.warehouselocationdetail d, app.warehouselocation w2, app.requesttype rt2 where d.warehouseid = w2.warehouseid and d.requesttypeid = rt2.requesttypeid and w2.warehouseshortname = 'DEN' and rt2.description = 'tms-scheduled-scripts')</v>
      </c>
    </row>
    <row r="41" spans="1:5" x14ac:dyDescent="0.2">
      <c r="A41" t="s">
        <v>290</v>
      </c>
      <c r="B41" t="s">
        <v>367</v>
      </c>
      <c r="C41" s="1" t="s">
        <v>368</v>
      </c>
      <c r="D4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c r="E4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'DEN' and not exists (select 1 from app.warehouselocationdetail d, app.warehouselocation w2, app.requesttype rt2 where d.warehouseid = w2.warehouseid and d.requesttypeid = rt2.requesttypeid and w2.warehouseshortname = 'DEN' and rt2.description = 'will-call-alert')</v>
      </c>
    </row>
    <row r="42" spans="1:5" x14ac:dyDescent="0.2">
      <c r="A42" t="s">
        <v>291</v>
      </c>
      <c r="B42" t="s">
        <v>361</v>
      </c>
      <c r="C42" s="1" t="s">
        <v>362</v>
      </c>
      <c r="D4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c r="E4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'DFB' and not exists (select 1 from app.warehouselocationdetail d, app.warehouselocation w2, app.requesttype rt2 where d.warehouseid = w2.warehouseid and d.requesttypeid = rt2.requesttypeid and w2.warehouseshortname = 'DFB' and rt2.description = 'db-alert-lia-pack-uom')</v>
      </c>
    </row>
    <row r="43" spans="1:5" x14ac:dyDescent="0.2">
      <c r="A43" t="s">
        <v>291</v>
      </c>
      <c r="B43" t="s">
        <v>363</v>
      </c>
      <c r="C43" s="1" t="s">
        <v>364</v>
      </c>
      <c r="D4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c r="E4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'DFB' and not exists (select 1 from app.warehouselocationdetail d, app.warehouselocation w2, app.requesttype rt2 where d.warehouseid = w2.warehouseid and d.requesttypeid = rt2.requesttypeid and w2.warehouseshortname = 'DFB' and rt2.description = 'fs-asw-asn-error')</v>
      </c>
    </row>
    <row r="44" spans="1:5" x14ac:dyDescent="0.2">
      <c r="A44" t="s">
        <v>291</v>
      </c>
      <c r="B44" t="s">
        <v>365</v>
      </c>
      <c r="C44" t="s">
        <v>366</v>
      </c>
      <c r="D44" t="str">
        <f t="shared" si="0"/>
        <v>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c r="E4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'DFB' and not exists (select 1 from app.warehouselocationdetail d, app.warehouselocation w2, app.requesttype rt2 where d.warehouseid = w2.warehouseid and d.requesttypeid = rt2.requesttypeid and w2.warehouseshortname = 'DFB' and rt2.description = 'tms-scheduled-scripts')</v>
      </c>
    </row>
    <row r="45" spans="1:5" x14ac:dyDescent="0.2">
      <c r="A45" t="s">
        <v>291</v>
      </c>
      <c r="B45" t="s">
        <v>367</v>
      </c>
      <c r="C45" s="1" t="s">
        <v>368</v>
      </c>
      <c r="D4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c r="E4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'DFB' and not exists (select 1 from app.warehouselocationdetail d, app.warehouselocation w2, app.requesttype rt2 where d.warehouseid = w2.warehouseid and d.requesttypeid = rt2.requesttypeid and w2.warehouseshortname = 'DFB' and rt2.description = 'will-call-alert')</v>
      </c>
    </row>
    <row r="46" spans="1:5" x14ac:dyDescent="0.2">
      <c r="A46" t="s">
        <v>292</v>
      </c>
      <c r="B46" t="s">
        <v>361</v>
      </c>
      <c r="C46" s="1" t="s">
        <v>362</v>
      </c>
      <c r="D4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c r="E4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'ELP' and not exists (select 1 from app.warehouselocationdetail d, app.warehouselocation w2, app.requesttype rt2 where d.warehouseid = w2.warehouseid and d.requesttypeid = rt2.requesttypeid and w2.warehouseshortname = 'ELP' and rt2.description = 'db-alert-lia-pack-uom')</v>
      </c>
    </row>
    <row r="47" spans="1:5" x14ac:dyDescent="0.2">
      <c r="A47" t="s">
        <v>292</v>
      </c>
      <c r="B47" t="s">
        <v>363</v>
      </c>
      <c r="C47" s="1" t="s">
        <v>364</v>
      </c>
      <c r="D47"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E4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48" spans="1:5" x14ac:dyDescent="0.2">
      <c r="A48" t="s">
        <v>292</v>
      </c>
      <c r="B48" t="s">
        <v>365</v>
      </c>
      <c r="C48" t="s">
        <v>366</v>
      </c>
      <c r="D48" t="str">
        <f t="shared" si="0"/>
        <v>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c r="E48"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'ELP' and not exists (select 1 from app.warehouselocationdetail d, app.warehouselocation w2, app.requesttype rt2 where d.warehouseid = w2.warehouseid and d.requesttypeid = rt2.requesttypeid and w2.warehouseshortname = 'ELP' and rt2.description = 'tms-scheduled-scripts')</v>
      </c>
    </row>
    <row r="49" spans="1:5" x14ac:dyDescent="0.2">
      <c r="A49" t="s">
        <v>292</v>
      </c>
      <c r="B49" t="s">
        <v>367</v>
      </c>
      <c r="C49" s="1" t="s">
        <v>368</v>
      </c>
      <c r="D49"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c r="E49"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'ELP' and not exists (select 1 from app.warehouselocationdetail d, app.warehouselocation w2, app.requesttype rt2 where d.warehouseid = w2.warehouseid and d.requesttypeid = rt2.requesttypeid and w2.warehouseshortname = 'ELP' and rt2.description = 'will-call-alert')</v>
      </c>
    </row>
    <row r="50" spans="1:5" x14ac:dyDescent="0.2">
      <c r="A50" t="s">
        <v>293</v>
      </c>
      <c r="B50" t="s">
        <v>361</v>
      </c>
      <c r="C50" s="1" t="s">
        <v>362</v>
      </c>
      <c r="D50"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c r="E50"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'FAR' and not exists (select 1 from app.warehouselocationdetail d, app.warehouselocation w2, app.requesttype rt2 where d.warehouseid = w2.warehouseid and d.requesttypeid = rt2.requesttypeid and w2.warehouseshortname = 'FAR' and rt2.description = 'db-alert-lia-pack-uom')</v>
      </c>
    </row>
    <row r="51" spans="1:5" x14ac:dyDescent="0.2">
      <c r="A51" t="s">
        <v>293</v>
      </c>
      <c r="B51" t="s">
        <v>363</v>
      </c>
      <c r="C51" s="1" t="s">
        <v>364</v>
      </c>
      <c r="D51"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c r="E51"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'FAR' and not exists (select 1 from app.warehouselocationdetail d, app.warehouselocation w2, app.requesttype rt2 where d.warehouseid = w2.warehouseid and d.requesttypeid = rt2.requesttypeid and w2.warehouseshortname = 'FAR' and rt2.description = 'fs-asw-asn-error')</v>
      </c>
    </row>
    <row r="52" spans="1:5" x14ac:dyDescent="0.2">
      <c r="A52" t="s">
        <v>293</v>
      </c>
      <c r="B52" t="s">
        <v>365</v>
      </c>
      <c r="C52" t="s">
        <v>366</v>
      </c>
      <c r="D52" t="str">
        <f t="shared" si="0"/>
        <v>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c r="E52"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'FAR' and not exists (select 1 from app.warehouselocationdetail d, app.warehouselocation w2, app.requesttype rt2 where d.warehouseid = w2.warehouseid and d.requesttypeid = rt2.requesttypeid and w2.warehouseshortname = 'FAR' and rt2.description = 'tms-scheduled-scripts')</v>
      </c>
    </row>
    <row r="53" spans="1:5" x14ac:dyDescent="0.2">
      <c r="A53" t="s">
        <v>293</v>
      </c>
      <c r="B53" t="s">
        <v>367</v>
      </c>
      <c r="C53" s="1" t="s">
        <v>368</v>
      </c>
      <c r="D53"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c r="E53"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'FAR' and not exists (select 1 from app.warehouselocationdetail d, app.warehouselocation w2, app.requesttype rt2 where d.warehouseid = w2.warehouseid and d.requesttypeid = rt2.requesttypeid and w2.warehouseshortname = 'FAR' and rt2.description = 'will-call-alert')</v>
      </c>
    </row>
    <row r="54" spans="1:5" x14ac:dyDescent="0.2">
      <c r="A54" t="s">
        <v>294</v>
      </c>
      <c r="B54" t="s">
        <v>361</v>
      </c>
      <c r="C54" s="1" t="s">
        <v>362</v>
      </c>
      <c r="D54"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c r="E54"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'GRP' and not exists (select 1 from app.warehouselocationdetail d, app.warehouselocation w2, app.requesttype rt2 where d.warehouseid = w2.warehouseid and d.requesttypeid = rt2.requesttypeid and w2.warehouseshortname = 'GRP' and rt2.description = 'db-alert-lia-pack-uom')</v>
      </c>
    </row>
    <row r="55" spans="1:5" x14ac:dyDescent="0.2">
      <c r="A55" t="s">
        <v>294</v>
      </c>
      <c r="B55" t="s">
        <v>363</v>
      </c>
      <c r="C55" s="1" t="s">
        <v>364</v>
      </c>
      <c r="D55"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E55"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56" spans="1:5" x14ac:dyDescent="0.2">
      <c r="A56" t="s">
        <v>294</v>
      </c>
      <c r="B56" t="s">
        <v>365</v>
      </c>
      <c r="C56" t="s">
        <v>366</v>
      </c>
      <c r="D56" t="str">
        <f t="shared" si="0"/>
        <v>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c r="E56"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'GRP' and not exists (select 1 from app.warehouselocationdetail d, app.warehouselocation w2, app.requesttype rt2 where d.warehouseid = w2.warehouseid and d.requesttypeid = rt2.requesttypeid and w2.warehouseshortname = 'GRP' and rt2.description = 'tms-scheduled-scripts')</v>
      </c>
    </row>
    <row r="57" spans="1:5" x14ac:dyDescent="0.2">
      <c r="A57" t="s">
        <v>294</v>
      </c>
      <c r="B57" t="s">
        <v>367</v>
      </c>
      <c r="C57" s="1" t="s">
        <v>368</v>
      </c>
      <c r="D57"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E57"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58" spans="1:5" x14ac:dyDescent="0.2">
      <c r="A58" t="s">
        <v>295</v>
      </c>
      <c r="B58" t="s">
        <v>361</v>
      </c>
      <c r="C58" s="1" t="s">
        <v>362</v>
      </c>
      <c r="D58"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c r="E58"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'HAW' and not exists (select 1 from app.warehouselocationdetail d, app.warehouselocation w2, app.requesttype rt2 where d.warehouseid = w2.warehouseid and d.requesttypeid = rt2.requesttypeid and w2.warehouseshortname = 'HAW' and rt2.description = 'db-alert-lia-pack-uom')</v>
      </c>
    </row>
    <row r="59" spans="1:5" x14ac:dyDescent="0.2">
      <c r="A59" t="s">
        <v>295</v>
      </c>
      <c r="B59" t="s">
        <v>363</v>
      </c>
      <c r="C59" s="1" t="s">
        <v>364</v>
      </c>
      <c r="D59"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c r="E59"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'HAW' and not exists (select 1 from app.warehouselocationdetail d, app.warehouselocation w2, app.requesttype rt2 where d.warehouseid = w2.warehouseid and d.requesttypeid = rt2.requesttypeid and w2.warehouseshortname = 'HAW' and rt2.description = 'fs-asw-asn-error')</v>
      </c>
    </row>
    <row r="60" spans="1:5" x14ac:dyDescent="0.2">
      <c r="A60" t="s">
        <v>295</v>
      </c>
      <c r="B60" t="s">
        <v>365</v>
      </c>
      <c r="C60" t="s">
        <v>366</v>
      </c>
      <c r="D60" t="str">
        <f t="shared" si="0"/>
        <v>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c r="E60"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'HAW' and not exists (select 1 from app.warehouselocationdetail d, app.warehouselocation w2, app.requesttype rt2 where d.warehouseid = w2.warehouseid and d.requesttypeid = rt2.requesttypeid and w2.warehouseshortname = 'HAW' and rt2.description = 'tms-scheduled-scripts')</v>
      </c>
    </row>
    <row r="61" spans="1:5" x14ac:dyDescent="0.2">
      <c r="A61" t="s">
        <v>295</v>
      </c>
      <c r="B61" t="s">
        <v>367</v>
      </c>
      <c r="C61" s="1" t="s">
        <v>368</v>
      </c>
      <c r="D61"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E61"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62" spans="1:5" x14ac:dyDescent="0.2">
      <c r="A62" t="s">
        <v>296</v>
      </c>
      <c r="B62" t="s">
        <v>361</v>
      </c>
      <c r="C62" s="1" t="s">
        <v>362</v>
      </c>
      <c r="D62"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c r="E62"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'HOU' and not exists (select 1 from app.warehouselocationdetail d, app.warehouselocation w2, app.requesttype rt2 where d.warehouseid = w2.warehouseid and d.requesttypeid = rt2.requesttypeid and w2.warehouseshortname = 'HOU' and rt2.description = 'db-alert-lia-pack-uom')</v>
      </c>
    </row>
    <row r="63" spans="1:5" x14ac:dyDescent="0.2">
      <c r="A63" t="s">
        <v>296</v>
      </c>
      <c r="B63" t="s">
        <v>363</v>
      </c>
      <c r="C63" s="1" t="s">
        <v>364</v>
      </c>
      <c r="D63" t="str">
        <f t="shared" si="0"/>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E63"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64" spans="1:5" x14ac:dyDescent="0.2">
      <c r="A64" t="s">
        <v>296</v>
      </c>
      <c r="B64" t="s">
        <v>365</v>
      </c>
      <c r="C64" t="s">
        <v>366</v>
      </c>
      <c r="D64" t="str">
        <f t="shared" si="0"/>
        <v>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c r="E64" t="str">
        <f t="shared" si="1"/>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'HOU' and not exists (select 1 from app.warehouselocationdetail d, app.warehouselocation w2, app.requesttype rt2 where d.warehouseid = w2.warehouseid and d.requesttypeid = rt2.requesttypeid and w2.warehouseshortname = 'HOU' and rt2.description = 'tms-scheduled-scripts')</v>
      </c>
    </row>
    <row r="65" spans="1:5" x14ac:dyDescent="0.2">
      <c r="A65" t="s">
        <v>296</v>
      </c>
      <c r="B65" t="s">
        <v>367</v>
      </c>
      <c r="C65" s="1" t="s">
        <v>368</v>
      </c>
      <c r="D65" t="str">
        <f t="shared" si="0"/>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c r="E65" t="str">
        <f t="shared" si="1"/>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'HOU' and not exists (select 1 from app.warehouselocationdetail d, app.warehouselocation w2, app.requesttype rt2 where d.warehouseid = w2.warehouseid and d.requesttypeid = rt2.requesttypeid and w2.warehouseshortname = 'HOU' and rt2.description = 'will-call-alert')</v>
      </c>
    </row>
    <row r="66" spans="1:5" x14ac:dyDescent="0.2">
      <c r="A66" t="s">
        <v>297</v>
      </c>
      <c r="B66" t="s">
        <v>361</v>
      </c>
      <c r="C66" s="1" t="s">
        <v>362</v>
      </c>
      <c r="D66" t="str">
        <f t="shared" si="0"/>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c r="E66" t="str">
        <f t="shared" si="1"/>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'IND' and not exists (select 1 from app.warehouselocationdetail d, app.warehouselocation w2, app.requesttype rt2 where d.warehouseid = w2.warehouseid and d.requesttypeid = rt2.requesttypeid and w2.warehouseshortname = 'IND' and rt2.description = 'db-alert-lia-pack-uom')</v>
      </c>
    </row>
    <row r="67" spans="1:5" x14ac:dyDescent="0.2">
      <c r="A67" t="s">
        <v>297</v>
      </c>
      <c r="B67" t="s">
        <v>363</v>
      </c>
      <c r="C67" s="1" t="s">
        <v>364</v>
      </c>
      <c r="D67" t="str">
        <f t="shared" ref="D67:D130" si="2">"select '" &amp; B67 &amp; "', '" &amp; B67 &amp; "', w.warehouseid, rt.requesttypeid, '" &amp; C67 &amp; "' from app.requesttype rt, app.warehouselocation w  where rt.description = '" &amp; B67 &amp; "' and w.warehouseshortname = '" &amp; A67 &amp; "'"
&amp; " and not exists (select 1 from app.warehouselocationdetail d, app.warehouselocation w2, app.requesttype rt2 where d.warehouseid = w2.warehouseid and d.requesttypeid = rt2.requesttypeid and w2.warehouseshortname = '" &amp; A67 &amp; "' and rt2.description = '" &amp; B67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c r="E67" t="str">
        <f t="shared" si="1"/>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'IND' and not exists (select 1 from app.warehouselocationdetail d, app.warehouselocation w2, app.requesttype rt2 where d.warehouseid = w2.warehouseid and d.requesttypeid = rt2.requesttypeid and w2.warehouseshortname = 'IND' and rt2.description = 'fs-asw-asn-error')</v>
      </c>
    </row>
    <row r="68" spans="1:5" x14ac:dyDescent="0.2">
      <c r="A68" t="s">
        <v>297</v>
      </c>
      <c r="B68" t="s">
        <v>365</v>
      </c>
      <c r="C68" t="s">
        <v>366</v>
      </c>
      <c r="D68" t="str">
        <f t="shared" si="2"/>
        <v>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c r="E68" t="str">
        <f t="shared" ref="E68:E131" si="3">$D$1 &amp; " " &amp; D68</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'IND' and not exists (select 1 from app.warehouselocationdetail d, app.warehouselocation w2, app.requesttype rt2 where d.warehouseid = w2.warehouseid and d.requesttypeid = rt2.requesttypeid and w2.warehouseshortname = 'IND' and rt2.description = 'tms-scheduled-scripts')</v>
      </c>
    </row>
    <row r="69" spans="1:5" x14ac:dyDescent="0.2">
      <c r="A69" t="s">
        <v>297</v>
      </c>
      <c r="B69" t="s">
        <v>367</v>
      </c>
      <c r="C69" s="1" t="s">
        <v>368</v>
      </c>
      <c r="D6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c r="E6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'IND' and not exists (select 1 from app.warehouselocationdetail d, app.warehouselocation w2, app.requesttype rt2 where d.warehouseid = w2.warehouseid and d.requesttypeid = rt2.requesttypeid and w2.warehouseshortname = 'IND' and rt2.description = 'will-call-alert')</v>
      </c>
    </row>
    <row r="70" spans="1:5" x14ac:dyDescent="0.2">
      <c r="A70" t="s">
        <v>298</v>
      </c>
      <c r="B70" t="s">
        <v>361</v>
      </c>
      <c r="C70" s="1" t="s">
        <v>362</v>
      </c>
      <c r="D7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c r="E7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'JAC' and not exists (select 1 from app.warehouselocationdetail d, app.warehouselocation w2, app.requesttype rt2 where d.warehouseid = w2.warehouseid and d.requesttypeid = rt2.requesttypeid and w2.warehouseshortname = 'JAC' and rt2.description = 'db-alert-lia-pack-uom')</v>
      </c>
    </row>
    <row r="71" spans="1:5" x14ac:dyDescent="0.2">
      <c r="A71" t="s">
        <v>298</v>
      </c>
      <c r="B71" t="s">
        <v>363</v>
      </c>
      <c r="C71" s="1" t="s">
        <v>364</v>
      </c>
      <c r="D7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c r="E7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'JAC' and not exists (select 1 from app.warehouselocationdetail d, app.warehouselocation w2, app.requesttype rt2 where d.warehouseid = w2.warehouseid and d.requesttypeid = rt2.requesttypeid and w2.warehouseshortname = 'JAC' and rt2.description = 'fs-asw-asn-error')</v>
      </c>
    </row>
    <row r="72" spans="1:5" x14ac:dyDescent="0.2">
      <c r="A72" t="s">
        <v>298</v>
      </c>
      <c r="B72" t="s">
        <v>365</v>
      </c>
      <c r="C72" t="s">
        <v>366</v>
      </c>
      <c r="D72" t="str">
        <f t="shared" si="2"/>
        <v>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c r="E7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'JAC' and not exists (select 1 from app.warehouselocationdetail d, app.warehouselocation w2, app.requesttype rt2 where d.warehouseid = w2.warehouseid and d.requesttypeid = rt2.requesttypeid and w2.warehouseshortname = 'JAC' and rt2.description = 'tms-scheduled-scripts')</v>
      </c>
    </row>
    <row r="73" spans="1:5" x14ac:dyDescent="0.2">
      <c r="A73" t="s">
        <v>298</v>
      </c>
      <c r="B73" t="s">
        <v>367</v>
      </c>
      <c r="C73" s="1" t="s">
        <v>368</v>
      </c>
      <c r="D7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c r="E7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'JAC' and not exists (select 1 from app.warehouselocationdetail d, app.warehouselocation w2, app.requesttype rt2 where d.warehouseid = w2.warehouseid and d.requesttypeid = rt2.requesttypeid and w2.warehouseshortname = 'JAC' and rt2.description = 'will-call-alert')</v>
      </c>
    </row>
    <row r="74" spans="1:5" x14ac:dyDescent="0.2">
      <c r="A74" t="s">
        <v>299</v>
      </c>
      <c r="B74" t="s">
        <v>361</v>
      </c>
      <c r="C74" s="1" t="s">
        <v>362</v>
      </c>
      <c r="D7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c r="E7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'JES' and not exists (select 1 from app.warehouselocationdetail d, app.warehouselocation w2, app.requesttype rt2 where d.warehouseid = w2.warehouseid and d.requesttypeid = rt2.requesttypeid and w2.warehouseshortname = 'JES' and rt2.description = 'db-alert-lia-pack-uom')</v>
      </c>
    </row>
    <row r="75" spans="1:5" x14ac:dyDescent="0.2">
      <c r="A75" t="s">
        <v>299</v>
      </c>
      <c r="B75" t="s">
        <v>363</v>
      </c>
      <c r="C75" s="1" t="s">
        <v>364</v>
      </c>
      <c r="D7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c r="E7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'JES' and not exists (select 1 from app.warehouselocationdetail d, app.warehouselocation w2, app.requesttype rt2 where d.warehouseid = w2.warehouseid and d.requesttypeid = rt2.requesttypeid and w2.warehouseshortname = 'JES' and rt2.description = 'fs-asw-asn-error')</v>
      </c>
    </row>
    <row r="76" spans="1:5" x14ac:dyDescent="0.2">
      <c r="A76" t="s">
        <v>299</v>
      </c>
      <c r="B76" t="s">
        <v>365</v>
      </c>
      <c r="C76" t="s">
        <v>366</v>
      </c>
      <c r="D76" t="str">
        <f t="shared" si="2"/>
        <v>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c r="E7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'JES' and not exists (select 1 from app.warehouselocationdetail d, app.warehouselocation w2, app.requesttype rt2 where d.warehouseid = w2.warehouseid and d.requesttypeid = rt2.requesttypeid and w2.warehouseshortname = 'JES' and rt2.description = 'tms-scheduled-scripts')</v>
      </c>
    </row>
    <row r="77" spans="1:5" x14ac:dyDescent="0.2">
      <c r="A77" t="s">
        <v>299</v>
      </c>
      <c r="B77" t="s">
        <v>367</v>
      </c>
      <c r="C77" s="1" t="s">
        <v>368</v>
      </c>
      <c r="D7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c r="E7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'JES' and not exists (select 1 from app.warehouselocationdetail d, app.warehouselocation w2, app.requesttype rt2 where d.warehouseid = w2.warehouseid and d.requesttypeid = rt2.requesttypeid and w2.warehouseshortname = 'JES' and rt2.description = 'will-call-alert')</v>
      </c>
    </row>
    <row r="78" spans="1:5" x14ac:dyDescent="0.2">
      <c r="A78" t="s">
        <v>300</v>
      </c>
      <c r="B78" t="s">
        <v>361</v>
      </c>
      <c r="C78" s="1" t="s">
        <v>362</v>
      </c>
      <c r="D7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c r="E7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'KAP' and not exists (select 1 from app.warehouselocationdetail d, app.warehouselocation w2, app.requesttype rt2 where d.warehouseid = w2.warehouseid and d.requesttypeid = rt2.requesttypeid and w2.warehouseshortname = 'KAP' and rt2.description = 'db-alert-lia-pack-uom')</v>
      </c>
    </row>
    <row r="79" spans="1:5" x14ac:dyDescent="0.2">
      <c r="A79" t="s">
        <v>300</v>
      </c>
      <c r="B79" t="s">
        <v>363</v>
      </c>
      <c r="C79" s="1" t="s">
        <v>364</v>
      </c>
      <c r="D7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c r="E7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'KAP' and not exists (select 1 from app.warehouselocationdetail d, app.warehouselocation w2, app.requesttype rt2 where d.warehouseid = w2.warehouseid and d.requesttypeid = rt2.requesttypeid and w2.warehouseshortname = 'KAP' and rt2.description = 'fs-asw-asn-error')</v>
      </c>
    </row>
    <row r="80" spans="1:5" x14ac:dyDescent="0.2">
      <c r="A80" t="s">
        <v>300</v>
      </c>
      <c r="B80" t="s">
        <v>365</v>
      </c>
      <c r="C80" t="s">
        <v>366</v>
      </c>
      <c r="D80" t="str">
        <f t="shared" si="2"/>
        <v>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c r="E8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'KAP' and not exists (select 1 from app.warehouselocationdetail d, app.warehouselocation w2, app.requesttype rt2 where d.warehouseid = w2.warehouseid and d.requesttypeid = rt2.requesttypeid and w2.warehouseshortname = 'KAP' and rt2.description = 'tms-scheduled-scripts')</v>
      </c>
    </row>
    <row r="81" spans="1:5" x14ac:dyDescent="0.2">
      <c r="A81" t="s">
        <v>300</v>
      </c>
      <c r="B81" t="s">
        <v>367</v>
      </c>
      <c r="C81" s="1" t="s">
        <v>368</v>
      </c>
      <c r="D8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E8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2" spans="1:5" x14ac:dyDescent="0.2">
      <c r="A82" t="s">
        <v>301</v>
      </c>
      <c r="B82" t="s">
        <v>361</v>
      </c>
      <c r="C82" s="1" t="s">
        <v>362</v>
      </c>
      <c r="D8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c r="E8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'KAU' and not exists (select 1 from app.warehouselocationdetail d, app.warehouselocation w2, app.requesttype rt2 where d.warehouseid = w2.warehouseid and d.requesttypeid = rt2.requesttypeid and w2.warehouseshortname = 'KAU' and rt2.description = 'db-alert-lia-pack-uom')</v>
      </c>
    </row>
    <row r="83" spans="1:5" x14ac:dyDescent="0.2">
      <c r="A83" t="s">
        <v>301</v>
      </c>
      <c r="B83" t="s">
        <v>363</v>
      </c>
      <c r="C83" s="1" t="s">
        <v>364</v>
      </c>
      <c r="D8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c r="E8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'KAU' and not exists (select 1 from app.warehouselocationdetail d, app.warehouselocation w2, app.requesttype rt2 where d.warehouseid = w2.warehouseid and d.requesttypeid = rt2.requesttypeid and w2.warehouseshortname = 'KAU' and rt2.description = 'fs-asw-asn-error')</v>
      </c>
    </row>
    <row r="84" spans="1:5" x14ac:dyDescent="0.2">
      <c r="A84" t="s">
        <v>301</v>
      </c>
      <c r="B84" t="s">
        <v>365</v>
      </c>
      <c r="C84" t="s">
        <v>366</v>
      </c>
      <c r="D84" t="str">
        <f t="shared" si="2"/>
        <v>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c r="E8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'KAU' and not exists (select 1 from app.warehouselocationdetail d, app.warehouselocation w2, app.requesttype rt2 where d.warehouseid = w2.warehouseid and d.requesttypeid = rt2.requesttypeid and w2.warehouseshortname = 'KAU' and rt2.description = 'tms-scheduled-scripts')</v>
      </c>
    </row>
    <row r="85" spans="1:5" x14ac:dyDescent="0.2">
      <c r="A85" t="s">
        <v>301</v>
      </c>
      <c r="B85" t="s">
        <v>367</v>
      </c>
      <c r="C85" s="1" t="s">
        <v>368</v>
      </c>
      <c r="D8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E8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86" spans="1:5" x14ac:dyDescent="0.2">
      <c r="A86" t="s">
        <v>302</v>
      </c>
      <c r="B86" t="s">
        <v>361</v>
      </c>
      <c r="C86" s="1" t="s">
        <v>362</v>
      </c>
      <c r="D8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c r="E8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'LAF' and not exists (select 1 from app.warehouselocationdetail d, app.warehouselocation w2, app.requesttype rt2 where d.warehouseid = w2.warehouseid and d.requesttypeid = rt2.requesttypeid and w2.warehouseshortname = 'LAF' and rt2.description = 'db-alert-lia-pack-uom')</v>
      </c>
    </row>
    <row r="87" spans="1:5" x14ac:dyDescent="0.2">
      <c r="A87" t="s">
        <v>302</v>
      </c>
      <c r="B87" t="s">
        <v>363</v>
      </c>
      <c r="C87" s="1" t="s">
        <v>364</v>
      </c>
      <c r="D8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c r="E8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'LAF' and not exists (select 1 from app.warehouselocationdetail d, app.warehouselocation w2, app.requesttype rt2 where d.warehouseid = w2.warehouseid and d.requesttypeid = rt2.requesttypeid and w2.warehouseshortname = 'LAF' and rt2.description = 'fs-asw-asn-error')</v>
      </c>
    </row>
    <row r="88" spans="1:5" x14ac:dyDescent="0.2">
      <c r="A88" t="s">
        <v>302</v>
      </c>
      <c r="B88" t="s">
        <v>365</v>
      </c>
      <c r="C88" t="s">
        <v>366</v>
      </c>
      <c r="D88" t="str">
        <f t="shared" si="2"/>
        <v>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c r="E8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'LAF' and not exists (select 1 from app.warehouselocationdetail d, app.warehouselocation w2, app.requesttype rt2 where d.warehouseid = w2.warehouseid and d.requesttypeid = rt2.requesttypeid and w2.warehouseshortname = 'LAF' and rt2.description = 'tms-scheduled-scripts')</v>
      </c>
    </row>
    <row r="89" spans="1:5" x14ac:dyDescent="0.2">
      <c r="A89" t="s">
        <v>302</v>
      </c>
      <c r="B89" t="s">
        <v>367</v>
      </c>
      <c r="C89" s="1" t="s">
        <v>368</v>
      </c>
      <c r="D8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c r="E8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'LAF' and not exists (select 1 from app.warehouselocationdetail d, app.warehouselocation w2, app.requesttype rt2 where d.warehouseid = w2.warehouseid and d.requesttypeid = rt2.requesttypeid and w2.warehouseshortname = 'LAF' and rt2.description = 'will-call-alert')</v>
      </c>
    </row>
    <row r="90" spans="1:5" x14ac:dyDescent="0.2">
      <c r="A90" t="s">
        <v>303</v>
      </c>
      <c r="B90" t="s">
        <v>361</v>
      </c>
      <c r="C90" s="1" t="s">
        <v>362</v>
      </c>
      <c r="D9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c r="E9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'LIV' and not exists (select 1 from app.warehouselocationdetail d, app.warehouselocation w2, app.requesttype rt2 where d.warehouseid = w2.warehouseid and d.requesttypeid = rt2.requesttypeid and w2.warehouseshortname = 'LIV' and rt2.description = 'db-alert-lia-pack-uom')</v>
      </c>
    </row>
    <row r="91" spans="1:5" x14ac:dyDescent="0.2">
      <c r="A91" t="s">
        <v>303</v>
      </c>
      <c r="B91" t="s">
        <v>363</v>
      </c>
      <c r="C91" s="1" t="s">
        <v>364</v>
      </c>
      <c r="D9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c r="E9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'LIV' and not exists (select 1 from app.warehouselocationdetail d, app.warehouselocation w2, app.requesttype rt2 where d.warehouseid = w2.warehouseid and d.requesttypeid = rt2.requesttypeid and w2.warehouseshortname = 'LIV' and rt2.description = 'fs-asw-asn-error')</v>
      </c>
    </row>
    <row r="92" spans="1:5" x14ac:dyDescent="0.2">
      <c r="A92" t="s">
        <v>303</v>
      </c>
      <c r="B92" t="s">
        <v>365</v>
      </c>
      <c r="C92" t="s">
        <v>366</v>
      </c>
      <c r="D92" t="str">
        <f t="shared" si="2"/>
        <v>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c r="E9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'LIV' and not exists (select 1 from app.warehouselocationdetail d, app.warehouselocation w2, app.requesttype rt2 where d.warehouseid = w2.warehouseid and d.requesttypeid = rt2.requesttypeid and w2.warehouseshortname = 'LIV' and rt2.description = 'tms-scheduled-scripts')</v>
      </c>
    </row>
    <row r="93" spans="1:5" x14ac:dyDescent="0.2">
      <c r="A93" t="s">
        <v>303</v>
      </c>
      <c r="B93" t="s">
        <v>367</v>
      </c>
      <c r="C93" s="1" t="s">
        <v>368</v>
      </c>
      <c r="D9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E9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94" spans="1:5" x14ac:dyDescent="0.2">
      <c r="A94" t="s">
        <v>304</v>
      </c>
      <c r="B94" t="s">
        <v>361</v>
      </c>
      <c r="C94" s="1" t="s">
        <v>362</v>
      </c>
      <c r="D9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E9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row r="95" spans="1:5" x14ac:dyDescent="0.2">
      <c r="A95" t="s">
        <v>304</v>
      </c>
      <c r="B95" t="s">
        <v>363</v>
      </c>
      <c r="C95" s="1" t="s">
        <v>364</v>
      </c>
      <c r="D9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c r="E9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'LOU' and not exists (select 1 from app.warehouselocationdetail d, app.warehouselocation w2, app.requesttype rt2 where d.warehouseid = w2.warehouseid and d.requesttypeid = rt2.requesttypeid and w2.warehouseshortname = 'LOU' and rt2.description = 'fs-asw-asn-error')</v>
      </c>
    </row>
    <row r="96" spans="1:5" x14ac:dyDescent="0.2">
      <c r="A96" t="s">
        <v>304</v>
      </c>
      <c r="B96" t="s">
        <v>365</v>
      </c>
      <c r="C96" t="s">
        <v>366</v>
      </c>
      <c r="D96" t="str">
        <f t="shared" si="2"/>
        <v>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c r="E9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'LOU' and not exists (select 1 from app.warehouselocationdetail d, app.warehouselocation w2, app.requesttype rt2 where d.warehouseid = w2.warehouseid and d.requesttypeid = rt2.requesttypeid and w2.warehouseshortname = 'LOU' and rt2.description = 'tms-scheduled-scripts')</v>
      </c>
    </row>
    <row r="97" spans="1:5" x14ac:dyDescent="0.2">
      <c r="A97" t="s">
        <v>304</v>
      </c>
      <c r="B97" t="s">
        <v>367</v>
      </c>
      <c r="C97" s="1" t="s">
        <v>368</v>
      </c>
      <c r="D9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E9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98" spans="1:5" x14ac:dyDescent="0.2">
      <c r="A98" t="s">
        <v>305</v>
      </c>
      <c r="B98" t="s">
        <v>361</v>
      </c>
      <c r="C98" s="1" t="s">
        <v>362</v>
      </c>
      <c r="D9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c r="E9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'LUB' and not exists (select 1 from app.warehouselocationdetail d, app.warehouselocation w2, app.requesttype rt2 where d.warehouseid = w2.warehouseid and d.requesttypeid = rt2.requesttypeid and w2.warehouseshortname = 'LUB' and rt2.description = 'db-alert-lia-pack-uom')</v>
      </c>
    </row>
    <row r="99" spans="1:5" x14ac:dyDescent="0.2">
      <c r="A99" t="s">
        <v>305</v>
      </c>
      <c r="B99" t="s">
        <v>363</v>
      </c>
      <c r="C99" s="1" t="s">
        <v>364</v>
      </c>
      <c r="D9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E9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100" spans="1:5" x14ac:dyDescent="0.2">
      <c r="A100" t="s">
        <v>305</v>
      </c>
      <c r="B100" t="s">
        <v>365</v>
      </c>
      <c r="C100" t="s">
        <v>366</v>
      </c>
      <c r="D100" t="str">
        <f t="shared" si="2"/>
        <v>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c r="E10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'LUB' and not exists (select 1 from app.warehouselocationdetail d, app.warehouselocation w2, app.requesttype rt2 where d.warehouseid = w2.warehouseid and d.requesttypeid = rt2.requesttypeid and w2.warehouseshortname = 'LUB' and rt2.description = 'tms-scheduled-scripts')</v>
      </c>
    </row>
    <row r="101" spans="1:5" x14ac:dyDescent="0.2">
      <c r="A101" t="s">
        <v>305</v>
      </c>
      <c r="B101" t="s">
        <v>367</v>
      </c>
      <c r="C101" s="1" t="s">
        <v>368</v>
      </c>
      <c r="D10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c r="E10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'LUB' and not exists (select 1 from app.warehouselocationdetail d, app.warehouselocation w2, app.requesttype rt2 where d.warehouseid = w2.warehouseid and d.requesttypeid = rt2.requesttypeid and w2.warehouseshortname = 'LUB' and rt2.description = 'will-call-alert')</v>
      </c>
    </row>
    <row r="102" spans="1:5" x14ac:dyDescent="0.2">
      <c r="A102" t="s">
        <v>306</v>
      </c>
      <c r="B102" t="s">
        <v>361</v>
      </c>
      <c r="C102" s="1" t="s">
        <v>362</v>
      </c>
      <c r="D10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c r="E10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'MAU' and not exists (select 1 from app.warehouselocationdetail d, app.warehouselocation w2, app.requesttype rt2 where d.warehouseid = w2.warehouseid and d.requesttypeid = rt2.requesttypeid and w2.warehouseshortname = 'MAU' and rt2.description = 'db-alert-lia-pack-uom')</v>
      </c>
    </row>
    <row r="103" spans="1:5" x14ac:dyDescent="0.2">
      <c r="A103" t="s">
        <v>306</v>
      </c>
      <c r="B103" t="s">
        <v>363</v>
      </c>
      <c r="C103" s="1" t="s">
        <v>364</v>
      </c>
      <c r="D10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c r="E10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'MAU' and not exists (select 1 from app.warehouselocationdetail d, app.warehouselocation w2, app.requesttype rt2 where d.warehouseid = w2.warehouseid and d.requesttypeid = rt2.requesttypeid and w2.warehouseshortname = 'MAU' and rt2.description = 'fs-asw-asn-error')</v>
      </c>
    </row>
    <row r="104" spans="1:5" x14ac:dyDescent="0.2">
      <c r="A104" t="s">
        <v>306</v>
      </c>
      <c r="B104" t="s">
        <v>365</v>
      </c>
      <c r="C104" t="s">
        <v>366</v>
      </c>
      <c r="D104" t="str">
        <f t="shared" si="2"/>
        <v>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c r="E10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'MAU' and not exists (select 1 from app.warehouselocationdetail d, app.warehouselocation w2, app.requesttype rt2 where d.warehouseid = w2.warehouseid and d.requesttypeid = rt2.requesttypeid and w2.warehouseshortname = 'MAU' and rt2.description = 'tms-scheduled-scripts')</v>
      </c>
    </row>
    <row r="105" spans="1:5" x14ac:dyDescent="0.2">
      <c r="A105" t="s">
        <v>306</v>
      </c>
      <c r="B105" t="s">
        <v>367</v>
      </c>
      <c r="C105" s="1" t="s">
        <v>368</v>
      </c>
      <c r="D10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E10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06" spans="1:5" x14ac:dyDescent="0.2">
      <c r="A106" t="s">
        <v>307</v>
      </c>
      <c r="B106" t="s">
        <v>361</v>
      </c>
      <c r="C106" s="1" t="s">
        <v>362</v>
      </c>
      <c r="D10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c r="E10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'NEW' and not exists (select 1 from app.warehouselocationdetail d, app.warehouselocation w2, app.requesttype rt2 where d.warehouseid = w2.warehouseid and d.requesttypeid = rt2.requesttypeid and w2.warehouseshortname = 'NEW' and rt2.description = 'db-alert-lia-pack-uom')</v>
      </c>
    </row>
    <row r="107" spans="1:5" x14ac:dyDescent="0.2">
      <c r="A107" t="s">
        <v>307</v>
      </c>
      <c r="B107" t="s">
        <v>363</v>
      </c>
      <c r="C107" s="1" t="s">
        <v>364</v>
      </c>
      <c r="D10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c r="E10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'NEW' and not exists (select 1 from app.warehouselocationdetail d, app.warehouselocation w2, app.requesttype rt2 where d.warehouseid = w2.warehouseid and d.requesttypeid = rt2.requesttypeid and w2.warehouseshortname = 'NEW' and rt2.description = 'fs-asw-asn-error')</v>
      </c>
    </row>
    <row r="108" spans="1:5" x14ac:dyDescent="0.2">
      <c r="A108" t="s">
        <v>307</v>
      </c>
      <c r="B108" t="s">
        <v>365</v>
      </c>
      <c r="C108" t="s">
        <v>366</v>
      </c>
      <c r="D108" t="str">
        <f t="shared" si="2"/>
        <v>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c r="E10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'NEW' and not exists (select 1 from app.warehouselocationdetail d, app.warehouselocation w2, app.requesttype rt2 where d.warehouseid = w2.warehouseid and d.requesttypeid = rt2.requesttypeid and w2.warehouseshortname = 'NEW' and rt2.description = 'tms-scheduled-scripts')</v>
      </c>
    </row>
    <row r="109" spans="1:5" x14ac:dyDescent="0.2">
      <c r="A109" t="s">
        <v>307</v>
      </c>
      <c r="B109" t="s">
        <v>367</v>
      </c>
      <c r="C109" s="1" t="s">
        <v>368</v>
      </c>
      <c r="D10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c r="E10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'NEW' and not exists (select 1 from app.warehouselocationdetail d, app.warehouselocation w2, app.requesttype rt2 where d.warehouseid = w2.warehouseid and d.requesttypeid = rt2.requesttypeid and w2.warehouseshortname = 'NEW' and rt2.description = 'will-call-alert')</v>
      </c>
    </row>
    <row r="110" spans="1:5" x14ac:dyDescent="0.2">
      <c r="A110" t="s">
        <v>308</v>
      </c>
      <c r="B110" t="s">
        <v>361</v>
      </c>
      <c r="C110" s="1" t="s">
        <v>362</v>
      </c>
      <c r="D11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c r="E11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'OAH' and not exists (select 1 from app.warehouselocationdetail d, app.warehouselocation w2, app.requesttype rt2 where d.warehouseid = w2.warehouseid and d.requesttypeid = rt2.requesttypeid and w2.warehouseshortname = 'OAH' and rt2.description = 'db-alert-lia-pack-uom')</v>
      </c>
    </row>
    <row r="111" spans="1:5" x14ac:dyDescent="0.2">
      <c r="A111" t="s">
        <v>308</v>
      </c>
      <c r="B111" t="s">
        <v>363</v>
      </c>
      <c r="C111" s="1" t="s">
        <v>364</v>
      </c>
      <c r="D111"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c r="E11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'OAH' and not exists (select 1 from app.warehouselocationdetail d, app.warehouselocation w2, app.requesttype rt2 where d.warehouseid = w2.warehouseid and d.requesttypeid = rt2.requesttypeid and w2.warehouseshortname = 'OAH' and rt2.description = 'fs-asw-asn-error')</v>
      </c>
    </row>
    <row r="112" spans="1:5" x14ac:dyDescent="0.2">
      <c r="A112" t="s">
        <v>308</v>
      </c>
      <c r="B112" t="s">
        <v>365</v>
      </c>
      <c r="C112" t="s">
        <v>366</v>
      </c>
      <c r="D112" t="str">
        <f t="shared" si="2"/>
        <v>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c r="E112"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'OAH' and not exists (select 1 from app.warehouselocationdetail d, app.warehouselocation w2, app.requesttype rt2 where d.warehouseid = w2.warehouseid and d.requesttypeid = rt2.requesttypeid and w2.warehouseshortname = 'OAH' and rt2.description = 'tms-scheduled-scripts')</v>
      </c>
    </row>
    <row r="113" spans="1:5" x14ac:dyDescent="0.2">
      <c r="A113" t="s">
        <v>308</v>
      </c>
      <c r="B113" t="s">
        <v>367</v>
      </c>
      <c r="C113" s="1" t="s">
        <v>368</v>
      </c>
      <c r="D113"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E113"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14" spans="1:5" x14ac:dyDescent="0.2">
      <c r="A114" t="s">
        <v>309</v>
      </c>
      <c r="B114" t="s">
        <v>361</v>
      </c>
      <c r="C114" s="1" t="s">
        <v>362</v>
      </c>
      <c r="D114"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c r="E114"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'OKL' and not exists (select 1 from app.warehouselocationdetail d, app.warehouselocation w2, app.requesttype rt2 where d.warehouseid = w2.warehouseid and d.requesttypeid = rt2.requesttypeid and w2.warehouseshortname = 'OKL' and rt2.description = 'db-alert-lia-pack-uom')</v>
      </c>
    </row>
    <row r="115" spans="1:5" x14ac:dyDescent="0.2">
      <c r="A115" t="s">
        <v>309</v>
      </c>
      <c r="B115" t="s">
        <v>363</v>
      </c>
      <c r="C115" s="1" t="s">
        <v>364</v>
      </c>
      <c r="D115"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c r="E115"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'OKL' and not exists (select 1 from app.warehouselocationdetail d, app.warehouselocation w2, app.requesttype rt2 where d.warehouseid = w2.warehouseid and d.requesttypeid = rt2.requesttypeid and w2.warehouseshortname = 'OKL' and rt2.description = 'fs-asw-asn-error')</v>
      </c>
    </row>
    <row r="116" spans="1:5" x14ac:dyDescent="0.2">
      <c r="A116" t="s">
        <v>309</v>
      </c>
      <c r="B116" t="s">
        <v>365</v>
      </c>
      <c r="C116" t="s">
        <v>366</v>
      </c>
      <c r="D116" t="str">
        <f t="shared" si="2"/>
        <v>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c r="E116"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'OKL' and not exists (select 1 from app.warehouselocationdetail d, app.warehouselocation w2, app.requesttype rt2 where d.warehouseid = w2.warehouseid and d.requesttypeid = rt2.requesttypeid and w2.warehouseshortname = 'OKL' and rt2.description = 'tms-scheduled-scripts')</v>
      </c>
    </row>
    <row r="117" spans="1:5" x14ac:dyDescent="0.2">
      <c r="A117" t="s">
        <v>309</v>
      </c>
      <c r="B117" t="s">
        <v>367</v>
      </c>
      <c r="C117" s="1" t="s">
        <v>368</v>
      </c>
      <c r="D117"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c r="E117"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'OKL' and not exists (select 1 from app.warehouselocationdetail d, app.warehouselocation w2, app.requesttype rt2 where d.warehouseid = w2.warehouseid and d.requesttypeid = rt2.requesttypeid and w2.warehouseshortname = 'OKL' and rt2.description = 'will-call-alert')</v>
      </c>
    </row>
    <row r="118" spans="1:5" x14ac:dyDescent="0.2">
      <c r="A118" t="s">
        <v>310</v>
      </c>
      <c r="B118" t="s">
        <v>361</v>
      </c>
      <c r="C118" s="1" t="s">
        <v>362</v>
      </c>
      <c r="D118"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c r="E118"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'OMA' and not exists (select 1 from app.warehouselocationdetail d, app.warehouselocation w2, app.requesttype rt2 where d.warehouseid = w2.warehouseid and d.requesttypeid = rt2.requesttypeid and w2.warehouseshortname = 'OMA' and rt2.description = 'db-alert-lia-pack-uom')</v>
      </c>
    </row>
    <row r="119" spans="1:5" x14ac:dyDescent="0.2">
      <c r="A119" t="s">
        <v>310</v>
      </c>
      <c r="B119" t="s">
        <v>363</v>
      </c>
      <c r="C119" s="1" t="s">
        <v>364</v>
      </c>
      <c r="D119"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c r="E119"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'OMA' and not exists (select 1 from app.warehouselocationdetail d, app.warehouselocation w2, app.requesttype rt2 where d.warehouseid = w2.warehouseid and d.requesttypeid = rt2.requesttypeid and w2.warehouseshortname = 'OMA' and rt2.description = 'fs-asw-asn-error')</v>
      </c>
    </row>
    <row r="120" spans="1:5" x14ac:dyDescent="0.2">
      <c r="A120" t="s">
        <v>310</v>
      </c>
      <c r="B120" t="s">
        <v>365</v>
      </c>
      <c r="C120" t="s">
        <v>366</v>
      </c>
      <c r="D120" t="str">
        <f t="shared" si="2"/>
        <v>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c r="E120"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'OMA' and not exists (select 1 from app.warehouselocationdetail d, app.warehouselocation w2, app.requesttype rt2 where d.warehouseid = w2.warehouseid and d.requesttypeid = rt2.requesttypeid and w2.warehouseshortname = 'OMA' and rt2.description = 'tms-scheduled-scripts')</v>
      </c>
    </row>
    <row r="121" spans="1:5" x14ac:dyDescent="0.2">
      <c r="A121" t="s">
        <v>310</v>
      </c>
      <c r="B121" t="s">
        <v>367</v>
      </c>
      <c r="C121" s="1" t="s">
        <v>368</v>
      </c>
      <c r="D121"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c r="E121"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'OMA' and not exists (select 1 from app.warehouselocationdetail d, app.warehouselocation w2, app.requesttype rt2 where d.warehouseid = w2.warehouseid and d.requesttypeid = rt2.requesttypeid and w2.warehouseshortname = 'OMA' and rt2.description = 'will-call-alert')</v>
      </c>
    </row>
    <row r="122" spans="1:5" x14ac:dyDescent="0.2">
      <c r="A122" t="s">
        <v>311</v>
      </c>
      <c r="B122" t="s">
        <v>361</v>
      </c>
      <c r="C122" s="1" t="s">
        <v>362</v>
      </c>
      <c r="D122"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c r="E122"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'ORL' and not exists (select 1 from app.warehouselocationdetail d, app.warehouselocation w2, app.requesttype rt2 where d.warehouseid = w2.warehouseid and d.requesttypeid = rt2.requesttypeid and w2.warehouseshortname = 'ORL' and rt2.description = 'db-alert-lia-pack-uom')</v>
      </c>
    </row>
    <row r="123" spans="1:5" x14ac:dyDescent="0.2">
      <c r="A123" t="s">
        <v>311</v>
      </c>
      <c r="B123" t="s">
        <v>363</v>
      </c>
      <c r="C123" s="1" t="s">
        <v>364</v>
      </c>
      <c r="D123"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c r="E123"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'ORL' and not exists (select 1 from app.warehouselocationdetail d, app.warehouselocation w2, app.requesttype rt2 where d.warehouseid = w2.warehouseid and d.requesttypeid = rt2.requesttypeid and w2.warehouseshortname = 'ORL' and rt2.description = 'fs-asw-asn-error')</v>
      </c>
    </row>
    <row r="124" spans="1:5" x14ac:dyDescent="0.2">
      <c r="A124" t="s">
        <v>311</v>
      </c>
      <c r="B124" t="s">
        <v>365</v>
      </c>
      <c r="C124" t="s">
        <v>366</v>
      </c>
      <c r="D124" t="str">
        <f t="shared" si="2"/>
        <v>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c r="E124"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'ORL' and not exists (select 1 from app.warehouselocationdetail d, app.warehouselocation w2, app.requesttype rt2 where d.warehouseid = w2.warehouseid and d.requesttypeid = rt2.requesttypeid and w2.warehouseshortname = 'ORL' and rt2.description = 'tms-scheduled-scripts')</v>
      </c>
    </row>
    <row r="125" spans="1:5" x14ac:dyDescent="0.2">
      <c r="A125" t="s">
        <v>311</v>
      </c>
      <c r="B125" t="s">
        <v>367</v>
      </c>
      <c r="C125" s="1" t="s">
        <v>368</v>
      </c>
      <c r="D125"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c r="E125"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'ORL' and not exists (select 1 from app.warehouselocationdetail d, app.warehouselocation w2, app.requesttype rt2 where d.warehouseid = w2.warehouseid and d.requesttypeid = rt2.requesttypeid and w2.warehouseshortname = 'ORL' and rt2.description = 'will-call-alert')</v>
      </c>
    </row>
    <row r="126" spans="1:5" x14ac:dyDescent="0.2">
      <c r="A126" t="s">
        <v>312</v>
      </c>
      <c r="B126" t="s">
        <v>361</v>
      </c>
      <c r="C126" s="1" t="s">
        <v>362</v>
      </c>
      <c r="D126"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E126"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127" spans="1:5" x14ac:dyDescent="0.2">
      <c r="A127" t="s">
        <v>312</v>
      </c>
      <c r="B127" t="s">
        <v>363</v>
      </c>
      <c r="C127" s="1" t="s">
        <v>364</v>
      </c>
      <c r="D127" t="str">
        <f t="shared" si="2"/>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c r="E127"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'PEN' and not exists (select 1 from app.warehouselocationdetail d, app.warehouselocation w2, app.requesttype rt2 where d.warehouseid = w2.warehouseid and d.requesttypeid = rt2.requesttypeid and w2.warehouseshortname = 'PEN' and rt2.description = 'fs-asw-asn-error')</v>
      </c>
    </row>
    <row r="128" spans="1:5" x14ac:dyDescent="0.2">
      <c r="A128" t="s">
        <v>312</v>
      </c>
      <c r="B128" t="s">
        <v>365</v>
      </c>
      <c r="C128" t="s">
        <v>366</v>
      </c>
      <c r="D128" t="str">
        <f t="shared" si="2"/>
        <v>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c r="E128" t="str">
        <f t="shared" si="3"/>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'PEN' and not exists (select 1 from app.warehouselocationdetail d, app.warehouselocation w2, app.requesttype rt2 where d.warehouseid = w2.warehouseid and d.requesttypeid = rt2.requesttypeid and w2.warehouseshortname = 'PEN' and rt2.description = 'tms-scheduled-scripts')</v>
      </c>
    </row>
    <row r="129" spans="1:5" x14ac:dyDescent="0.2">
      <c r="A129" t="s">
        <v>312</v>
      </c>
      <c r="B129" t="s">
        <v>367</v>
      </c>
      <c r="C129" s="1" t="s">
        <v>368</v>
      </c>
      <c r="D129" t="str">
        <f t="shared" si="2"/>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E129" t="str">
        <f t="shared" si="3"/>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30" spans="1:5" x14ac:dyDescent="0.2">
      <c r="A130" t="s">
        <v>313</v>
      </c>
      <c r="B130" t="s">
        <v>361</v>
      </c>
      <c r="C130" s="1" t="s">
        <v>362</v>
      </c>
      <c r="D130" t="str">
        <f t="shared" si="2"/>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c r="E130" t="str">
        <f t="shared" si="3"/>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'PHO' and not exists (select 1 from app.warehouselocationdetail d, app.warehouselocation w2, app.requesttype rt2 where d.warehouseid = w2.warehouseid and d.requesttypeid = rt2.requesttypeid and w2.warehouseshortname = 'PHO' and rt2.description = 'db-alert-lia-pack-uom')</v>
      </c>
    </row>
    <row r="131" spans="1:5" x14ac:dyDescent="0.2">
      <c r="A131" t="s">
        <v>313</v>
      </c>
      <c r="B131" t="s">
        <v>363</v>
      </c>
      <c r="C131" s="1" t="s">
        <v>364</v>
      </c>
      <c r="D131" t="str">
        <f t="shared" ref="D131:D173" si="4">"select '" &amp; B131 &amp; "', '" &amp; B131 &amp; "', w.warehouseid, rt.requesttypeid, '" &amp; C131 &amp; "' from app.requesttype rt, app.warehouselocation w  where rt.description = '" &amp; B131 &amp; "' and w.warehouseshortname = '" &amp; A131 &amp; "'"
&amp; " and not exists (select 1 from app.warehouselocationdetail d, app.warehouselocation w2, app.requesttype rt2 where d.warehouseid = w2.warehouseid and d.requesttypeid = rt2.requesttypeid and w2.warehouseshortname = '" &amp; A131 &amp; "' and rt2.description = '" &amp; B131 &amp; "')"</f>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c r="E131" t="str">
        <f t="shared" si="3"/>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'PHO' and not exists (select 1 from app.warehouselocationdetail d, app.warehouselocation w2, app.requesttype rt2 where d.warehouseid = w2.warehouseid and d.requesttypeid = rt2.requesttypeid and w2.warehouseshortname = 'PHO' and rt2.description = 'fs-asw-asn-error')</v>
      </c>
    </row>
    <row r="132" spans="1:5" x14ac:dyDescent="0.2">
      <c r="A132" t="s">
        <v>313</v>
      </c>
      <c r="B132" t="s">
        <v>365</v>
      </c>
      <c r="C132" t="s">
        <v>366</v>
      </c>
      <c r="D132" t="str">
        <f t="shared" si="4"/>
        <v>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c r="E132" t="str">
        <f t="shared" ref="E132:E173" si="5">$D$1 &amp; " " &amp; D132</f>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'PHO' and not exists (select 1 from app.warehouselocationdetail d, app.warehouselocation w2, app.requesttype rt2 where d.warehouseid = w2.warehouseid and d.requesttypeid = rt2.requesttypeid and w2.warehouseshortname = 'PHO' and rt2.description = 'tms-scheduled-scripts')</v>
      </c>
    </row>
    <row r="133" spans="1:5" x14ac:dyDescent="0.2">
      <c r="A133" t="s">
        <v>313</v>
      </c>
      <c r="B133" t="s">
        <v>367</v>
      </c>
      <c r="C133" s="1" t="s">
        <v>368</v>
      </c>
      <c r="D13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c r="E13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'PHO' and not exists (select 1 from app.warehouselocationdetail d, app.warehouselocation w2, app.requesttype rt2 where d.warehouseid = w2.warehouseid and d.requesttypeid = rt2.requesttypeid and w2.warehouseshortname = 'PHO' and rt2.description = 'will-call-alert')</v>
      </c>
    </row>
    <row r="134" spans="1:5" x14ac:dyDescent="0.2">
      <c r="A134" t="s">
        <v>314</v>
      </c>
      <c r="B134" t="s">
        <v>361</v>
      </c>
      <c r="C134" s="1" t="s">
        <v>362</v>
      </c>
      <c r="D13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E13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135" spans="1:5" x14ac:dyDescent="0.2">
      <c r="A135" t="s">
        <v>314</v>
      </c>
      <c r="B135" t="s">
        <v>363</v>
      </c>
      <c r="C135" s="1" t="s">
        <v>364</v>
      </c>
      <c r="D13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c r="E13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'POR' and not exists (select 1 from app.warehouselocationdetail d, app.warehouselocation w2, app.requesttype rt2 where d.warehouseid = w2.warehouseid and d.requesttypeid = rt2.requesttypeid and w2.warehouseshortname = 'POR' and rt2.description = 'fs-asw-asn-error')</v>
      </c>
    </row>
    <row r="136" spans="1:5" x14ac:dyDescent="0.2">
      <c r="A136" t="s">
        <v>314</v>
      </c>
      <c r="B136" t="s">
        <v>365</v>
      </c>
      <c r="C136" t="s">
        <v>366</v>
      </c>
      <c r="D136" t="str">
        <f t="shared" si="4"/>
        <v>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c r="E13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'POR' and not exists (select 1 from app.warehouselocationdetail d, app.warehouselocation w2, app.requesttype rt2 where d.warehouseid = w2.warehouseid and d.requesttypeid = rt2.requesttypeid and w2.warehouseshortname = 'POR' and rt2.description = 'tms-scheduled-scripts')</v>
      </c>
    </row>
    <row r="137" spans="1:5" x14ac:dyDescent="0.2">
      <c r="A137" t="s">
        <v>314</v>
      </c>
      <c r="B137" t="s">
        <v>367</v>
      </c>
      <c r="C137" s="1" t="s">
        <v>368</v>
      </c>
      <c r="D13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c r="E13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'POR' and not exists (select 1 from app.warehouselocationdetail d, app.warehouselocation w2, app.requesttype rt2 where d.warehouseid = w2.warehouseid and d.requesttypeid = rt2.requesttypeid and w2.warehouseshortname = 'POR' and rt2.description = 'will-call-alert')</v>
      </c>
    </row>
    <row r="138" spans="1:5" x14ac:dyDescent="0.2">
      <c r="A138" t="s">
        <v>353</v>
      </c>
      <c r="B138" t="s">
        <v>361</v>
      </c>
      <c r="C138" s="1" t="s">
        <v>362</v>
      </c>
      <c r="D13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c r="E13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'RNDC' and not exists (select 1 from app.warehouselocationdetail d, app.warehouselocation w2, app.requesttype rt2 where d.warehouseid = w2.warehouseid and d.requesttypeid = rt2.requesttypeid and w2.warehouseshortname = 'RNDC' and rt2.description = 'db-alert-lia-pack-uom')</v>
      </c>
    </row>
    <row r="139" spans="1:5" x14ac:dyDescent="0.2">
      <c r="A139" t="s">
        <v>353</v>
      </c>
      <c r="B139" t="s">
        <v>363</v>
      </c>
      <c r="C139" s="1" t="s">
        <v>364</v>
      </c>
      <c r="D13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c r="E13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'RNDC' and not exists (select 1 from app.warehouselocationdetail d, app.warehouselocation w2, app.requesttype rt2 where d.warehouseid = w2.warehouseid and d.requesttypeid = rt2.requesttypeid and w2.warehouseshortname = 'RNDC' and rt2.description = 'fs-asw-asn-error')</v>
      </c>
    </row>
    <row r="140" spans="1:5" x14ac:dyDescent="0.2">
      <c r="A140" t="s">
        <v>353</v>
      </c>
      <c r="B140" t="s">
        <v>365</v>
      </c>
      <c r="C140" t="s">
        <v>366</v>
      </c>
      <c r="D140" t="str">
        <f t="shared" si="4"/>
        <v>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c r="E14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'RNDC' and not exists (select 1 from app.warehouselocationdetail d, app.warehouselocation w2, app.requesttype rt2 where d.warehouseid = w2.warehouseid and d.requesttypeid = rt2.requesttypeid and w2.warehouseshortname = 'RNDC' and rt2.description = 'tms-scheduled-scripts')</v>
      </c>
    </row>
    <row r="141" spans="1:5" x14ac:dyDescent="0.2">
      <c r="A141" t="s">
        <v>353</v>
      </c>
      <c r="B141" t="s">
        <v>367</v>
      </c>
      <c r="C141" s="1" t="s">
        <v>368</v>
      </c>
      <c r="D14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c r="E14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'RNDC' and not exists (select 1 from app.warehouselocationdetail d, app.warehouselocation w2, app.requesttype rt2 where d.warehouseid = w2.warehouseid and d.requesttypeid = rt2.requesttypeid and w2.warehouseshortname = 'RNDC' and rt2.description = 'will-call-alert')</v>
      </c>
    </row>
    <row r="142" spans="1:5" x14ac:dyDescent="0.2">
      <c r="A142" t="s">
        <v>315</v>
      </c>
      <c r="B142" t="s">
        <v>361</v>
      </c>
      <c r="C142" s="1" t="s">
        <v>362</v>
      </c>
      <c r="D14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c r="E14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'ROM' and not exists (select 1 from app.warehouselocationdetail d, app.warehouselocation w2, app.requesttype rt2 where d.warehouseid = w2.warehouseid and d.requesttypeid = rt2.requesttypeid and w2.warehouseshortname = 'ROM' and rt2.description = 'db-alert-lia-pack-uom')</v>
      </c>
    </row>
    <row r="143" spans="1:5" x14ac:dyDescent="0.2">
      <c r="A143" t="s">
        <v>315</v>
      </c>
      <c r="B143" t="s">
        <v>363</v>
      </c>
      <c r="C143" s="1" t="s">
        <v>364</v>
      </c>
      <c r="D14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c r="E14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'ROM' and not exists (select 1 from app.warehouselocationdetail d, app.warehouselocation w2, app.requesttype rt2 where d.warehouseid = w2.warehouseid and d.requesttypeid = rt2.requesttypeid and w2.warehouseshortname = 'ROM' and rt2.description = 'fs-asw-asn-error')</v>
      </c>
    </row>
    <row r="144" spans="1:5" x14ac:dyDescent="0.2">
      <c r="A144" t="s">
        <v>315</v>
      </c>
      <c r="B144" t="s">
        <v>365</v>
      </c>
      <c r="C144" t="s">
        <v>366</v>
      </c>
      <c r="D144" t="str">
        <f t="shared" si="4"/>
        <v>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c r="E14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'ROM' and not exists (select 1 from app.warehouselocationdetail d, app.warehouselocation w2, app.requesttype rt2 where d.warehouseid = w2.warehouseid and d.requesttypeid = rt2.requesttypeid and w2.warehouseshortname = 'ROM' and rt2.description = 'tms-scheduled-scripts')</v>
      </c>
    </row>
    <row r="145" spans="1:5" x14ac:dyDescent="0.2">
      <c r="A145" t="s">
        <v>315</v>
      </c>
      <c r="B145" t="s">
        <v>367</v>
      </c>
      <c r="C145" s="1" t="s">
        <v>368</v>
      </c>
      <c r="D14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c r="E14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'ROM' and not exists (select 1 from app.warehouselocationdetail d, app.warehouselocation w2, app.requesttype rt2 where d.warehouseid = w2.warehouseid and d.requesttypeid = rt2.requesttypeid and w2.warehouseshortname = 'ROM' and rt2.description = 'will-call-alert')</v>
      </c>
    </row>
    <row r="146" spans="1:5" x14ac:dyDescent="0.2">
      <c r="A146" t="s">
        <v>354</v>
      </c>
      <c r="B146" t="s">
        <v>361</v>
      </c>
      <c r="C146" s="1" t="s">
        <v>362</v>
      </c>
      <c r="D14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c r="E14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'RVR' and not exists (select 1 from app.warehouselocationdetail d, app.warehouselocation w2, app.requesttype rt2 where d.warehouseid = w2.warehouseid and d.requesttypeid = rt2.requesttypeid and w2.warehouseshortname = 'RVR' and rt2.description = 'db-alert-lia-pack-uom')</v>
      </c>
    </row>
    <row r="147" spans="1:5" x14ac:dyDescent="0.2">
      <c r="A147" t="s">
        <v>354</v>
      </c>
      <c r="B147" t="s">
        <v>363</v>
      </c>
      <c r="C147" s="1" t="s">
        <v>364</v>
      </c>
      <c r="D14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c r="E14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'RVR' and not exists (select 1 from app.warehouselocationdetail d, app.warehouselocation w2, app.requesttype rt2 where d.warehouseid = w2.warehouseid and d.requesttypeid = rt2.requesttypeid and w2.warehouseshortname = 'RVR' and rt2.description = 'fs-asw-asn-error')</v>
      </c>
    </row>
    <row r="148" spans="1:5" x14ac:dyDescent="0.2">
      <c r="A148" t="s">
        <v>354</v>
      </c>
      <c r="B148" t="s">
        <v>365</v>
      </c>
      <c r="C148" t="s">
        <v>366</v>
      </c>
      <c r="D148" t="str">
        <f t="shared" si="4"/>
        <v>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c r="E14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'RVR' and not exists (select 1 from app.warehouselocationdetail d, app.warehouselocation w2, app.requesttype rt2 where d.warehouseid = w2.warehouseid and d.requesttypeid = rt2.requesttypeid and w2.warehouseshortname = 'RVR' and rt2.description = 'tms-scheduled-scripts')</v>
      </c>
    </row>
    <row r="149" spans="1:5" x14ac:dyDescent="0.2">
      <c r="A149" t="s">
        <v>354</v>
      </c>
      <c r="B149" t="s">
        <v>367</v>
      </c>
      <c r="C149" s="1" t="s">
        <v>368</v>
      </c>
      <c r="D14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c r="E14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'RVR' and not exists (select 1 from app.warehouselocationdetail d, app.warehouselocation w2, app.requesttype rt2 where d.warehouseid = w2.warehouseid and d.requesttypeid = rt2.requesttypeid and w2.warehouseshortname = 'RVR' and rt2.description = 'will-call-alert')</v>
      </c>
    </row>
    <row r="150" spans="1:5" x14ac:dyDescent="0.2">
      <c r="A150" t="s">
        <v>316</v>
      </c>
      <c r="B150" t="s">
        <v>361</v>
      </c>
      <c r="C150" s="1" t="s">
        <v>362</v>
      </c>
      <c r="D15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c r="E15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'SAA' and not exists (select 1 from app.warehouselocationdetail d, app.warehouselocation w2, app.requesttype rt2 where d.warehouseid = w2.warehouseid and d.requesttypeid = rt2.requesttypeid and w2.warehouseshortname = 'SAA' and rt2.description = 'db-alert-lia-pack-uom')</v>
      </c>
    </row>
    <row r="151" spans="1:5" x14ac:dyDescent="0.2">
      <c r="A151" t="s">
        <v>316</v>
      </c>
      <c r="B151" t="s">
        <v>363</v>
      </c>
      <c r="C151" s="1" t="s">
        <v>364</v>
      </c>
      <c r="D15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E15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row r="152" spans="1:5" x14ac:dyDescent="0.2">
      <c r="A152" t="s">
        <v>316</v>
      </c>
      <c r="B152" t="s">
        <v>365</v>
      </c>
      <c r="C152" t="s">
        <v>366</v>
      </c>
      <c r="D152" t="str">
        <f t="shared" si="4"/>
        <v>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c r="E15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'SAA' and not exists (select 1 from app.warehouselocationdetail d, app.warehouselocation w2, app.requesttype rt2 where d.warehouseid = w2.warehouseid and d.requesttypeid = rt2.requesttypeid and w2.warehouseshortname = 'SAA' and rt2.description = 'tms-scheduled-scripts')</v>
      </c>
    </row>
    <row r="153" spans="1:5" x14ac:dyDescent="0.2">
      <c r="A153" t="s">
        <v>316</v>
      </c>
      <c r="B153" t="s">
        <v>367</v>
      </c>
      <c r="C153" s="1" t="s">
        <v>368</v>
      </c>
      <c r="D15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c r="E15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'SAA' and not exists (select 1 from app.warehouselocationdetail d, app.warehouselocation w2, app.requesttype rt2 where d.warehouseid = w2.warehouseid and d.requesttypeid = rt2.requesttypeid and w2.warehouseshortname = 'SAA' and rt2.description = 'will-call-alert')</v>
      </c>
    </row>
    <row r="154" spans="1:5" x14ac:dyDescent="0.2">
      <c r="A154" t="s">
        <v>317</v>
      </c>
      <c r="B154" t="s">
        <v>361</v>
      </c>
      <c r="C154" s="1" t="s">
        <v>362</v>
      </c>
      <c r="D154"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c r="E154"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'SIO' and not exists (select 1 from app.warehouselocationdetail d, app.warehouselocation w2, app.requesttype rt2 where d.warehouseid = w2.warehouseid and d.requesttypeid = rt2.requesttypeid and w2.warehouseshortname = 'SIO' and rt2.description = 'db-alert-lia-pack-uom')</v>
      </c>
    </row>
    <row r="155" spans="1:5" x14ac:dyDescent="0.2">
      <c r="A155" t="s">
        <v>317</v>
      </c>
      <c r="B155" t="s">
        <v>363</v>
      </c>
      <c r="C155" s="1" t="s">
        <v>364</v>
      </c>
      <c r="D155"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c r="E155"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'SIO' and not exists (select 1 from app.warehouselocationdetail d, app.warehouselocation w2, app.requesttype rt2 where d.warehouseid = w2.warehouseid and d.requesttypeid = rt2.requesttypeid and w2.warehouseshortname = 'SIO' and rt2.description = 'fs-asw-asn-error')</v>
      </c>
    </row>
    <row r="156" spans="1:5" x14ac:dyDescent="0.2">
      <c r="A156" t="s">
        <v>317</v>
      </c>
      <c r="B156" t="s">
        <v>365</v>
      </c>
      <c r="C156" t="s">
        <v>366</v>
      </c>
      <c r="D156" t="str">
        <f t="shared" si="4"/>
        <v>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c r="E156"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'SIO' and not exists (select 1 from app.warehouselocationdetail d, app.warehouselocation w2, app.requesttype rt2 where d.warehouseid = w2.warehouseid and d.requesttypeid = rt2.requesttypeid and w2.warehouseshortname = 'SIO' and rt2.description = 'tms-scheduled-scripts')</v>
      </c>
    </row>
    <row r="157" spans="1:5" x14ac:dyDescent="0.2">
      <c r="A157" t="s">
        <v>317</v>
      </c>
      <c r="B157" t="s">
        <v>367</v>
      </c>
      <c r="C157" s="1" t="s">
        <v>368</v>
      </c>
      <c r="D157"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E157"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58" spans="1:5" x14ac:dyDescent="0.2">
      <c r="A158" t="s">
        <v>318</v>
      </c>
      <c r="B158" t="s">
        <v>361</v>
      </c>
      <c r="C158" s="1" t="s">
        <v>362</v>
      </c>
      <c r="D158"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c r="E158"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'TAM' and not exists (select 1 from app.warehouselocationdetail d, app.warehouselocation w2, app.requesttype rt2 where d.warehouseid = w2.warehouseid and d.requesttypeid = rt2.requesttypeid and w2.warehouseshortname = 'TAM' and rt2.description = 'db-alert-lia-pack-uom')</v>
      </c>
    </row>
    <row r="159" spans="1:5" x14ac:dyDescent="0.2">
      <c r="A159" t="s">
        <v>318</v>
      </c>
      <c r="B159" t="s">
        <v>363</v>
      </c>
      <c r="C159" s="1" t="s">
        <v>364</v>
      </c>
      <c r="D159"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c r="E159"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'TAM' and not exists (select 1 from app.warehouselocationdetail d, app.warehouselocation w2, app.requesttype rt2 where d.warehouseid = w2.warehouseid and d.requesttypeid = rt2.requesttypeid and w2.warehouseshortname = 'TAM' and rt2.description = 'fs-asw-asn-error')</v>
      </c>
    </row>
    <row r="160" spans="1:5" x14ac:dyDescent="0.2">
      <c r="A160" t="s">
        <v>318</v>
      </c>
      <c r="B160" t="s">
        <v>365</v>
      </c>
      <c r="C160" t="s">
        <v>366</v>
      </c>
      <c r="D160" t="str">
        <f t="shared" si="4"/>
        <v>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c r="E160"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'TAM' and not exists (select 1 from app.warehouselocationdetail d, app.warehouselocation w2, app.requesttype rt2 where d.warehouseid = w2.warehouseid and d.requesttypeid = rt2.requesttypeid and w2.warehouseshortname = 'TAM' and rt2.description = 'tms-scheduled-scripts')</v>
      </c>
    </row>
    <row r="161" spans="1:5" x14ac:dyDescent="0.2">
      <c r="A161" t="s">
        <v>318</v>
      </c>
      <c r="B161" t="s">
        <v>367</v>
      </c>
      <c r="C161" s="1" t="s">
        <v>368</v>
      </c>
      <c r="D161"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c r="E161"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'TAM' and not exists (select 1 from app.warehouselocationdetail d, app.warehouselocation w2, app.requesttype rt2 where d.warehouseid = w2.warehouseid and d.requesttypeid = rt2.requesttypeid and w2.warehouseshortname = 'TAM' and rt2.description = 'will-call-alert')</v>
      </c>
    </row>
    <row r="162" spans="1:5" x14ac:dyDescent="0.2">
      <c r="A162" t="s">
        <v>319</v>
      </c>
      <c r="B162" t="s">
        <v>361</v>
      </c>
      <c r="C162" s="1" t="s">
        <v>362</v>
      </c>
      <c r="D162"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c r="E162"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'TOL' and not exists (select 1 from app.warehouselocationdetail d, app.warehouselocation w2, app.requesttype rt2 where d.warehouseid = w2.warehouseid and d.requesttypeid = rt2.requesttypeid and w2.warehouseshortname = 'TOL' and rt2.description = 'db-alert-lia-pack-uom')</v>
      </c>
    </row>
    <row r="163" spans="1:5" x14ac:dyDescent="0.2">
      <c r="A163" t="s">
        <v>319</v>
      </c>
      <c r="B163" t="s">
        <v>363</v>
      </c>
      <c r="C163" s="1" t="s">
        <v>364</v>
      </c>
      <c r="D163"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c r="E163"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'TOL' and not exists (select 1 from app.warehouselocationdetail d, app.warehouselocation w2, app.requesttype rt2 where d.warehouseid = w2.warehouseid and d.requesttypeid = rt2.requesttypeid and w2.warehouseshortname = 'TOL' and rt2.description = 'fs-asw-asn-error')</v>
      </c>
    </row>
    <row r="164" spans="1:5" x14ac:dyDescent="0.2">
      <c r="A164" t="s">
        <v>319</v>
      </c>
      <c r="B164" t="s">
        <v>365</v>
      </c>
      <c r="C164" t="s">
        <v>366</v>
      </c>
      <c r="D164" t="str">
        <f t="shared" si="4"/>
        <v>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c r="E164"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'TOL' and not exists (select 1 from app.warehouselocationdetail d, app.warehouselocation w2, app.requesttype rt2 where d.warehouseid = w2.warehouseid and d.requesttypeid = rt2.requesttypeid and w2.warehouseshortname = 'TOL' and rt2.description = 'tms-scheduled-scripts')</v>
      </c>
    </row>
    <row r="165" spans="1:5" x14ac:dyDescent="0.2">
      <c r="A165" t="s">
        <v>319</v>
      </c>
      <c r="B165" t="s">
        <v>367</v>
      </c>
      <c r="C165" s="1" t="s">
        <v>368</v>
      </c>
      <c r="D165"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c r="E165"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'TOL' and not exists (select 1 from app.warehouselocationdetail d, app.warehouselocation w2, app.requesttype rt2 where d.warehouseid = w2.warehouseid and d.requesttypeid = rt2.requesttypeid and w2.warehouseshortname = 'TOL' and rt2.description = 'will-call-alert')</v>
      </c>
    </row>
    <row r="166" spans="1:5" x14ac:dyDescent="0.2">
      <c r="A166" t="s">
        <v>356</v>
      </c>
      <c r="B166" t="s">
        <v>361</v>
      </c>
      <c r="C166" s="1" t="s">
        <v>362</v>
      </c>
      <c r="D166"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c r="E166"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'TRN' and not exists (select 1 from app.warehouselocationdetail d, app.warehouselocation w2, app.requesttype rt2 where d.warehouseid = w2.warehouseid and d.requesttypeid = rt2.requesttypeid and w2.warehouseshortname = 'TRN' and rt2.description = 'db-alert-lia-pack-uom')</v>
      </c>
    </row>
    <row r="167" spans="1:5" x14ac:dyDescent="0.2">
      <c r="A167" t="s">
        <v>356</v>
      </c>
      <c r="B167" t="s">
        <v>363</v>
      </c>
      <c r="C167" s="1" t="s">
        <v>364</v>
      </c>
      <c r="D167"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c r="E167"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'TRN' and not exists (select 1 from app.warehouselocationdetail d, app.warehouselocation w2, app.requesttype rt2 where d.warehouseid = w2.warehouseid and d.requesttypeid = rt2.requesttypeid and w2.warehouseshortname = 'TRN' and rt2.description = 'fs-asw-asn-error')</v>
      </c>
    </row>
    <row r="168" spans="1:5" x14ac:dyDescent="0.2">
      <c r="A168" t="s">
        <v>356</v>
      </c>
      <c r="B168" t="s">
        <v>365</v>
      </c>
      <c r="C168" t="s">
        <v>366</v>
      </c>
      <c r="D168" t="str">
        <f t="shared" si="4"/>
        <v>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c r="E168"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'TRN' and not exists (select 1 from app.warehouselocationdetail d, app.warehouselocation w2, app.requesttype rt2 where d.warehouseid = w2.warehouseid and d.requesttypeid = rt2.requesttypeid and w2.warehouseshortname = 'TRN' and rt2.description = 'tms-scheduled-scripts')</v>
      </c>
    </row>
    <row r="169" spans="1:5" x14ac:dyDescent="0.2">
      <c r="A169" t="s">
        <v>356</v>
      </c>
      <c r="B169" t="s">
        <v>367</v>
      </c>
      <c r="C169" s="1" t="s">
        <v>368</v>
      </c>
      <c r="D169"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c r="E169"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'TRN' and not exists (select 1 from app.warehouselocationdetail d, app.warehouselocation w2, app.requesttype rt2 where d.warehouseid = w2.warehouseid and d.requesttypeid = rt2.requesttypeid and w2.warehouseshortname = 'TRN' and rt2.description = 'will-call-alert')</v>
      </c>
    </row>
    <row r="170" spans="1:5" x14ac:dyDescent="0.2">
      <c r="A170" t="s">
        <v>320</v>
      </c>
      <c r="B170" t="s">
        <v>361</v>
      </c>
      <c r="C170" s="1" t="s">
        <v>362</v>
      </c>
      <c r="D170" t="str">
        <f t="shared" si="4"/>
        <v>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c r="E170" t="str">
        <f t="shared" si="5"/>
        <v>insert into app.warehouselocationdetail(description, longdescription, warehouseid, requesttypeid, payload)  select 'db-alert-lia-pack-uom', 'db-alert-lia-pack-uom', w.warehouseid, rt.requesttypeid, '{"alertName":"LIA RECORDS WITH PACK UOM TYPE POPULATED","orgId":"RVR","dataSource":"MAWM","database":{"connection":"MAPRD_NEW","type":"MySQL","uri":"jdbc:mysql://10.248.248.195:3306/information_schema"},"email":{"subject":"Splunk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UI.","fromEmail":"test@rndc-usa.com","toEmail":"wmsconsultant@rndc-usa.com, WMSMSPSupport@RNDC-USA.COM, DL_MANH_RNDC_MAWM_PSO@manh.com, DL_RNDC_MAWM_CSO@manh.com, wmsinternal@RNDC-USA.COM","footer":"","attachment":["link-to-alert","link-to-results","inline-table","csv"]},"sql":"SELECT `org_id`, `location_id`, `item_id`, `pack_uom_type_id`, `pack_uom_quantity` FROM `DCI_LOCATION_ITEM_ASSIGNMENT` WHERE 1=1 AND `org_id`= \'$orgId\' AND `pack_uom_type_id` is NOT NULL;"}'' from app.requesttype rt, app.warehouselocation w  where rt.description = 'db-alert-lia-pack-uom' and w.warehouseshortname = 'WSD' and not exists (select 1 from app.warehouselocationdetail d, app.warehouselocation w2, app.requesttype rt2 where d.warehouseid = w2.warehouseid and d.requesttypeid = rt2.requesttypeid and w2.warehouseshortname = 'WSD' and rt2.description = 'db-alert-lia-pack-uom')</v>
      </c>
    </row>
    <row r="171" spans="1:5" x14ac:dyDescent="0.2">
      <c r="A171" t="s">
        <v>320</v>
      </c>
      <c r="B171" t="s">
        <v>363</v>
      </c>
      <c r="C171" s="1" t="s">
        <v>364</v>
      </c>
      <c r="D171" t="str">
        <f t="shared" si="4"/>
        <v>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c r="E171" t="str">
        <f t="shared" si="5"/>
        <v>insert into app.warehouselocationdetail(description, longdescription, warehouseid, requesttypeid, payload)  select 'fs-asw-asn-error', 'fs-asw-asn-error', w.warehouseid, rt.requesttypeid, '{"emailContent":{"subject":"Splunk Alert: $name$","body":"The alert condition for $name$ was triggered","fromEmail":"noreply@rndc-usa.com","toEmail":"test@rndc-usa.com","footer":"text below table","attachment":["inline-table","link-to-alert","link-to-results","search-string"]}}'' from app.requesttype rt, app.warehouselocation w  where rt.description = 'fs-asw-asn-error' and w.warehouseshortname = 'WSD' and not exists (select 1 from app.warehouselocationdetail d, app.warehouselocation w2, app.requesttype rt2 where d.warehouseid = w2.warehouseid and d.requesttypeid = rt2.requesttypeid and w2.warehouseshortname = 'WSD' and rt2.description = 'fs-asw-asn-error')</v>
      </c>
    </row>
    <row r="172" spans="1:5" x14ac:dyDescent="0.2">
      <c r="A172" t="s">
        <v>320</v>
      </c>
      <c r="B172" t="s">
        <v>365</v>
      </c>
      <c r="C172" t="s">
        <v>366</v>
      </c>
      <c r="D172" t="str">
        <f t="shared" si="4"/>
        <v>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c r="E172" t="str">
        <f t="shared" si="5"/>
        <v>insert into app.warehouselocationdetail(description, longdescription, warehouseid, requesttypeid, payload)  select 'tms-scheduled-scripts', 'tms-scheduled-scripts', w.warehouseid, rt.requesttypeid, 'null' from app.requesttype rt, app.warehouselocation w  where rt.description = 'tms-scheduled-scripts' and w.warehouseshortname = 'WSD' and not exists (select 1 from app.warehouselocationdetail d, app.warehouselocation w2, app.requesttype rt2 where d.warehouseid = w2.warehouseid and d.requesttypeid = rt2.requesttypeid and w2.warehouseshortname = 'WSD' and rt2.description = 'tms-scheduled-scripts')</v>
      </c>
    </row>
    <row r="173" spans="1:5" x14ac:dyDescent="0.2">
      <c r="A173" t="s">
        <v>320</v>
      </c>
      <c r="B173" t="s">
        <v>367</v>
      </c>
      <c r="C173" s="1" t="s">
        <v>368</v>
      </c>
      <c r="D173" t="str">
        <f t="shared" si="4"/>
        <v>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c r="E173" t="str">
        <f t="shared" si="5"/>
        <v>insert into app.warehouselocationdetail(description, longdescription, warehouseid, requesttypeid, payload)  select 'will-call-alert', 'will-call-alert', w.warehouseid, rt.requesttypeid, '{"subject": "Daily Status", "fromEmail": "noreply@rndc-usa.com", "toEmail": "use.email.in.the.result.set.from.mysql", "sections": [{"htmlHeader": "&lt;h2 style=\'margin:0;\'&gt;this is the header&lt;/h2&gt;"}, {"introHtml": "&lt;div&gt;Optional text above table&lt;/div&gt;"}, {"tableHtml": {"tableHeaders": [], "tableRows": []}}, {"footerHtml": "&lt;div&gt;Optional text below table&lt;/div&gt;"}]}'' from app.requesttype rt, app.warehouselocation w  where rt.description = 'will-call-alert' and w.warehouseshortname = 'WSD' and not exists (select 1 from app.warehouselocationdetail d, app.warehouselocation w2, app.requesttype rt2 where d.warehouseid = w2.warehouseid and d.requesttypeid = rt2.requesttypeid and w2.warehouseshortname = 'WSD' and rt2.description = 'will-call-alert')</v>
      </c>
    </row>
  </sheetData>
  <autoFilter ref="A1:C173" xr:uid="{E34246D5-4CB0-4AEE-BEFA-86B8E8C773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E8FC-781F-47CE-ADB8-1430EE7A86C8}">
  <dimension ref="A1:B4"/>
  <sheetViews>
    <sheetView workbookViewId="0">
      <selection sqref="A1:A4"/>
    </sheetView>
  </sheetViews>
  <sheetFormatPr baseColWidth="10" defaultColWidth="8.83203125" defaultRowHeight="15" x14ac:dyDescent="0.2"/>
  <sheetData>
    <row r="1" spans="1:2" x14ac:dyDescent="0.2">
      <c r="A1" t="s">
        <v>369</v>
      </c>
    </row>
    <row r="2" spans="1:2" x14ac:dyDescent="0.2">
      <c r="A2" t="s">
        <v>370</v>
      </c>
    </row>
    <row r="3" spans="1:2" x14ac:dyDescent="0.2">
      <c r="A3" t="s">
        <v>371</v>
      </c>
    </row>
    <row r="4" spans="1:2" x14ac:dyDescent="0.2">
      <c r="B4" t="s">
        <v>372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35BE-FD0B-45F4-BAB1-1A84E3910F47}">
  <dimension ref="A1:D16"/>
  <sheetViews>
    <sheetView workbookViewId="0">
      <selection activeCell="C35" sqref="C35"/>
    </sheetView>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367</v>
      </c>
      <c r="D1" t="s">
        <v>373</v>
      </c>
    </row>
    <row r="2" spans="1:4" x14ac:dyDescent="0.2">
      <c r="A2" t="s">
        <v>262</v>
      </c>
      <c r="C2" t="s">
        <v>374</v>
      </c>
      <c r="D2" t="s">
        <v>375</v>
      </c>
    </row>
    <row r="3" spans="1:4" x14ac:dyDescent="0.2">
      <c r="A3" t="s">
        <v>284</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c r="D3" t="str">
        <f t="shared" ref="D3:D16" si="0">$D$1 &amp; " " &amp; C3</f>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'ARK' and not exists (select 1 from app.warehouselocationdetail d, app.warehouselocation w2, app.requesttype rt2 where d.warehouseid = w2.warehouseid and d.requesttypeid = rt2.requesttypeid and w2.warehouseshortname = 'ARK' and rt2.description = 'will-call-alert')</v>
      </c>
    </row>
    <row r="4" spans="1:4" x14ac:dyDescent="0.2">
      <c r="A4" t="s">
        <v>288</v>
      </c>
      <c r="C4" t="str">
        <f t="shared" ref="C4:C16" si="1">"select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c r="D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'CCR' and not exists (select 1 from app.warehouselocationdetail d, app.warehouselocation w2, app.requesttype rt2 where d.warehouseid = w2.warehouseid and d.requesttypeid = rt2.requesttypeid and w2.warehouseshortname = 'CCR' and rt2.description = 'will-call-alert')</v>
      </c>
    </row>
    <row r="5" spans="1:4" x14ac:dyDescent="0.2">
      <c r="A5" t="s">
        <v>294</v>
      </c>
      <c r="C5" t="str">
        <f t="shared" si="1"/>
        <v>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c r="D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'GRP' and not exists (select 1 from app.warehouselocationdetail d, app.warehouselocation w2, app.requesttype rt2 where d.warehouseid = w2.warehouseid and d.requesttypeid = rt2.requesttypeid and w2.warehouseshortname = 'GRP' and rt2.description = 'will-call-alert')</v>
      </c>
    </row>
    <row r="6" spans="1:4" x14ac:dyDescent="0.2">
      <c r="A6" t="s">
        <v>295</v>
      </c>
      <c r="C6" t="str">
        <f t="shared" si="1"/>
        <v>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c r="D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'HAW' and not exists (select 1 from app.warehouselocationdetail d, app.warehouselocation w2, app.requesttype rt2 where d.warehouseid = w2.warehouseid and d.requesttypeid = rt2.requesttypeid and w2.warehouseshortname = 'HAW' and rt2.description = 'will-call-alert')</v>
      </c>
    </row>
    <row r="7" spans="1:4" x14ac:dyDescent="0.2">
      <c r="A7" t="s">
        <v>300</v>
      </c>
      <c r="C7" t="str">
        <f t="shared" si="1"/>
        <v>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c r="D7"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'KAP' and not exists (select 1 from app.warehouselocationdetail d, app.warehouselocation w2, app.requesttype rt2 where d.warehouseid = w2.warehouseid and d.requesttypeid = rt2.requesttypeid and w2.warehouseshortname = 'KAP' and rt2.description = 'will-call-alert')</v>
      </c>
    </row>
    <row r="8" spans="1:4" x14ac:dyDescent="0.2">
      <c r="A8" t="s">
        <v>301</v>
      </c>
      <c r="C8" t="str">
        <f t="shared" si="1"/>
        <v>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c r="D8"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'KAU' and not exists (select 1 from app.warehouselocationdetail d, app.warehouselocation w2, app.requesttype rt2 where d.warehouseid = w2.warehouseid and d.requesttypeid = rt2.requesttypeid and w2.warehouseshortname = 'KAU' and rt2.description = 'will-call-alert')</v>
      </c>
    </row>
    <row r="9" spans="1:4" x14ac:dyDescent="0.2">
      <c r="A9" t="s">
        <v>303</v>
      </c>
      <c r="C9"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9"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0" spans="1:4" x14ac:dyDescent="0.2">
      <c r="A10" t="s">
        <v>303</v>
      </c>
      <c r="C10" t="str">
        <f t="shared" si="1"/>
        <v>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c r="D10"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'LIV' and not exists (select 1 from app.warehouselocationdetail d, app.warehouselocation w2, app.requesttype rt2 where d.warehouseid = w2.warehouseid and d.requesttypeid = rt2.requesttypeid and w2.warehouseshortname = 'LIV' and rt2.description = 'will-call-alert')</v>
      </c>
    </row>
    <row r="11" spans="1:4" x14ac:dyDescent="0.2">
      <c r="A11" t="s">
        <v>304</v>
      </c>
      <c r="C11" t="str">
        <f t="shared" si="1"/>
        <v>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c r="D11"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'LOU' and not exists (select 1 from app.warehouselocationdetail d, app.warehouselocation w2, app.requesttype rt2 where d.warehouseid = w2.warehouseid and d.requesttypeid = rt2.requesttypeid and w2.warehouseshortname = 'LOU' and rt2.description = 'will-call-alert')</v>
      </c>
    </row>
    <row r="12" spans="1:4" x14ac:dyDescent="0.2">
      <c r="A12" t="s">
        <v>306</v>
      </c>
      <c r="C12" t="str">
        <f t="shared" si="1"/>
        <v>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c r="D12"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'MAU' and not exists (select 1 from app.warehouselocationdetail d, app.warehouselocation w2, app.requesttype rt2 where d.warehouseid = w2.warehouseid and d.requesttypeid = rt2.requesttypeid and w2.warehouseshortname = 'MAU' and rt2.description = 'will-call-alert')</v>
      </c>
    </row>
    <row r="13" spans="1:4" x14ac:dyDescent="0.2">
      <c r="A13" t="s">
        <v>308</v>
      </c>
      <c r="C13" t="str">
        <f t="shared" si="1"/>
        <v>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c r="D13"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'OAH' and not exists (select 1 from app.warehouselocationdetail d, app.warehouselocation w2, app.requesttype rt2 where d.warehouseid = w2.warehouseid and d.requesttypeid = rt2.requesttypeid and w2.warehouseshortname = 'OAH' and rt2.description = 'will-call-alert')</v>
      </c>
    </row>
    <row r="14" spans="1:4" x14ac:dyDescent="0.2">
      <c r="A14" t="s">
        <v>312</v>
      </c>
      <c r="C14" t="str">
        <f t="shared" si="1"/>
        <v>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c r="D14"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'PEN' and not exists (select 1 from app.warehouselocationdetail d, app.warehouselocation w2, app.requesttype rt2 where d.warehouseid = w2.warehouseid and d.requesttypeid = rt2.requesttypeid and w2.warehouseshortname = 'PEN' and rt2.description = 'will-call-alert')</v>
      </c>
    </row>
    <row r="15" spans="1:4" x14ac:dyDescent="0.2">
      <c r="A15" t="s">
        <v>317</v>
      </c>
      <c r="C15" t="str">
        <f t="shared" si="1"/>
        <v>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c r="D15"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'SIO' and not exists (select 1 from app.warehouselocationdetail d, app.warehouselocation w2, app.requesttype rt2 where d.warehouseid = w2.warehouseid and d.requesttypeid = rt2.requesttypeid and w2.warehouseshortname = 'SIO' and rt2.description = 'will-call-alert')</v>
      </c>
    </row>
    <row r="16" spans="1:4" x14ac:dyDescent="0.2">
      <c r="A16" t="s">
        <v>376</v>
      </c>
      <c r="C16" t="str">
        <f t="shared" si="1"/>
        <v>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c r="D16" t="str">
        <f t="shared" si="0"/>
        <v>insert into app.warehouselocationdetail(description, longdescription, warehouseid, requesttypeid, createdby, lastupdatedby)  select 'will-call-alert' description, 'will-call-alert' longdescription, w.warehouseid, rt.requesttypeid, 'sysuser', 'sysuser' from app.requesttype rt, app.warehouselocation w  where rt.description = 'will-call-alert' and w.warehouseshortname = 'TST' and not exists (select 1 from app.warehouselocationdetail d, app.warehouselocation w2, app.requesttype rt2 where d.warehouseid = w2.warehouseid and d.requesttypeid = rt2.requesttypeid and w2.warehouseshortname = 'TST' and rt2.description = 'will-call-alert')</v>
      </c>
    </row>
  </sheetData>
  <sortState xmlns:xlrd2="http://schemas.microsoft.com/office/spreadsheetml/2017/richdata2" ref="A1:A16">
    <sortCondition ref="A3:A1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BC40-FDD9-49F7-A18F-1C674847FE54}">
  <dimension ref="A1:C40"/>
  <sheetViews>
    <sheetView workbookViewId="0">
      <selection activeCell="B50" sqref="A1:XFD1048576"/>
    </sheetView>
  </sheetViews>
  <sheetFormatPr baseColWidth="10" defaultColWidth="8.83203125" defaultRowHeight="15" x14ac:dyDescent="0.2"/>
  <cols>
    <col min="2" max="2" width="131" customWidth="1"/>
    <col min="3" max="3" width="64.6640625" customWidth="1"/>
  </cols>
  <sheetData>
    <row r="1" spans="1:3" x14ac:dyDescent="0.2">
      <c r="B1" t="s">
        <v>367</v>
      </c>
    </row>
    <row r="2" spans="1:3" x14ac:dyDescent="0.2">
      <c r="A2" t="s">
        <v>262</v>
      </c>
      <c r="B2" t="s">
        <v>274</v>
      </c>
      <c r="C2" t="s">
        <v>275</v>
      </c>
    </row>
    <row r="3" spans="1:3" ht="16" x14ac:dyDescent="0.2">
      <c r="A3" s="3" t="s">
        <v>276</v>
      </c>
      <c r="B3" t="s">
        <v>377</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w.warehouseshortname='ABQ') and requesttypeid=(select rt.requesttypeid from app.requesttype rt where rt.description='will-call-alert');</v>
      </c>
    </row>
    <row r="4" spans="1:3" ht="16" x14ac:dyDescent="0.2">
      <c r="A4" s="3" t="s">
        <v>284</v>
      </c>
      <c r="B4" t="s">
        <v>377</v>
      </c>
      <c r="C4" t="str">
        <f t="shared" ref="C4:C40"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w.warehouseshortname='ARK') and requesttypeid=(select rt.requesttypeid from app.requesttype rt where rt.description='will-call-alert');</v>
      </c>
    </row>
    <row r="5" spans="1:3" ht="16" x14ac:dyDescent="0.2">
      <c r="A5" s="3" t="s">
        <v>285</v>
      </c>
      <c r="B5" t="s">
        <v>377</v>
      </c>
      <c r="C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w.warehouseshortname='ASH') and requesttypeid=(select rt.requesttypeid from app.requesttype rt where rt.description='will-call-alert');</v>
      </c>
    </row>
    <row r="6" spans="1:3" ht="16" x14ac:dyDescent="0.2">
      <c r="A6" s="3" t="s">
        <v>286</v>
      </c>
      <c r="B6" t="s">
        <v>377</v>
      </c>
      <c r="C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w.warehouseshortname='ATL') and requesttypeid=(select rt.requesttypeid from app.requesttype rt where rt.description='will-call-alert');</v>
      </c>
    </row>
    <row r="7" spans="1:3" ht="16" x14ac:dyDescent="0.2">
      <c r="A7" s="3" t="s">
        <v>287</v>
      </c>
      <c r="B7" t="s">
        <v>377</v>
      </c>
      <c r="C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w.warehouseshortname='AUB') and requesttypeid=(select rt.requesttypeid from app.requesttype rt where rt.description='will-call-alert');</v>
      </c>
    </row>
    <row r="8" spans="1:3" ht="16" x14ac:dyDescent="0.2">
      <c r="A8" s="3" t="s">
        <v>288</v>
      </c>
      <c r="B8" t="s">
        <v>377</v>
      </c>
      <c r="C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w.warehouseshortname='CCR') and requesttypeid=(select rt.requesttypeid from app.requesttype rt where rt.description='will-call-alert');</v>
      </c>
    </row>
    <row r="9" spans="1:3" ht="16" x14ac:dyDescent="0.2">
      <c r="A9" s="3" t="s">
        <v>289</v>
      </c>
      <c r="B9" t="s">
        <v>377</v>
      </c>
      <c r="C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w.warehouseshortname='COL') and requesttypeid=(select rt.requesttypeid from app.requesttype rt where rt.description='will-call-alert');</v>
      </c>
    </row>
    <row r="10" spans="1:3" ht="16" x14ac:dyDescent="0.2">
      <c r="A10" s="3" t="s">
        <v>290</v>
      </c>
      <c r="B10" t="s">
        <v>377</v>
      </c>
      <c r="C1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w.warehouseshortname='DEN') and requesttypeid=(select rt.requesttypeid from app.requesttype rt where rt.description='will-call-alert');</v>
      </c>
    </row>
    <row r="11" spans="1:3" ht="16" x14ac:dyDescent="0.2">
      <c r="A11" s="3" t="s">
        <v>291</v>
      </c>
      <c r="B11" t="s">
        <v>377</v>
      </c>
      <c r="C1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w.warehouseshortname='DFB') and requesttypeid=(select rt.requesttypeid from app.requesttype rt where rt.description='will-call-alert');</v>
      </c>
    </row>
    <row r="12" spans="1:3" ht="16" x14ac:dyDescent="0.2">
      <c r="A12" s="3" t="s">
        <v>292</v>
      </c>
      <c r="B12" t="s">
        <v>377</v>
      </c>
      <c r="C1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w.warehouseshortname='ELP') and requesttypeid=(select rt.requesttypeid from app.requesttype rt where rt.description='will-call-alert');</v>
      </c>
    </row>
    <row r="13" spans="1:3" ht="16" x14ac:dyDescent="0.2">
      <c r="A13" s="3" t="s">
        <v>293</v>
      </c>
      <c r="B13" t="s">
        <v>377</v>
      </c>
      <c r="C1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w.warehouseshortname='FAR') and requesttypeid=(select rt.requesttypeid from app.requesttype rt where rt.description='will-call-alert');</v>
      </c>
    </row>
    <row r="14" spans="1:3" ht="16" x14ac:dyDescent="0.2">
      <c r="A14" s="3" t="s">
        <v>294</v>
      </c>
      <c r="B14" t="s">
        <v>377</v>
      </c>
      <c r="C1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w.warehouseshortname='GRP') and requesttypeid=(select rt.requesttypeid from app.requesttype rt where rt.description='will-call-alert');</v>
      </c>
    </row>
    <row r="15" spans="1:3" ht="16" x14ac:dyDescent="0.2">
      <c r="A15" s="3" t="s">
        <v>295</v>
      </c>
      <c r="B15" t="s">
        <v>377</v>
      </c>
      <c r="C1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w.warehouseshortname='HAW') and requesttypeid=(select rt.requesttypeid from app.requesttype rt where rt.description='will-call-alert');</v>
      </c>
    </row>
    <row r="16" spans="1:3" ht="16" x14ac:dyDescent="0.2">
      <c r="A16" s="3" t="s">
        <v>296</v>
      </c>
      <c r="B16" t="s">
        <v>377</v>
      </c>
      <c r="C1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w.warehouseshortname='HOU') and requesttypeid=(select rt.requesttypeid from app.requesttype rt where rt.description='will-call-alert');</v>
      </c>
    </row>
    <row r="17" spans="1:3" ht="16" x14ac:dyDescent="0.2">
      <c r="A17" s="3" t="s">
        <v>297</v>
      </c>
      <c r="B17" t="s">
        <v>377</v>
      </c>
      <c r="C1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w.warehouseshortname='IND') and requesttypeid=(select rt.requesttypeid from app.requesttype rt where rt.description='will-call-alert');</v>
      </c>
    </row>
    <row r="18" spans="1:3" ht="16" x14ac:dyDescent="0.2">
      <c r="A18" s="3" t="s">
        <v>298</v>
      </c>
      <c r="B18" t="s">
        <v>377</v>
      </c>
      <c r="C1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w.warehouseshortname='JAC') and requesttypeid=(select rt.requesttypeid from app.requesttype rt where rt.description='will-call-alert');</v>
      </c>
    </row>
    <row r="19" spans="1:3" ht="16" x14ac:dyDescent="0.2">
      <c r="A19" s="3" t="s">
        <v>299</v>
      </c>
      <c r="B19" t="s">
        <v>377</v>
      </c>
      <c r="C1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w.warehouseshortname='JES') and requesttypeid=(select rt.requesttypeid from app.requesttype rt where rt.description='will-call-alert');</v>
      </c>
    </row>
    <row r="20" spans="1:3" ht="16" x14ac:dyDescent="0.2">
      <c r="A20" s="3" t="s">
        <v>300</v>
      </c>
      <c r="B20" t="s">
        <v>377</v>
      </c>
      <c r="C2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w.warehouseshortname='KAP') and requesttypeid=(select rt.requesttypeid from app.requesttype rt where rt.description='will-call-alert');</v>
      </c>
    </row>
    <row r="21" spans="1:3" ht="16" x14ac:dyDescent="0.2">
      <c r="A21" s="3" t="s">
        <v>301</v>
      </c>
      <c r="B21" t="s">
        <v>377</v>
      </c>
      <c r="C2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w.warehouseshortname='KAU') and requesttypeid=(select rt.requesttypeid from app.requesttype rt where rt.description='will-call-alert');</v>
      </c>
    </row>
    <row r="22" spans="1:3" ht="16" x14ac:dyDescent="0.2">
      <c r="A22" s="3" t="s">
        <v>302</v>
      </c>
      <c r="B22" t="s">
        <v>377</v>
      </c>
      <c r="C2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w.warehouseshortname='LAF') and requesttypeid=(select rt.requesttypeid from app.requesttype rt where rt.description='will-call-alert');</v>
      </c>
    </row>
    <row r="23" spans="1:3" ht="16" x14ac:dyDescent="0.2">
      <c r="A23" s="3" t="s">
        <v>303</v>
      </c>
      <c r="B23" t="s">
        <v>377</v>
      </c>
      <c r="C2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w.warehouseshortname='LIV') and requesttypeid=(select rt.requesttypeid from app.requesttype rt where rt.description='will-call-alert');</v>
      </c>
    </row>
    <row r="24" spans="1:3" ht="16" x14ac:dyDescent="0.2">
      <c r="A24" s="3" t="s">
        <v>304</v>
      </c>
      <c r="B24" t="s">
        <v>377</v>
      </c>
      <c r="C2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w.warehouseshortname='LOU') and requesttypeid=(select rt.requesttypeid from app.requesttype rt where rt.description='will-call-alert');</v>
      </c>
    </row>
    <row r="25" spans="1:3" ht="16" x14ac:dyDescent="0.2">
      <c r="A25" s="3" t="s">
        <v>305</v>
      </c>
      <c r="B25" t="s">
        <v>377</v>
      </c>
      <c r="C2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w.warehouseshortname='LUB') and requesttypeid=(select rt.requesttypeid from app.requesttype rt where rt.description='will-call-alert');</v>
      </c>
    </row>
    <row r="26" spans="1:3" ht="16" x14ac:dyDescent="0.2">
      <c r="A26" s="3" t="s">
        <v>306</v>
      </c>
      <c r="B26" t="s">
        <v>377</v>
      </c>
      <c r="C2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w.warehouseshortname='MAU') and requesttypeid=(select rt.requesttypeid from app.requesttype rt where rt.description='will-call-alert');</v>
      </c>
    </row>
    <row r="27" spans="1:3" ht="16" x14ac:dyDescent="0.2">
      <c r="A27" s="3" t="s">
        <v>307</v>
      </c>
      <c r="B27" t="s">
        <v>377</v>
      </c>
      <c r="C2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w.warehouseshortname='NEW') and requesttypeid=(select rt.requesttypeid from app.requesttype rt where rt.description='will-call-alert');</v>
      </c>
    </row>
    <row r="28" spans="1:3" ht="16" x14ac:dyDescent="0.2">
      <c r="A28" s="3" t="s">
        <v>308</v>
      </c>
      <c r="B28" t="s">
        <v>377</v>
      </c>
      <c r="C2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w.warehouseshortname='OAH') and requesttypeid=(select rt.requesttypeid from app.requesttype rt where rt.description='will-call-alert');</v>
      </c>
    </row>
    <row r="29" spans="1:3" ht="16" x14ac:dyDescent="0.2">
      <c r="A29" s="3" t="s">
        <v>309</v>
      </c>
      <c r="B29" t="s">
        <v>377</v>
      </c>
      <c r="C2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w.warehouseshortname='OKL') and requesttypeid=(select rt.requesttypeid from app.requesttype rt where rt.description='will-call-alert');</v>
      </c>
    </row>
    <row r="30" spans="1:3" ht="16" x14ac:dyDescent="0.2">
      <c r="A30" s="3" t="s">
        <v>310</v>
      </c>
      <c r="B30" t="s">
        <v>377</v>
      </c>
      <c r="C3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w.warehouseshortname='OMA') and requesttypeid=(select rt.requesttypeid from app.requesttype rt where rt.description='will-call-alert');</v>
      </c>
    </row>
    <row r="31" spans="1:3" ht="16" x14ac:dyDescent="0.2">
      <c r="A31" s="3" t="s">
        <v>311</v>
      </c>
      <c r="B31" t="s">
        <v>377</v>
      </c>
      <c r="C31"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w.warehouseshortname='ORL') and requesttypeid=(select rt.requesttypeid from app.requesttype rt where rt.description='will-call-alert');</v>
      </c>
    </row>
    <row r="32" spans="1:3" ht="16" x14ac:dyDescent="0.2">
      <c r="A32" s="3" t="s">
        <v>312</v>
      </c>
      <c r="B32" t="s">
        <v>377</v>
      </c>
      <c r="C32"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w.warehouseshortname='PEN') and requesttypeid=(select rt.requesttypeid from app.requesttype rt where rt.description='will-call-alert');</v>
      </c>
    </row>
    <row r="33" spans="1:3" ht="16" x14ac:dyDescent="0.2">
      <c r="A33" s="3" t="s">
        <v>313</v>
      </c>
      <c r="B33" t="s">
        <v>377</v>
      </c>
      <c r="C33"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w.warehouseshortname='PHO') and requesttypeid=(select rt.requesttypeid from app.requesttype rt where rt.description='will-call-alert');</v>
      </c>
    </row>
    <row r="34" spans="1:3" ht="16" x14ac:dyDescent="0.2">
      <c r="A34" s="3" t="s">
        <v>314</v>
      </c>
      <c r="B34" t="s">
        <v>377</v>
      </c>
      <c r="C34"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w.warehouseshortname='POR') and requesttypeid=(select rt.requesttypeid from app.requesttype rt where rt.description='will-call-alert');</v>
      </c>
    </row>
    <row r="35" spans="1:3" ht="16" x14ac:dyDescent="0.2">
      <c r="A35" s="3" t="s">
        <v>315</v>
      </c>
      <c r="B35" t="s">
        <v>377</v>
      </c>
      <c r="C35"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w.warehouseshortname='ROM') and requesttypeid=(select rt.requesttypeid from app.requesttype rt where rt.description='will-call-alert');</v>
      </c>
    </row>
    <row r="36" spans="1:3" ht="16" x14ac:dyDescent="0.2">
      <c r="A36" s="3" t="s">
        <v>316</v>
      </c>
      <c r="B36" t="s">
        <v>377</v>
      </c>
      <c r="C36"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w.warehouseshortname='SAA') and requesttypeid=(select rt.requesttypeid from app.requesttype rt where rt.description='will-call-alert');</v>
      </c>
    </row>
    <row r="37" spans="1:3" ht="16" x14ac:dyDescent="0.2">
      <c r="A37" s="3" t="s">
        <v>317</v>
      </c>
      <c r="B37" t="s">
        <v>377</v>
      </c>
      <c r="C37"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w.warehouseshortname='SIO') and requesttypeid=(select rt.requesttypeid from app.requesttype rt where rt.description='will-call-alert');</v>
      </c>
    </row>
    <row r="38" spans="1:3" ht="16" x14ac:dyDescent="0.2">
      <c r="A38" s="3" t="s">
        <v>318</v>
      </c>
      <c r="B38" t="s">
        <v>377</v>
      </c>
      <c r="C38"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w.warehouseshortname='TAM') and requesttypeid=(select rt.requesttypeid from app.requesttype rt where rt.description='will-call-alert');</v>
      </c>
    </row>
    <row r="39" spans="1:3" ht="16" x14ac:dyDescent="0.2">
      <c r="A39" s="3" t="s">
        <v>319</v>
      </c>
      <c r="B39" t="s">
        <v>377</v>
      </c>
      <c r="C39"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w.warehouseshortname='TOL') and requesttypeid=(select rt.requesttypeid from app.requesttype rt where rt.description='will-call-alert');</v>
      </c>
    </row>
    <row r="40" spans="1:3" ht="16" x14ac:dyDescent="0.2">
      <c r="A40" s="3" t="s">
        <v>320</v>
      </c>
      <c r="B40" t="s">
        <v>377</v>
      </c>
      <c r="C40" t="str">
        <f t="shared" si="0"/>
        <v>update app.warehouselocationdetail set payload = '{ "emailContent": {"subject":"created.in.the.python.code","fromEmail":"noreply@rndc-usa.com","toEmail":"use.email.from.result.set.from.mysql","sections":[{"htmlHeader":"&lt;h2 style=''margin:0;''&gt;WILL CALL ALERT&lt;/h2&gt;"},{"introHtml":"created.in.the.python.code"},{"tableHtml":{"tableHeaders":[],"tableRows":[]}},{"footerHtml":"created.in.the.python.code"}]}, "allOption": []}' where warehouseid = (select w.warehouseid from app.warehouselocation w where w.warehouseshortname='WSD') and requesttypeid=(select rt.requesttypeid from app.requesttype rt where rt.description='will-call-alert');</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41C3-8BCE-4B11-BF52-543B3CB4FADD}">
  <dimension ref="A1"/>
  <sheetViews>
    <sheetView workbookViewId="0">
      <selection sqref="A1:XFD1048576"/>
    </sheetView>
  </sheetViews>
  <sheetFormatPr baseColWidth="10" defaultColWidth="8.83203125" defaultRowHeight="1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AF82-EF0D-426B-BFDF-564E5BA8A02A}">
  <dimension ref="A1:D7"/>
  <sheetViews>
    <sheetView workbookViewId="0">
      <selection activeCell="C3" sqref="C3"/>
    </sheetView>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363</v>
      </c>
      <c r="D1" t="s">
        <v>373</v>
      </c>
    </row>
    <row r="2" spans="1:4" x14ac:dyDescent="0.2">
      <c r="A2" t="s">
        <v>262</v>
      </c>
      <c r="C2" t="s">
        <v>374</v>
      </c>
      <c r="D2" t="s">
        <v>375</v>
      </c>
    </row>
    <row r="3" spans="1:4" ht="64" x14ac:dyDescent="0.2">
      <c r="A3" t="s">
        <v>294</v>
      </c>
      <c r="C3" s="2"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c r="D3" t="str">
        <f>$D$1 &amp; " " &amp; C3</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'GRP' and not exists (select 1 from app.warehouselocationdetail d, app.warehouselocation w2, app.requesttype rt2 where d.warehouseid = w2.warehouseid and d.requesttypeid = rt2.requesttypeid and w2.warehouseshortname = 'GRP' and rt2.description = 'fs-asw-asn-error')</v>
      </c>
    </row>
    <row r="4" spans="1:4" x14ac:dyDescent="0.2">
      <c r="A4" t="s">
        <v>296</v>
      </c>
      <c r="C4" t="str">
        <f t="shared" ref="C4:C7"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c r="D4" t="str">
        <f>$D$1 &amp; " " &amp; C4</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'HOU' and not exists (select 1 from app.warehouselocationdetail d, app.warehouselocation w2, app.requesttype rt2 where d.warehouseid = w2.warehouseid and d.requesttypeid = rt2.requesttypeid and w2.warehouseshortname = 'HOU' and rt2.description = 'fs-asw-asn-error')</v>
      </c>
    </row>
    <row r="5" spans="1:4" x14ac:dyDescent="0.2">
      <c r="A5" t="s">
        <v>305</v>
      </c>
      <c r="C5" t="str">
        <f t="shared" si="0"/>
        <v>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c r="D5" t="str">
        <f>$D$1 &amp; " " &amp; C5</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'LUB' and not exists (select 1 from app.warehouselocationdetail d, app.warehouselocation w2, app.requesttype rt2 where d.warehouseid = w2.warehouseid and d.requesttypeid = rt2.requesttypeid and w2.warehouseshortname = 'LUB' and rt2.description = 'fs-asw-asn-error')</v>
      </c>
    </row>
    <row r="6" spans="1:4" x14ac:dyDescent="0.2">
      <c r="A6" t="s">
        <v>292</v>
      </c>
      <c r="C6" t="str">
        <f t="shared" si="0"/>
        <v>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c r="D6" t="str">
        <f>$D$1 &amp; " " &amp; C6</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'ELP' and not exists (select 1 from app.warehouselocationdetail d, app.warehouselocation w2, app.requesttype rt2 where d.warehouseid = w2.warehouseid and d.requesttypeid = rt2.requesttypeid and w2.warehouseshortname = 'ELP' and rt2.description = 'fs-asw-asn-error')</v>
      </c>
    </row>
    <row r="7" spans="1:4" x14ac:dyDescent="0.2">
      <c r="A7" t="s">
        <v>316</v>
      </c>
      <c r="C7" t="str">
        <f t="shared" si="0"/>
        <v>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c r="D7" t="str">
        <f>$D$1 &amp; " " &amp; C7</f>
        <v>insert into app.warehouselocationdetail(description, longdescription, warehouseid, requesttypeid, createdby, lastupdatedby)  select 'fs-asw-asn-error' description, 'fs-asw-asn-error' longdescription, w.warehouseid, rt.requesttypeid, 'sysuser', 'sysuser' from app.requesttype rt, app.warehouselocation w  where rt.description = 'fs-asw-asn-error' and w.warehouseshortname = 'SAA' and not exists (select 1 from app.warehouselocationdetail d, app.warehouselocation w2, app.requesttype rt2 where d.warehouseid = w2.warehouseid and d.requesttypeid = rt2.requesttypeid and w2.warehouseshortname = 'SAA' and rt2.description = 'fs-asw-asn-error')</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0D64-C385-4B1F-AE4C-02C0C888AB9F}">
  <dimension ref="A1:C41"/>
  <sheetViews>
    <sheetView workbookViewId="0">
      <selection activeCell="B4" sqref="B4"/>
    </sheetView>
  </sheetViews>
  <sheetFormatPr baseColWidth="10" defaultColWidth="8.83203125" defaultRowHeight="15" x14ac:dyDescent="0.2"/>
  <cols>
    <col min="2" max="2" width="49.83203125" customWidth="1"/>
    <col min="3" max="3" width="64.6640625" customWidth="1"/>
  </cols>
  <sheetData>
    <row r="1" spans="1:3" x14ac:dyDescent="0.2">
      <c r="B1" t="s">
        <v>363</v>
      </c>
    </row>
    <row r="2" spans="1:3" x14ac:dyDescent="0.2">
      <c r="A2" t="s">
        <v>262</v>
      </c>
      <c r="B2" t="s">
        <v>274</v>
      </c>
      <c r="C2" t="s">
        <v>275</v>
      </c>
    </row>
    <row r="3" spans="1:3" x14ac:dyDescent="0.2">
      <c r="A3" t="s">
        <v>294</v>
      </c>
      <c r="B3" t="s">
        <v>378</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Richard.Gamez@RNDC-USA.COM, Joyce.Holland@RNDC-USA.COM, Matthew.Neuhaus@RNDC-USA.COM, Jackie.Sheppard@RNDC-USA.COM, justin.derrickson@rndc-usa.com, Juan.Negrete@RNDC-USA.com, Saul.Arcibar@RNDC-USA.com, Amanda.Konshak@RNDC-USA.com, Jesse.Contreras@RNDC-USA.com",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w.warehouseshortname='GRP') and requesttypeid=(select rt.requesttypeid from app.requesttype rt where rt.description='fs-asw-asn-error');</v>
      </c>
    </row>
    <row r="4" spans="1:3" x14ac:dyDescent="0.2">
      <c r="A4" t="s">
        <v>296</v>
      </c>
      <c r="B4" t="s">
        <v>379</v>
      </c>
      <c r="C4" t="str">
        <f t="shared" ref="C4:C41"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'{"emailContent": {"subject": "Splunk Alert: $name$", "body": "The alert condition for $name$ was triggered", "fromEmail": "noreply@rndc-usa.com", "toEmail": "wmsinternal@RNDC-USA.COM, WMSMSPSupport@RNDC-USA.COM, James.Phillips@RNDC-USA.COM, Richard.Packer@RNDC-USA.COM, Randy.Aparicio@RNDC-USA.COM, Hector.Marquez@RNDC-USA.COM,IDONGESIT.ETIM@RNDC-USA.COM",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w.warehouseshortname='HOU') and requesttypeid=(select rt.requesttypeid from app.requesttype rt where rt.description='fs-asw-asn-error');</v>
      </c>
    </row>
    <row r="5" spans="1:3" x14ac:dyDescent="0.2">
      <c r="A5" t="s">
        <v>305</v>
      </c>
      <c r="B5" t="s">
        <v>380</v>
      </c>
      <c r="C5" t="str">
        <f t="shared" si="0"/>
        <v>update app.warehouselocationdetail set payload = '{"emailContent": {"subject": "Splunk Alert: $name$", "body": "The alert condition for $name$ was triggered", "fromEmail": "noreply@rndc-usa.com", "toEmail": "wmsinternal@RNDC-USA.COM, WMSMSPSupport@RNDC-USA.COM,tyler.gilmore@rndc-usa.com, Robert.Hernandez@RNDC-USA.COM, TREY.FULLINGIM@RNDC-USA.COM, Joseph.Duran@RNDC-USA.COM, Chris.Scruggs@RNDC-USA.COM", "footer": "If you believe you''ve received this email in error, please see your WMS Tools administrator.&lt;br&gt;WMS Tools: the engine for machine data", "attachment": ["inline-table", "link-to-alert", "link-to-results", "search-string"]}, "allOption": []}' where warehouseid = (select w.warehouseid from app.warehouselocation w where w.warehouseshortname='LUB') and requesttypeid=(select rt.requesttypeid from app.requesttype rt where rt.description='fs-asw-asn-error');</v>
      </c>
    </row>
    <row r="6" spans="1:3" x14ac:dyDescent="0.2">
      <c r="A6" t="s">
        <v>292</v>
      </c>
      <c r="B6" t="s">
        <v>381</v>
      </c>
      <c r="C6" t="str">
        <f t="shared" si="0"/>
        <v>update app.warehouselocationdetail set payload = '{"emailContent": {"subject": "Splunk Alert: $name$", "body": "The alert condition for $name$ was triggered", "fromEmail": "noreply@rndc-usa.com", "toEmail": "wmsinternal@RNDC-USA.COM, WMSMSPSupport@RNDC-USA.COM, Doug.Houston@RNDC-USA.COM, Jason.Teising@RNDC-USA.COM, keith.thompson@rndc-usa.com,frank.ceja@rndc-usa.com", "footer": "If you believe you''ve received this email in error, please see your WMS Tools administrator.&lt;br&gt;WMS Tools: the engine for machine data", "attachment": ["inline-table"]}, "allOption": []}' where warehouseid = (select w.warehouseid from app.warehouselocation w where w.warehouseshortname='ELP') and requesttypeid=(select rt.requesttypeid from app.requesttype rt where rt.description='fs-asw-asn-error');</v>
      </c>
    </row>
    <row r="7" spans="1:3" x14ac:dyDescent="0.2">
      <c r="A7" t="s">
        <v>316</v>
      </c>
      <c r="B7" s="1" t="s">
        <v>382</v>
      </c>
      <c r="C7" t="str">
        <f t="shared" si="0"/>
        <v>update app.warehouselocationdetail set payload = '{"emailContent": {"subject": "Splunk Alert: $name$", "body": "The alert condition for $name$ was triggered", "fromEmail": "noreply@rndc-usa.com", "toEmail": "wmsinternal@RNDC-USA.COM, WMSMSPSupport@RNDC-USA.COM, Jason.Teising@RNDC-USA.COM, Travis.Kelly@RNDC-USA.COM, Larry.Shelton@RNDC-USA.COM, Travis.Eldridge@RNDC-USA.COM, Alex.Rios@RNDC-USA.COM, kameron.phipps@rndc-usa.com, andre.dockery@rndc-usa.com, amanda.santos@rndc-usa.com, Armando.Granados@RNDC-USA.COM", "footer": "If you believe you''ve received this email in error, please see your WMS Tools administrator.&lt;br&gt;WMS Tools: the engine for machine data", "attachment": ["inline-table"]}, "allOption": []}' where warehouseid = (select w.warehouseid from app.warehouselocation w where w.warehouseshortname='SAA') and requesttypeid=(select rt.requesttypeid from app.requesttype rt where rt.description='fs-asw-asn-error');</v>
      </c>
    </row>
    <row r="8" spans="1:3" x14ac:dyDescent="0.2">
      <c r="B8" s="1"/>
    </row>
    <row r="9" spans="1:3" ht="16" x14ac:dyDescent="0.2">
      <c r="A9" s="3" t="s">
        <v>276</v>
      </c>
      <c r="B9" s="1" t="s">
        <v>383</v>
      </c>
      <c r="C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w.warehouseshortname='ABQ') and requesttypeid=(select rt.requesttypeid from app.requesttype rt where rt.description='fs-asw-asn-error');</v>
      </c>
    </row>
    <row r="10" spans="1:3" ht="16" x14ac:dyDescent="0.2">
      <c r="A10" s="3" t="s">
        <v>284</v>
      </c>
      <c r="B10" s="1" t="s">
        <v>383</v>
      </c>
      <c r="C1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w.warehouseshortname='ARK') and requesttypeid=(select rt.requesttypeid from app.requesttype rt where rt.description='fs-asw-asn-error');</v>
      </c>
    </row>
    <row r="11" spans="1:3" ht="16" x14ac:dyDescent="0.2">
      <c r="A11" s="3" t="s">
        <v>285</v>
      </c>
      <c r="B11" s="1" t="s">
        <v>383</v>
      </c>
      <c r="C1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w.warehouseshortname='ASH') and requesttypeid=(select rt.requesttypeid from app.requesttype rt where rt.description='fs-asw-asn-error');</v>
      </c>
    </row>
    <row r="12" spans="1:3" ht="16" x14ac:dyDescent="0.2">
      <c r="A12" s="3" t="s">
        <v>286</v>
      </c>
      <c r="B12" s="1" t="s">
        <v>383</v>
      </c>
      <c r="C1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w.warehouseshortname='ATL') and requesttypeid=(select rt.requesttypeid from app.requesttype rt where rt.description='fs-asw-asn-error');</v>
      </c>
    </row>
    <row r="13" spans="1:3" ht="16" x14ac:dyDescent="0.2">
      <c r="A13" s="3" t="s">
        <v>287</v>
      </c>
      <c r="B13" s="1" t="s">
        <v>383</v>
      </c>
      <c r="C1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w.warehouseshortname='AUB') and requesttypeid=(select rt.requesttypeid from app.requesttype rt where rt.description='fs-asw-asn-error');</v>
      </c>
    </row>
    <row r="14" spans="1:3" ht="16" x14ac:dyDescent="0.2">
      <c r="A14" s="3" t="s">
        <v>288</v>
      </c>
      <c r="B14" s="1" t="s">
        <v>383</v>
      </c>
      <c r="C1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w.warehouseshortname='CCR') and requesttypeid=(select rt.requesttypeid from app.requesttype rt where rt.description='fs-asw-asn-error');</v>
      </c>
    </row>
    <row r="15" spans="1:3" ht="16" x14ac:dyDescent="0.2">
      <c r="A15" s="3" t="s">
        <v>289</v>
      </c>
      <c r="B15" s="1" t="s">
        <v>383</v>
      </c>
      <c r="C1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w.warehouseshortname='COL') and requesttypeid=(select rt.requesttypeid from app.requesttype rt where rt.description='fs-asw-asn-error');</v>
      </c>
    </row>
    <row r="16" spans="1:3" ht="16" x14ac:dyDescent="0.2">
      <c r="A16" s="3" t="s">
        <v>290</v>
      </c>
      <c r="B16" s="1" t="s">
        <v>383</v>
      </c>
      <c r="C1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w.warehouseshortname='DEN') and requesttypeid=(select rt.requesttypeid from app.requesttype rt where rt.description='fs-asw-asn-error');</v>
      </c>
    </row>
    <row r="17" spans="1:3" ht="16" x14ac:dyDescent="0.2">
      <c r="A17" s="3" t="s">
        <v>291</v>
      </c>
      <c r="B17" s="1" t="s">
        <v>383</v>
      </c>
      <c r="C1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w.warehouseshortname='DFB') and requesttypeid=(select rt.requesttypeid from app.requesttype rt where rt.description='fs-asw-asn-error');</v>
      </c>
    </row>
    <row r="18" spans="1:3" ht="16" x14ac:dyDescent="0.2">
      <c r="A18" s="3" t="s">
        <v>293</v>
      </c>
      <c r="B18" s="1" t="s">
        <v>383</v>
      </c>
      <c r="C1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w.warehouseshortname='FAR') and requesttypeid=(select rt.requesttypeid from app.requesttype rt where rt.description='fs-asw-asn-error');</v>
      </c>
    </row>
    <row r="19" spans="1:3" ht="16" x14ac:dyDescent="0.2">
      <c r="A19" s="3" t="s">
        <v>295</v>
      </c>
      <c r="B19" s="1" t="s">
        <v>383</v>
      </c>
      <c r="C1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w.warehouseshortname='HAW') and requesttypeid=(select rt.requesttypeid from app.requesttype rt where rt.description='fs-asw-asn-error');</v>
      </c>
    </row>
    <row r="20" spans="1:3" ht="16" x14ac:dyDescent="0.2">
      <c r="A20" s="3" t="s">
        <v>297</v>
      </c>
      <c r="B20" s="1" t="s">
        <v>383</v>
      </c>
      <c r="C2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w.warehouseshortname='IND') and requesttypeid=(select rt.requesttypeid from app.requesttype rt where rt.description='fs-asw-asn-error');</v>
      </c>
    </row>
    <row r="21" spans="1:3" ht="16" x14ac:dyDescent="0.2">
      <c r="A21" s="3" t="s">
        <v>298</v>
      </c>
      <c r="B21" s="1" t="s">
        <v>383</v>
      </c>
      <c r="C2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w.warehouseshortname='JAC') and requesttypeid=(select rt.requesttypeid from app.requesttype rt where rt.description='fs-asw-asn-error');</v>
      </c>
    </row>
    <row r="22" spans="1:3" ht="16" x14ac:dyDescent="0.2">
      <c r="A22" s="3" t="s">
        <v>299</v>
      </c>
      <c r="B22" s="1" t="s">
        <v>383</v>
      </c>
      <c r="C2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w.warehouseshortname='JES') and requesttypeid=(select rt.requesttypeid from app.requesttype rt where rt.description='fs-asw-asn-error');</v>
      </c>
    </row>
    <row r="23" spans="1:3" ht="16" x14ac:dyDescent="0.2">
      <c r="A23" s="3" t="s">
        <v>300</v>
      </c>
      <c r="B23" s="1" t="s">
        <v>383</v>
      </c>
      <c r="C2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w.warehouseshortname='KAP') and requesttypeid=(select rt.requesttypeid from app.requesttype rt where rt.description='fs-asw-asn-error');</v>
      </c>
    </row>
    <row r="24" spans="1:3" ht="16" x14ac:dyDescent="0.2">
      <c r="A24" s="3" t="s">
        <v>301</v>
      </c>
      <c r="B24" s="1" t="s">
        <v>383</v>
      </c>
      <c r="C2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w.warehouseshortname='KAU') and requesttypeid=(select rt.requesttypeid from app.requesttype rt where rt.description='fs-asw-asn-error');</v>
      </c>
    </row>
    <row r="25" spans="1:3" ht="16" x14ac:dyDescent="0.2">
      <c r="A25" s="3" t="s">
        <v>302</v>
      </c>
      <c r="B25" s="1" t="s">
        <v>383</v>
      </c>
      <c r="C2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w.warehouseshortname='LAF') and requesttypeid=(select rt.requesttypeid from app.requesttype rt where rt.description='fs-asw-asn-error');</v>
      </c>
    </row>
    <row r="26" spans="1:3" ht="16" x14ac:dyDescent="0.2">
      <c r="A26" s="3" t="s">
        <v>303</v>
      </c>
      <c r="B26" s="1" t="s">
        <v>383</v>
      </c>
      <c r="C2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w.warehouseshortname='LIV') and requesttypeid=(select rt.requesttypeid from app.requesttype rt where rt.description='fs-asw-asn-error');</v>
      </c>
    </row>
    <row r="27" spans="1:3" ht="16" x14ac:dyDescent="0.2">
      <c r="A27" s="3" t="s">
        <v>305</v>
      </c>
      <c r="B27" s="1" t="s">
        <v>383</v>
      </c>
      <c r="C2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w.warehouseshortname='LUB') and requesttypeid=(select rt.requesttypeid from app.requesttype rt where rt.description='fs-asw-asn-error');</v>
      </c>
    </row>
    <row r="28" spans="1:3" ht="16" x14ac:dyDescent="0.2">
      <c r="A28" s="3" t="s">
        <v>306</v>
      </c>
      <c r="B28" s="1" t="s">
        <v>383</v>
      </c>
      <c r="C2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w.warehouseshortname='MAU') and requesttypeid=(select rt.requesttypeid from app.requesttype rt where rt.description='fs-asw-asn-error');</v>
      </c>
    </row>
    <row r="29" spans="1:3" ht="16" x14ac:dyDescent="0.2">
      <c r="A29" s="3" t="s">
        <v>307</v>
      </c>
      <c r="B29" s="1" t="s">
        <v>383</v>
      </c>
      <c r="C2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w.warehouseshortname='NEW') and requesttypeid=(select rt.requesttypeid from app.requesttype rt where rt.description='fs-asw-asn-error');</v>
      </c>
    </row>
    <row r="30" spans="1:3" ht="16" x14ac:dyDescent="0.2">
      <c r="A30" s="3" t="s">
        <v>308</v>
      </c>
      <c r="B30" s="1" t="s">
        <v>383</v>
      </c>
      <c r="C3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w.warehouseshortname='OAH') and requesttypeid=(select rt.requesttypeid from app.requesttype rt where rt.description='fs-asw-asn-error');</v>
      </c>
    </row>
    <row r="31" spans="1:3" ht="16" x14ac:dyDescent="0.2">
      <c r="A31" s="3" t="s">
        <v>309</v>
      </c>
      <c r="B31" s="1" t="s">
        <v>383</v>
      </c>
      <c r="C3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w.warehouseshortname='OKL') and requesttypeid=(select rt.requesttypeid from app.requesttype rt where rt.description='fs-asw-asn-error');</v>
      </c>
    </row>
    <row r="32" spans="1:3" ht="16" x14ac:dyDescent="0.2">
      <c r="A32" s="3" t="s">
        <v>310</v>
      </c>
      <c r="B32" s="1" t="s">
        <v>383</v>
      </c>
      <c r="C32"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w.warehouseshortname='OMA') and requesttypeid=(select rt.requesttypeid from app.requesttype rt where rt.description='fs-asw-asn-error');</v>
      </c>
    </row>
    <row r="33" spans="1:3" ht="16" x14ac:dyDescent="0.2">
      <c r="A33" s="3" t="s">
        <v>311</v>
      </c>
      <c r="B33" s="1" t="s">
        <v>383</v>
      </c>
      <c r="C33"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w.warehouseshortname='ORL') and requesttypeid=(select rt.requesttypeid from app.requesttype rt where rt.description='fs-asw-asn-error');</v>
      </c>
    </row>
    <row r="34" spans="1:3" ht="16" x14ac:dyDescent="0.2">
      <c r="A34" s="3" t="s">
        <v>312</v>
      </c>
      <c r="B34" s="1" t="s">
        <v>383</v>
      </c>
      <c r="C34"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w.warehouseshortname='PEN') and requesttypeid=(select rt.requesttypeid from app.requesttype rt where rt.description='fs-asw-asn-error');</v>
      </c>
    </row>
    <row r="35" spans="1:3" ht="16" x14ac:dyDescent="0.2">
      <c r="A35" s="3" t="s">
        <v>313</v>
      </c>
      <c r="B35" s="1" t="s">
        <v>383</v>
      </c>
      <c r="C35"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w.warehouseshortname='PHO') and requesttypeid=(select rt.requesttypeid from app.requesttype rt where rt.description='fs-asw-asn-error');</v>
      </c>
    </row>
    <row r="36" spans="1:3" ht="16" x14ac:dyDescent="0.2">
      <c r="A36" s="3" t="s">
        <v>314</v>
      </c>
      <c r="B36" s="1" t="s">
        <v>383</v>
      </c>
      <c r="C36"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w.warehouseshortname='POR') and requesttypeid=(select rt.requesttypeid from app.requesttype rt where rt.description='fs-asw-asn-error');</v>
      </c>
    </row>
    <row r="37" spans="1:3" ht="16" x14ac:dyDescent="0.2">
      <c r="A37" s="3" t="s">
        <v>315</v>
      </c>
      <c r="B37" s="1" t="s">
        <v>383</v>
      </c>
      <c r="C37"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w.warehouseshortname='ROM') and requesttypeid=(select rt.requesttypeid from app.requesttype rt where rt.description='fs-asw-asn-error');</v>
      </c>
    </row>
    <row r="38" spans="1:3" ht="16" x14ac:dyDescent="0.2">
      <c r="A38" s="3" t="s">
        <v>317</v>
      </c>
      <c r="B38" s="1" t="s">
        <v>383</v>
      </c>
      <c r="C38"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w.warehouseshortname='SIO') and requesttypeid=(select rt.requesttypeid from app.requesttype rt where rt.description='fs-asw-asn-error');</v>
      </c>
    </row>
    <row r="39" spans="1:3" ht="16" x14ac:dyDescent="0.2">
      <c r="A39" s="3" t="s">
        <v>318</v>
      </c>
      <c r="B39" s="1" t="s">
        <v>383</v>
      </c>
      <c r="C39"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w.warehouseshortname='TAM') and requesttypeid=(select rt.requesttypeid from app.requesttype rt where rt.description='fs-asw-asn-error');</v>
      </c>
    </row>
    <row r="40" spans="1:3" ht="16" x14ac:dyDescent="0.2">
      <c r="A40" s="3" t="s">
        <v>319</v>
      </c>
      <c r="B40" s="1" t="s">
        <v>383</v>
      </c>
      <c r="C40"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w.warehouseshortname='TOL') and requesttypeid=(select rt.requesttypeid from app.requesttype rt where rt.description='fs-asw-asn-error');</v>
      </c>
    </row>
    <row r="41" spans="1:3" ht="16" x14ac:dyDescent="0.2">
      <c r="A41" s="3" t="s">
        <v>320</v>
      </c>
      <c r="B41" s="1" t="s">
        <v>383</v>
      </c>
      <c r="C41" t="str">
        <f t="shared" si="0"/>
        <v>update app.warehouselocationdetail set payload = '{"emailContent": {"subject": "Splunk Alert: $name$", "body": "The alert condition for $name$ was triggered", "fromEmail": "noreply@rndc-usa.com", "toEmail": "wmsinternal@RNDC-USA.COM, WMSMSPSupport@RNDC-USA.COM", "footer": "If you believe you''ve received this email in error, please see your WMS Tools administrator.&lt;br&gt;WMS Tools: the engine for machine data", "attachment": ["inline-table"]}, "allOption": []}' where warehouseid = (select w.warehouseid from app.warehouselocation w where w.warehouseshortname='WSD') and requesttypeid=(select rt.requesttypeid from app.requesttype rt where rt.description='fs-asw-asn-error');</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D9F4-522B-408F-AA20-A0CEAA353649}">
  <dimension ref="A1:D6"/>
  <sheetViews>
    <sheetView workbookViewId="0"/>
  </sheetViews>
  <sheetFormatPr baseColWidth="10" defaultColWidth="8.83203125" defaultRowHeight="15" x14ac:dyDescent="0.2"/>
  <cols>
    <col min="2" max="2" width="49.83203125" customWidth="1"/>
    <col min="3" max="3" width="106.33203125" customWidth="1"/>
    <col min="4" max="4" width="100.33203125" customWidth="1"/>
  </cols>
  <sheetData>
    <row r="1" spans="1:4" x14ac:dyDescent="0.2">
      <c r="B1" t="s">
        <v>361</v>
      </c>
      <c r="D1" t="s">
        <v>373</v>
      </c>
    </row>
    <row r="2" spans="1:4" x14ac:dyDescent="0.2">
      <c r="A2" t="s">
        <v>262</v>
      </c>
      <c r="C2" t="s">
        <v>374</v>
      </c>
      <c r="D2" t="s">
        <v>375</v>
      </c>
    </row>
    <row r="3" spans="1:4" ht="16" x14ac:dyDescent="0.2">
      <c r="A3" s="2" t="s">
        <v>312</v>
      </c>
      <c r="C3" t="str">
        <f>"select '" &amp; $B$1 &amp; "' description, '" &amp; $B$1 &amp; "' longdescription, w.warehouseid, rt.requesttypeid, 'sysuser', 'sysuser' from app.requesttype rt, app.warehouselocation w  where rt.description = '" &amp; $B$1 &amp; "' and w.warehouseshortname = '" &amp; A3 &amp; "'"
&amp; " and not exists (select 1 from app.warehouselocationdetail d, app.warehouselocation w2, app.requesttype rt2 where d.warehouseid = w2.warehouseid and d.requesttypeid = rt2.requesttypeid and w2.warehouseshortname = '" &amp; A3 &amp; "' and rt2.description = '" &amp; $B$1 &amp; "')"</f>
        <v>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c r="D3" t="str">
        <f>$D$1 &amp; " " &amp; C3</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'PEN' and not exists (select 1 from app.warehouselocationdetail d, app.warehouselocation w2, app.requesttype rt2 where d.warehouseid = w2.warehouseid and d.requesttypeid = rt2.requesttypeid and w2.warehouseshortname = 'PEN' and rt2.description = 'db-alert-lia-pack-uom')</v>
      </c>
    </row>
    <row r="4" spans="1:4" ht="16" x14ac:dyDescent="0.2">
      <c r="A4" s="2" t="s">
        <v>314</v>
      </c>
      <c r="C4" t="str">
        <f t="shared" ref="C4:C6" si="0">"select '" &amp; $B$1 &amp; "' description, '" &amp; $B$1 &amp; "' longdescription, w.warehouseid, rt.requesttypeid, 'sysuser', 'sysuser' from app.requesttype rt, app.warehouselocation w  where rt.description = '" &amp; $B$1 &amp; "' and w.warehouseshortname = '" &amp; A4 &amp; "'"
&amp; " and not exists (select 1 from app.warehouselocationdetail d, app.warehouselocation w2, app.requesttype rt2 where d.warehouseid = w2.warehouseid and d.requesttypeid = rt2.requesttypeid and w2.warehouseshortname = '" &amp; A4 &amp; "' and rt2.description = '" &amp; $B$1 &amp; "')"</f>
        <v>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c r="D4" t="str">
        <f>$D$1 &amp; " " &amp; C4</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'POR' and not exists (select 1 from app.warehouselocationdetail d, app.warehouselocation w2, app.requesttype rt2 where d.warehouseid = w2.warehouseid and d.requesttypeid = rt2.requesttypeid and w2.warehouseshortname = 'POR' and rt2.description = 'db-alert-lia-pack-uom')</v>
      </c>
    </row>
    <row r="5" spans="1:4" ht="16" x14ac:dyDescent="0.2">
      <c r="A5" s="2" t="s">
        <v>284</v>
      </c>
      <c r="C5" t="str">
        <f t="shared" si="0"/>
        <v>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c r="D5" t="str">
        <f>$D$1 &amp; " " &amp; C5</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'ARK' and not exists (select 1 from app.warehouselocationdetail d, app.warehouselocation w2, app.requesttype rt2 where d.warehouseid = w2.warehouseid and d.requesttypeid = rt2.requesttypeid and w2.warehouseshortname = 'ARK' and rt2.description = 'db-alert-lia-pack-uom')</v>
      </c>
    </row>
    <row r="6" spans="1:4" ht="16" x14ac:dyDescent="0.2">
      <c r="A6" s="2" t="s">
        <v>304</v>
      </c>
      <c r="C6" t="str">
        <f t="shared" si="0"/>
        <v>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c r="D6" t="str">
        <f>$D$1 &amp; " " &amp; C6</f>
        <v>insert into app.warehouselocationdetail(description, longdescription, warehouseid, requesttypeid, createdby, lastupdatedby)  select 'db-alert-lia-pack-uom' description, 'db-alert-lia-pack-uom' longdescription, w.warehouseid, rt.requesttypeid, 'sysuser', 'sysuser' from app.requesttype rt, app.warehouselocation w  where rt.description = 'db-alert-lia-pack-uom' and w.warehouseshortname = 'LOU' and not exists (select 1 from app.warehouselocationdetail d, app.warehouselocation w2, app.requesttype rt2 where d.warehouseid = w2.warehouseid and d.requesttypeid = rt2.requesttypeid and w2.warehouseshortname = 'LOU' and rt2.description = 'db-alert-lia-pack-uom')</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98CB-5204-4258-91C2-82BF85173C7E}">
  <dimension ref="A1:C41"/>
  <sheetViews>
    <sheetView workbookViewId="0">
      <selection activeCell="C3" sqref="C3"/>
    </sheetView>
  </sheetViews>
  <sheetFormatPr baseColWidth="10" defaultColWidth="8.83203125" defaultRowHeight="15" x14ac:dyDescent="0.2"/>
  <cols>
    <col min="2" max="2" width="156" customWidth="1"/>
    <col min="3" max="3" width="44.83203125" customWidth="1"/>
  </cols>
  <sheetData>
    <row r="1" spans="1:3" x14ac:dyDescent="0.2">
      <c r="B1" t="s">
        <v>361</v>
      </c>
    </row>
    <row r="2" spans="1:3" x14ac:dyDescent="0.2">
      <c r="A2" t="s">
        <v>262</v>
      </c>
      <c r="B2" t="s">
        <v>274</v>
      </c>
      <c r="C2" t="s">
        <v>275</v>
      </c>
    </row>
    <row r="3" spans="1:3" ht="16" x14ac:dyDescent="0.2">
      <c r="A3" s="2" t="s">
        <v>312</v>
      </c>
      <c r="B3" s="1" t="s">
        <v>384</v>
      </c>
      <c r="C3" t="str">
        <f>"update app.warehouselocationdetail set payload = '" &amp; B3 &amp; "' where warehouseid = (select w.warehouseid from app.warehouselocation w where w.warehouseshortname='"&amp;A3&amp;"') and requesttypeid=(select rt.requesttypeid from app.requesttype rt where rt.description='"&amp;$B$1&amp; "');"</f>
        <v>update app.warehouselocationdetail set payload = '{ "emailContent": {"alertName":"LIA RECORDS WITH PACK UOM TYPE POPULATED","orgId":"PEN","dataSource":"MAWM","database":{"connection":"MAPRD_NEW","type":"MySQL","uri":"jdbc:mysql://10.248.248.195:3306/information_schema"},"email":{"subject":"Splunk Alert: $orgId$ + $dataSource$ + $alertName$","body":"The alert condition for ''$orgId$ + $dataSource$ + $alertName$'' was triggered.","fromEmail":"noreply@rndc-usa.com","toEmail":"Ryan.Metz@rndc-usa.com, John.Hall@rndc-usa.com, Anthony.Coleman@rndc-usa.com, Dazzle.Keyser@rndc-usa.com, Douglas.Garner@rndc-usa.com,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w.warehouseshortname='PEN') and requesttypeid=(select rt.requesttypeid from app.requesttype rt where rt.description='db-alert-lia-pack-uom');</v>
      </c>
    </row>
    <row r="4" spans="1:3" ht="16" x14ac:dyDescent="0.2">
      <c r="A4" s="2" t="s">
        <v>314</v>
      </c>
      <c r="B4" s="1" t="s">
        <v>385</v>
      </c>
      <c r="C4" t="str">
        <f t="shared" ref="C4:C6" si="0">"update app.warehouselocationdetail set payload = '" &amp; B4 &amp; "' where warehouseid = (select w.warehouseid from app.warehouselocation w where w.warehouseshortname='"&amp;A4&amp;"') and requesttypeid=(select rt.requesttypeid from app.requesttype rt where rt.description='"&amp;$B$1&amp; "');"</f>
        <v>update app.warehouselocationdetail set payload = '{ "emailContent": {"alertName":"LIA RECORDS WITH PACK UOM TYPE POPULATED","orgId":"POR","dataSource":"MAWM","database":{"connection":"MAPRD_NEW","type":"MySQL","uri":"jdbc:mysql://10.248.248.195:3306/information_schema"},"email":{"subject":"Splunk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UI.","fromEmail":"noreply@rndc-usa.com","toEmail":"wmsconsultant@rndc-usa.com, WMSMSPSupport@RNDC-USA.COM, DL_MANH_RNDC_MAWM_PSO@manh.com, DL_RNDC_MAWM_CSO@manh.com, wmsinternal@RNDC-USA.COM","footer":"","attachment":["link-to-alert","link-to-results","inline-table"]},"sql":"SELECT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w.warehouseshortname='POR') and requesttypeid=(select rt.requesttypeid from app.requesttype rt where rt.description='db-alert-lia-pack-uom');</v>
      </c>
    </row>
    <row r="5" spans="1:3" ht="16" x14ac:dyDescent="0.2">
      <c r="A5" s="2" t="s">
        <v>284</v>
      </c>
      <c r="B5" s="1" t="s">
        <v>386</v>
      </c>
      <c r="C5" t="str">
        <f t="shared" si="0"/>
        <v>update app.warehouselocationdetail set payload = '{ "emailContent": {"alertName":"LIA RECORDS WITH PACK UOM TYPE POPULATED","orgId":"ARK","dataSource":"MAWM","database":{"connection":"MAPRD_NEW","type":"MySQL","uri":"jdbc:mysql://10.248.248.195:3306/information_schema"},"email":{"subject":"Splunk Alert: $orgId$ + $dataSource$ + $alertName$","body":"The alert condition for ''$orgId$ + $dataSource$ + $alertName$'' was triggered. ***MSP TO CLEAN UP***","fromEmail":"noreply@rndc-usa.com","toEmail":"Kim.Crawford@rndc-usa.com, Joe.Thompson@rndc-usa.com, Joshua.Edens@rndc-usa.com,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w.warehouseshortname='ARK') and requesttypeid=(select rt.requesttypeid from app.requesttype rt where rt.description='db-alert-lia-pack-uom');</v>
      </c>
    </row>
    <row r="6" spans="1:3" ht="16" x14ac:dyDescent="0.2">
      <c r="A6" s="2" t="s">
        <v>304</v>
      </c>
      <c r="B6" s="1" t="s">
        <v>387</v>
      </c>
      <c r="C6" t="str">
        <f t="shared" si="0"/>
        <v>update app.warehouselocationdetail set payload = '{ "emailContent": {"alertName":"LIA RECORDS WITH PACK UOM TYPE POPULATED","orgId":"LOU","dataSource":"MAWM","database":{"connection":"MAPRD_NEW","type":"MySQL","uri":"jdbc:mysql://10.248.248.195:3306/information_schema"},"email":{"subject":"Splunk Alert: $orgId$ + $dataSource$ + $alertName$","body":"The alert condition for ''$orgId$ + $dataSource$ + $alertName$'' was triggered.***MSP TO CLEAN UP*** Clear the PACK UOM TYPE ID and PACK UOM QUANTITY from the Location Item Assignment UI.","fromEmail":"noreply@rndc-usa.com","toEmail":"frankie.troncosa@rndc-usa.com,erik.thoreson@rndc-usa.com,chadd.vankampen@rndc-usa.com, michael.gallagher@rndc-usa.com, 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 where warehouseid = (select w.warehouseid from app.warehouselocation w where w.warehouseshortname='LOU') and requesttypeid=(select rt.requesttypeid from app.requesttype rt where rt.description='db-alert-lia-pack-uom');</v>
      </c>
    </row>
    <row r="7" spans="1:3" x14ac:dyDescent="0.2">
      <c r="A7" s="2"/>
      <c r="B7" s="1"/>
    </row>
    <row r="8" spans="1:3" ht="16" x14ac:dyDescent="0.2">
      <c r="A8" s="3" t="s">
        <v>276</v>
      </c>
      <c r="B8" s="1" t="s">
        <v>388</v>
      </c>
      <c r="C8" t="str">
        <f>"update app.warehouselocationdetail set payload = '" &amp; B8 &amp; "' where warehouseid = (select w.warehouseid from app.warehouselocation w where w.warehouseshortname='"&amp;A8&amp;"')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w.warehouseshortname='ABQ') and requesttypeid=(select rt.requesttypeid from app.requesttype rt where rt.description='db-alert-lia-pack-uom');</v>
      </c>
    </row>
    <row r="9" spans="1:3" ht="16" x14ac:dyDescent="0.2">
      <c r="A9" s="3" t="s">
        <v>285</v>
      </c>
      <c r="B9" s="1" t="s">
        <v>388</v>
      </c>
      <c r="C9" t="str">
        <f t="shared" ref="C9:C41" si="1">"update app.warehouselocationdetail set payload = '" &amp; B9 &amp; "' where warehouseid = (select w.warehouseid from app.warehouselocation w where w.warehouseshortname='"&amp;A9&amp;"') and requesttypeid=(select rt.requesttypeid from app.requesttype rt where rt.description='"&amp;$B$1&amp; "');"</f>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w.warehouseshortname='ASH') and requesttypeid=(select rt.requesttypeid from app.requesttype rt where rt.description='db-alert-lia-pack-uom');</v>
      </c>
    </row>
    <row r="10" spans="1:3" ht="16" x14ac:dyDescent="0.2">
      <c r="A10" s="3" t="s">
        <v>286</v>
      </c>
      <c r="B10" s="1" t="s">
        <v>388</v>
      </c>
      <c r="C1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w.warehouseshortname='ATL') and requesttypeid=(select rt.requesttypeid from app.requesttype rt where rt.description='db-alert-lia-pack-uom');</v>
      </c>
    </row>
    <row r="11" spans="1:3" ht="16" x14ac:dyDescent="0.2">
      <c r="A11" s="3" t="s">
        <v>287</v>
      </c>
      <c r="B11" s="1" t="s">
        <v>388</v>
      </c>
      <c r="C1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w.warehouseshortname='AUB') and requesttypeid=(select rt.requesttypeid from app.requesttype rt where rt.description='db-alert-lia-pack-uom');</v>
      </c>
    </row>
    <row r="12" spans="1:3" ht="16" x14ac:dyDescent="0.2">
      <c r="A12" s="3" t="s">
        <v>288</v>
      </c>
      <c r="B12" s="1" t="s">
        <v>388</v>
      </c>
      <c r="C1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w.warehouseshortname='CCR') and requesttypeid=(select rt.requesttypeid from app.requesttype rt where rt.description='db-alert-lia-pack-uom');</v>
      </c>
    </row>
    <row r="13" spans="1:3" ht="16" x14ac:dyDescent="0.2">
      <c r="A13" s="3" t="s">
        <v>289</v>
      </c>
      <c r="B13" s="1" t="s">
        <v>388</v>
      </c>
      <c r="C1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w.warehouseshortname='COL') and requesttypeid=(select rt.requesttypeid from app.requesttype rt where rt.description='db-alert-lia-pack-uom');</v>
      </c>
    </row>
    <row r="14" spans="1:3" ht="16" x14ac:dyDescent="0.2">
      <c r="A14" s="3" t="s">
        <v>290</v>
      </c>
      <c r="B14" s="1" t="s">
        <v>388</v>
      </c>
      <c r="C1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w.warehouseshortname='DEN') and requesttypeid=(select rt.requesttypeid from app.requesttype rt where rt.description='db-alert-lia-pack-uom');</v>
      </c>
    </row>
    <row r="15" spans="1:3" ht="16" x14ac:dyDescent="0.2">
      <c r="A15" s="3" t="s">
        <v>291</v>
      </c>
      <c r="B15" s="1" t="s">
        <v>388</v>
      </c>
      <c r="C1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w.warehouseshortname='DFB') and requesttypeid=(select rt.requesttypeid from app.requesttype rt where rt.description='db-alert-lia-pack-uom');</v>
      </c>
    </row>
    <row r="16" spans="1:3" ht="16" x14ac:dyDescent="0.2">
      <c r="A16" s="3" t="s">
        <v>292</v>
      </c>
      <c r="B16" s="1" t="s">
        <v>388</v>
      </c>
      <c r="C1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w.warehouseshortname='ELP') and requesttypeid=(select rt.requesttypeid from app.requesttype rt where rt.description='db-alert-lia-pack-uom');</v>
      </c>
    </row>
    <row r="17" spans="1:3" ht="16" x14ac:dyDescent="0.2">
      <c r="A17" s="3" t="s">
        <v>293</v>
      </c>
      <c r="B17" s="1" t="s">
        <v>388</v>
      </c>
      <c r="C1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w.warehouseshortname='FAR') and requesttypeid=(select rt.requesttypeid from app.requesttype rt where rt.description='db-alert-lia-pack-uom');</v>
      </c>
    </row>
    <row r="18" spans="1:3" ht="16" x14ac:dyDescent="0.2">
      <c r="A18" s="3" t="s">
        <v>294</v>
      </c>
      <c r="B18" s="1" t="s">
        <v>388</v>
      </c>
      <c r="C1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w.warehouseshortname='GRP') and requesttypeid=(select rt.requesttypeid from app.requesttype rt where rt.description='db-alert-lia-pack-uom');</v>
      </c>
    </row>
    <row r="19" spans="1:3" ht="16" x14ac:dyDescent="0.2">
      <c r="A19" s="3" t="s">
        <v>295</v>
      </c>
      <c r="B19" s="1" t="s">
        <v>388</v>
      </c>
      <c r="C1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w.warehouseshortname='HAW') and requesttypeid=(select rt.requesttypeid from app.requesttype rt where rt.description='db-alert-lia-pack-uom');</v>
      </c>
    </row>
    <row r="20" spans="1:3" ht="16" x14ac:dyDescent="0.2">
      <c r="A20" s="3" t="s">
        <v>296</v>
      </c>
      <c r="B20" s="1" t="s">
        <v>388</v>
      </c>
      <c r="C2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w.warehouseshortname='HOU') and requesttypeid=(select rt.requesttypeid from app.requesttype rt where rt.description='db-alert-lia-pack-uom');</v>
      </c>
    </row>
    <row r="21" spans="1:3" ht="16" x14ac:dyDescent="0.2">
      <c r="A21" s="3" t="s">
        <v>297</v>
      </c>
      <c r="B21" s="1" t="s">
        <v>388</v>
      </c>
      <c r="C2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w.warehouseshortname='IND') and requesttypeid=(select rt.requesttypeid from app.requesttype rt where rt.description='db-alert-lia-pack-uom');</v>
      </c>
    </row>
    <row r="22" spans="1:3" ht="16" x14ac:dyDescent="0.2">
      <c r="A22" s="3" t="s">
        <v>298</v>
      </c>
      <c r="B22" s="1" t="s">
        <v>388</v>
      </c>
      <c r="C2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w.warehouseshortname='JAC') and requesttypeid=(select rt.requesttypeid from app.requesttype rt where rt.description='db-alert-lia-pack-uom');</v>
      </c>
    </row>
    <row r="23" spans="1:3" ht="16" x14ac:dyDescent="0.2">
      <c r="A23" s="3" t="s">
        <v>299</v>
      </c>
      <c r="B23" s="1" t="s">
        <v>388</v>
      </c>
      <c r="C2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w.warehouseshortname='JES') and requesttypeid=(select rt.requesttypeid from app.requesttype rt where rt.description='db-alert-lia-pack-uom');</v>
      </c>
    </row>
    <row r="24" spans="1:3" ht="16" x14ac:dyDescent="0.2">
      <c r="A24" s="3" t="s">
        <v>300</v>
      </c>
      <c r="B24" s="1" t="s">
        <v>388</v>
      </c>
      <c r="C2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w.warehouseshortname='KAP') and requesttypeid=(select rt.requesttypeid from app.requesttype rt where rt.description='db-alert-lia-pack-uom');</v>
      </c>
    </row>
    <row r="25" spans="1:3" ht="16" x14ac:dyDescent="0.2">
      <c r="A25" s="3" t="s">
        <v>301</v>
      </c>
      <c r="B25" s="1" t="s">
        <v>388</v>
      </c>
      <c r="C2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w.warehouseshortname='KAU') and requesttypeid=(select rt.requesttypeid from app.requesttype rt where rt.description='db-alert-lia-pack-uom');</v>
      </c>
    </row>
    <row r="26" spans="1:3" ht="16" x14ac:dyDescent="0.2">
      <c r="A26" s="3" t="s">
        <v>302</v>
      </c>
      <c r="B26" s="1" t="s">
        <v>388</v>
      </c>
      <c r="C2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w.warehouseshortname='LAF') and requesttypeid=(select rt.requesttypeid from app.requesttype rt where rt.description='db-alert-lia-pack-uom');</v>
      </c>
    </row>
    <row r="27" spans="1:3" ht="16" x14ac:dyDescent="0.2">
      <c r="A27" s="3" t="s">
        <v>303</v>
      </c>
      <c r="B27" s="1" t="s">
        <v>388</v>
      </c>
      <c r="C2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w.warehouseshortname='LIV') and requesttypeid=(select rt.requesttypeid from app.requesttype rt where rt.description='db-alert-lia-pack-uom');</v>
      </c>
    </row>
    <row r="28" spans="1:3" ht="16" x14ac:dyDescent="0.2">
      <c r="A28" s="3" t="s">
        <v>305</v>
      </c>
      <c r="B28" s="1" t="s">
        <v>388</v>
      </c>
      <c r="C2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w.warehouseshortname='LUB') and requesttypeid=(select rt.requesttypeid from app.requesttype rt where rt.description='db-alert-lia-pack-uom');</v>
      </c>
    </row>
    <row r="29" spans="1:3" ht="16" x14ac:dyDescent="0.2">
      <c r="A29" s="3" t="s">
        <v>306</v>
      </c>
      <c r="B29" s="1" t="s">
        <v>388</v>
      </c>
      <c r="C2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w.warehouseshortname='MAU') and requesttypeid=(select rt.requesttypeid from app.requesttype rt where rt.description='db-alert-lia-pack-uom');</v>
      </c>
    </row>
    <row r="30" spans="1:3" ht="16" x14ac:dyDescent="0.2">
      <c r="A30" s="3" t="s">
        <v>307</v>
      </c>
      <c r="B30" s="1" t="s">
        <v>388</v>
      </c>
      <c r="C3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w.warehouseshortname='NEW') and requesttypeid=(select rt.requesttypeid from app.requesttype rt where rt.description='db-alert-lia-pack-uom');</v>
      </c>
    </row>
    <row r="31" spans="1:3" ht="16" x14ac:dyDescent="0.2">
      <c r="A31" s="3" t="s">
        <v>308</v>
      </c>
      <c r="B31" s="1" t="s">
        <v>388</v>
      </c>
      <c r="C3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w.warehouseshortname='OAH') and requesttypeid=(select rt.requesttypeid from app.requesttype rt where rt.description='db-alert-lia-pack-uom');</v>
      </c>
    </row>
    <row r="32" spans="1:3" ht="16" x14ac:dyDescent="0.2">
      <c r="A32" s="3" t="s">
        <v>309</v>
      </c>
      <c r="B32" s="1" t="s">
        <v>388</v>
      </c>
      <c r="C32"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w.warehouseshortname='OKL') and requesttypeid=(select rt.requesttypeid from app.requesttype rt where rt.description='db-alert-lia-pack-uom');</v>
      </c>
    </row>
    <row r="33" spans="1:3" ht="16" x14ac:dyDescent="0.2">
      <c r="A33" s="3" t="s">
        <v>310</v>
      </c>
      <c r="B33" s="1" t="s">
        <v>388</v>
      </c>
      <c r="C33"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w.warehouseshortname='OMA') and requesttypeid=(select rt.requesttypeid from app.requesttype rt where rt.description='db-alert-lia-pack-uom');</v>
      </c>
    </row>
    <row r="34" spans="1:3" ht="16" x14ac:dyDescent="0.2">
      <c r="A34" s="3" t="s">
        <v>311</v>
      </c>
      <c r="B34" s="1" t="s">
        <v>388</v>
      </c>
      <c r="C34"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w.warehouseshortname='ORL') and requesttypeid=(select rt.requesttypeid from app.requesttype rt where rt.description='db-alert-lia-pack-uom');</v>
      </c>
    </row>
    <row r="35" spans="1:3" ht="16" x14ac:dyDescent="0.2">
      <c r="A35" s="3" t="s">
        <v>313</v>
      </c>
      <c r="B35" s="1" t="s">
        <v>388</v>
      </c>
      <c r="C35"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w.warehouseshortname='PHO') and requesttypeid=(select rt.requesttypeid from app.requesttype rt where rt.description='db-alert-lia-pack-uom');</v>
      </c>
    </row>
    <row r="36" spans="1:3" ht="16" x14ac:dyDescent="0.2">
      <c r="A36" s="3" t="s">
        <v>315</v>
      </c>
      <c r="B36" s="1" t="s">
        <v>388</v>
      </c>
      <c r="C36"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w.warehouseshortname='ROM') and requesttypeid=(select rt.requesttypeid from app.requesttype rt where rt.description='db-alert-lia-pack-uom');</v>
      </c>
    </row>
    <row r="37" spans="1:3" ht="16" x14ac:dyDescent="0.2">
      <c r="A37" s="3" t="s">
        <v>316</v>
      </c>
      <c r="B37" s="1" t="s">
        <v>388</v>
      </c>
      <c r="C37"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w.warehouseshortname='SAA') and requesttypeid=(select rt.requesttypeid from app.requesttype rt where rt.description='db-alert-lia-pack-uom');</v>
      </c>
    </row>
    <row r="38" spans="1:3" ht="16" x14ac:dyDescent="0.2">
      <c r="A38" s="3" t="s">
        <v>317</v>
      </c>
      <c r="B38" s="1" t="s">
        <v>388</v>
      </c>
      <c r="C38"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w.warehouseshortname='SIO') and requesttypeid=(select rt.requesttypeid from app.requesttype rt where rt.description='db-alert-lia-pack-uom');</v>
      </c>
    </row>
    <row r="39" spans="1:3" ht="16" x14ac:dyDescent="0.2">
      <c r="A39" s="3" t="s">
        <v>318</v>
      </c>
      <c r="B39" s="1" t="s">
        <v>388</v>
      </c>
      <c r="C39"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w.warehouseshortname='TAM') and requesttypeid=(select rt.requesttypeid from app.requesttype rt where rt.description='db-alert-lia-pack-uom');</v>
      </c>
    </row>
    <row r="40" spans="1:3" ht="16" x14ac:dyDescent="0.2">
      <c r="A40" s="3" t="s">
        <v>319</v>
      </c>
      <c r="B40" s="1" t="s">
        <v>388</v>
      </c>
      <c r="C40"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w.warehouseshortname='TOL') and requesttypeid=(select rt.requesttypeid from app.requesttype rt where rt.description='db-alert-lia-pack-uom');</v>
      </c>
    </row>
    <row r="41" spans="1:3" ht="16" x14ac:dyDescent="0.2">
      <c r="A41" s="3" t="s">
        <v>320</v>
      </c>
      <c r="B41" s="1" t="s">
        <v>388</v>
      </c>
      <c r="C41" t="str">
        <f t="shared" si="1"/>
        <v>update app.warehouselocationdetail set payload = '{ "emailContent": {"alertName":"LIA RECORDS WITH PACK UOM TYPE POPULATED","dataSource":"MAWM","database":{"connection":"MAPRD_NEW","type":"MySQL","uri":"jdbc:{host}:{port}/information_schema"},"email":{"subject":"Splunk Alert: $orgId$ + $dataSource$ + $alertName$","body":"The alert condition for ''$orgId$ + $dataSource$ + $alertName$'' was triggered.***MSP TO CLEAN UP*** Clear the PACK UOM TYPE ID and PACK UOM QUANTITY from the Location Item Assignment UI.","fromEmail":"noreply@rndc-usa.com","toEmail":"wmsinternal@rndc-usa.com, wmsconsultant@rndc-usa.com, WMSMSPSupport@RNDC-USA.COM","footer":"","attachment":["link-to-alert","link-to-results","inline-table"]},"sql":"SELECT org_id, location_id, item_id, pack_uom_type_id, pack_uom_quantity FROM default_dcinventory.DCI_LOCATION_ITEM_ASSIGNMENT WHERE 1=1 AND org_id= $orgId AND pack_uom_type_id is NOT NULL;"}, "allOption": []}' where warehouseid = (select w.warehouseid from app.warehouselocation w where w.warehouseshortname='WSD') and requesttypeid=(select rt.requesttypeid from app.requesttype rt where rt.description='db-alert-lia-pack-uom');</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DBF6-D891-4E9E-B2B9-A9600D5ACF4B}">
  <dimension ref="A1:D41"/>
  <sheetViews>
    <sheetView workbookViewId="0">
      <pane xSplit="1" ySplit="8" topLeftCell="B9" activePane="bottomRight" state="frozen"/>
      <selection pane="topRight" activeCell="B1" sqref="B1"/>
      <selection pane="bottomLeft" activeCell="A3" sqref="A3"/>
      <selection pane="bottomRight" activeCell="B7" sqref="B7"/>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389</v>
      </c>
      <c r="B1" t="s">
        <v>390</v>
      </c>
    </row>
    <row r="2" spans="1:4" x14ac:dyDescent="0.2">
      <c r="A2" t="s">
        <v>265</v>
      </c>
      <c r="B2" t="s">
        <v>391</v>
      </c>
    </row>
    <row r="3" spans="1:4" ht="48" x14ac:dyDescent="0.2">
      <c r="A3" t="s">
        <v>392</v>
      </c>
      <c r="B3" s="2" t="s">
        <v>393</v>
      </c>
    </row>
    <row r="4" spans="1:4" x14ac:dyDescent="0.2">
      <c r="A4" t="s">
        <v>274</v>
      </c>
      <c r="B4" t="s">
        <v>394</v>
      </c>
    </row>
    <row r="5" spans="1:4" x14ac:dyDescent="0.2">
      <c r="B5" t="s">
        <v>395</v>
      </c>
    </row>
    <row r="6" spans="1:4" x14ac:dyDescent="0.2">
      <c r="B6" t="s">
        <v>396</v>
      </c>
    </row>
    <row r="7" spans="1:4" x14ac:dyDescent="0.2">
      <c r="B7" t="s">
        <v>397</v>
      </c>
    </row>
    <row r="8" spans="1:4" x14ac:dyDescent="0.2">
      <c r="A8" t="s">
        <v>398</v>
      </c>
      <c r="B8" t="s">
        <v>399</v>
      </c>
    </row>
    <row r="9" spans="1:4" ht="144" x14ac:dyDescent="0.2">
      <c r="A9" t="s">
        <v>276</v>
      </c>
      <c r="B9" t="s">
        <v>400</v>
      </c>
      <c r="C9" s="2" t="str">
        <f>$B$4 &amp; $B$2 &amp; $B$5 &amp; " " &amp; $B$2 &amp; " " &amp; $B$6 &amp; B9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9" t="str">
        <f>"update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w.warehouseshortname='ABQ') and requesttypeid=(select rt.requesttypeid from app.requesttype rt where rt.description='au01-failure-10-min');</v>
      </c>
    </row>
    <row r="10" spans="1:4" x14ac:dyDescent="0.2">
      <c r="A10" t="s">
        <v>284</v>
      </c>
      <c r="B10" t="s">
        <v>401</v>
      </c>
      <c r="C10" t="str">
        <f t="shared" ref="C10:C41" si="0">$B$4 &amp; $B$2 &amp; $B$5 &amp; " " &amp; $B$2 &amp; " " &amp; $B$6 &amp; B10 &amp; $B$7 &amp; $B$3 &amp; """}"</f>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0" t="str">
        <f>"update app.warehouselocationdetail set payload = '" &amp; C10 &amp; "' where warehouseid = (select w.warehouseid from app.warehouselocation w where w.warehouseshortname='"&amp;A10&amp;"')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Kim.Crawford@rndc-usa.com, Joe.Thompson@rndc-usa.com",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w.warehouseshortname='ARK') and requesttypeid=(select rt.requesttypeid from app.requesttype rt where rt.description='au01-failure-10-min');</v>
      </c>
    </row>
    <row r="11" spans="1:4" x14ac:dyDescent="0.2">
      <c r="A11" t="s">
        <v>286</v>
      </c>
      <c r="B11" t="s">
        <v>402</v>
      </c>
      <c r="C1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1" t="str">
        <f t="shared" ref="D11:D41" si="1">"update app.warehouselocationdetail set payload = '" &amp; C11 &amp; "' where warehouseid = (select w.warehouseid from app.warehouselocation w where w.warehouseshortname='"&amp;A11&amp;"') and requesttypeid=(select rt.requesttypeid from app.requesttype rt where rt.description='"&amp;$B$1&amp; "');"</f>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w.warehouseshortname='ATL') and requesttypeid=(select rt.requesttypeid from app.requesttype rt where rt.description='au01-failure-10-min');</v>
      </c>
    </row>
    <row r="12" spans="1:4" x14ac:dyDescent="0.2">
      <c r="A12" t="s">
        <v>287</v>
      </c>
      <c r="B12" t="s">
        <v>403</v>
      </c>
      <c r="C1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w.warehouseshortname='AUB') and requesttypeid=(select rt.requesttypeid from app.requesttype rt where rt.description='au01-failure-10-min');</v>
      </c>
    </row>
    <row r="13" spans="1:4" x14ac:dyDescent="0.2">
      <c r="A13" t="s">
        <v>288</v>
      </c>
      <c r="B13" t="s">
        <v>404</v>
      </c>
      <c r="C1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w.warehouseshortname='CCR') and requesttypeid=(select rt.requesttypeid from app.requesttype rt where rt.description='au01-failure-10-min');</v>
      </c>
    </row>
    <row r="14" spans="1:4" x14ac:dyDescent="0.2">
      <c r="A14" t="s">
        <v>289</v>
      </c>
      <c r="B14" t="s">
        <v>405</v>
      </c>
      <c r="C1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col-automation-support@rndc-usa.com, Jose.Perez@RNDC-USA.COM, Robert.Walker2@rndc-usa.com, Kyle.Hafford@rndc-usa.com",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w.warehouseshortname='COL') and requesttypeid=(select rt.requesttypeid from app.requesttype rt where rt.description='au01-failure-10-min');</v>
      </c>
    </row>
    <row r="15" spans="1:4" x14ac:dyDescent="0.2">
      <c r="A15" t="s">
        <v>290</v>
      </c>
      <c r="B15" t="s">
        <v>406</v>
      </c>
      <c r="C1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dennis.nakashima@rndc-usa.com,michael.white@rndc-usa.com,zachary.hum@rndc-usa.com,,santino.salazar@rndc-usa.com,chuck.kehoe@rndc-usa.com, Bryan.Dillenbeck@rndc-usa.com, Bryce.Meyer@RNDC-USA.COM",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w.warehouseshortname='DEN') and requesttypeid=(select rt.requesttypeid from app.requesttype rt where rt.description='au01-failure-10-min');</v>
      </c>
    </row>
    <row r="16" spans="1:4" x14ac:dyDescent="0.2">
      <c r="A16" t="s">
        <v>292</v>
      </c>
      <c r="B16" t="s">
        <v>404</v>
      </c>
      <c r="C1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DL_RNDC_MAWM_CSO@manh.com,elp-automation-support@rndc-usa.com",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w.warehouseshortname='ELP') and requesttypeid=(select rt.requesttypeid from app.requesttype rt where rt.description='au01-failure-10-min');</v>
      </c>
    </row>
    <row r="17" spans="1:4" x14ac:dyDescent="0.2">
      <c r="A17" t="s">
        <v>293</v>
      </c>
      <c r="B17" t="s">
        <v>407</v>
      </c>
      <c r="C1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Blair.Gilberts@RNDC-USA.COM",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w.warehouseshortname='FAR') and requesttypeid=(select rt.requesttypeid from app.requesttype rt where rt.description='au01-failure-10-min');</v>
      </c>
    </row>
    <row r="18" spans="1:4" x14ac:dyDescent="0.2">
      <c r="A18" t="s">
        <v>294</v>
      </c>
      <c r="B18" t="s">
        <v>408</v>
      </c>
      <c r="C1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DFW-Automation-Support@RNDC-USA.COM",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w.warehouseshortname='GRP') and requesttypeid=(select rt.requesttypeid from app.requesttype rt where rt.description='au01-failure-10-min');</v>
      </c>
    </row>
    <row r="19" spans="1:4" x14ac:dyDescent="0.2">
      <c r="A19" t="s">
        <v>295</v>
      </c>
      <c r="B19" t="s">
        <v>400</v>
      </c>
      <c r="C1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1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w.warehouseshortname='HAW') and requesttypeid=(select rt.requesttypeid from app.requesttype rt where rt.description='au01-failure-10-min');</v>
      </c>
    </row>
    <row r="20" spans="1:4" x14ac:dyDescent="0.2">
      <c r="A20" t="s">
        <v>296</v>
      </c>
      <c r="B20" t="s">
        <v>409</v>
      </c>
      <c r="C2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hou-automation-support@rndc-usa.com",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w.warehouseshortname='HOU') and requesttypeid=(select rt.requesttypeid from app.requesttype rt where rt.description='au01-failure-10-min');</v>
      </c>
    </row>
    <row r="21" spans="1:4" x14ac:dyDescent="0.2">
      <c r="A21" t="s">
        <v>297</v>
      </c>
      <c r="B21" t="s">
        <v>410</v>
      </c>
      <c r="C2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DL_RNDC_MAWM_CSO@manh.com,ind-automation-support@rndc-usa.com",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w.warehouseshortname='IND') and requesttypeid=(select rt.requesttypeid from app.requesttype rt where rt.description='au01-failure-10-min');</v>
      </c>
    </row>
    <row r="22" spans="1:4" x14ac:dyDescent="0.2">
      <c r="A22" t="s">
        <v>299</v>
      </c>
      <c r="B22" t="s">
        <v>411</v>
      </c>
      <c r="C2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DL_RNDC_MAWM_CSO@manh.com,jes-automation-support@rndc-usa.com",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w.warehouseshortname='JES') and requesttypeid=(select rt.requesttypeid from app.requesttype rt where rt.description='au01-failure-10-min');</v>
      </c>
    </row>
    <row r="23" spans="1:4" x14ac:dyDescent="0.2">
      <c r="A23" t="s">
        <v>300</v>
      </c>
      <c r="B23" t="s">
        <v>402</v>
      </c>
      <c r="C2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w.warehouseshortname='KAP') and requesttypeid=(select rt.requesttypeid from app.requesttype rt where rt.description='au01-failure-10-min');</v>
      </c>
    </row>
    <row r="24" spans="1:4" x14ac:dyDescent="0.2">
      <c r="A24" t="s">
        <v>301</v>
      </c>
      <c r="B24" t="s">
        <v>402</v>
      </c>
      <c r="C2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w.warehouseshortname='KAU') and requesttypeid=(select rt.requesttypeid from app.requesttype rt where rt.description='au01-failure-10-min');</v>
      </c>
    </row>
    <row r="25" spans="1:4" x14ac:dyDescent="0.2">
      <c r="A25" t="s">
        <v>302</v>
      </c>
      <c r="B25" t="s">
        <v>412</v>
      </c>
      <c r="C2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DL_RNDC_MAWM_CSO@manh.com,laf-automation-support@rndc-usa.com, Pat.Maggiore@RNDC-USA.COM",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w.warehouseshortname='LAF') and requesttypeid=(select rt.requesttypeid from app.requesttype rt where rt.description='au01-failure-10-min');</v>
      </c>
    </row>
    <row r="26" spans="1:4" x14ac:dyDescent="0.2">
      <c r="A26" t="s">
        <v>303</v>
      </c>
      <c r="B26" t="s">
        <v>413</v>
      </c>
      <c r="C2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liv-automation-support@rndc-usa.com",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w.warehouseshortname='LIV') and requesttypeid=(select rt.requesttypeid from app.requesttype rt where rt.description='au01-failure-10-min');</v>
      </c>
    </row>
    <row r="27" spans="1:4" x14ac:dyDescent="0.2">
      <c r="A27" t="s">
        <v>304</v>
      </c>
      <c r="B27" t="s">
        <v>414</v>
      </c>
      <c r="C2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DL_RNDC_MAWM_CSO@manh.com,lou-automation-support@rndc-usa.com",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w.warehouseshortname='LOU') and requesttypeid=(select rt.requesttypeid from app.requesttype rt where rt.description='au01-failure-10-min');</v>
      </c>
    </row>
    <row r="28" spans="1:4" x14ac:dyDescent="0.2">
      <c r="A28" t="s">
        <v>305</v>
      </c>
      <c r="B28" t="s">
        <v>415</v>
      </c>
      <c r="C2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lub-automation-support@rndc-usa.com",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w.warehouseshortname='LUB') and requesttypeid=(select rt.requesttypeid from app.requesttype rt where rt.description='au01-failure-10-min');</v>
      </c>
    </row>
    <row r="29" spans="1:4" x14ac:dyDescent="0.2">
      <c r="A29" t="s">
        <v>416</v>
      </c>
      <c r="B29" t="s">
        <v>402</v>
      </c>
      <c r="C2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2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w.warehouseshortname='MOU') and requesttypeid=(select rt.requesttypeid from app.requesttype rt where rt.description='au01-failure-10-min');</v>
      </c>
    </row>
    <row r="30" spans="1:4" x14ac:dyDescent="0.2">
      <c r="A30" t="s">
        <v>307</v>
      </c>
      <c r="B30" t="s">
        <v>417</v>
      </c>
      <c r="C3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w.warehouseshortname='NEW') and requesttypeid=(select rt.requesttypeid from app.requesttype rt where rt.description='au01-failure-10-min');</v>
      </c>
    </row>
    <row r="31" spans="1:4" x14ac:dyDescent="0.2">
      <c r="A31" t="s">
        <v>308</v>
      </c>
      <c r="B31" t="s">
        <v>402</v>
      </c>
      <c r="C3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atl-automation-support@rndc-usa.com",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w.warehouseshortname='OAH') and requesttypeid=(select rt.requesttypeid from app.requesttype rt where rt.description='au01-failure-10-min');</v>
      </c>
    </row>
    <row r="32" spans="1:4" x14ac:dyDescent="0.2">
      <c r="A32" t="s">
        <v>309</v>
      </c>
      <c r="B32" t="s">
        <v>418</v>
      </c>
      <c r="C32"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2"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DL_RNDC_MAWM_CSO@manh.com,okl-automation-support@rndc-usa.com",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w.warehouseshortname='OKL') and requesttypeid=(select rt.requesttypeid from app.requesttype rt where rt.description='au01-failure-10-min');</v>
      </c>
    </row>
    <row r="33" spans="1:4" x14ac:dyDescent="0.2">
      <c r="A33" t="s">
        <v>310</v>
      </c>
      <c r="B33" t="s">
        <v>419</v>
      </c>
      <c r="C33"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3"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w.warehouseshortname='OMA') and requesttypeid=(select rt.requesttypeid from app.requesttype rt where rt.description='au01-failure-10-min');</v>
      </c>
    </row>
    <row r="34" spans="1:4" x14ac:dyDescent="0.2">
      <c r="A34" t="s">
        <v>420</v>
      </c>
      <c r="B34" t="s">
        <v>421</v>
      </c>
      <c r="C34"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4"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DL_RNDC_MAWM_CSO@manh.com,orlautomationsupport@rndc-usa.com",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w.warehouseshortname='ORD') and requesttypeid=(select rt.requesttypeid from app.requesttype rt where rt.description='au01-failure-10-min');</v>
      </c>
    </row>
    <row r="35" spans="1:4" x14ac:dyDescent="0.2">
      <c r="A35" t="s">
        <v>312</v>
      </c>
      <c r="B35" t="s">
        <v>422</v>
      </c>
      <c r="C35"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5"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DL_RNDC_MAWM_CSO@manh.com,pen-automation-support@rndc-usa.com",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w.warehouseshortname='PEN') and requesttypeid=(select rt.requesttypeid from app.requesttype rt where rt.description='au01-failure-10-min');</v>
      </c>
    </row>
    <row r="36" spans="1:4" x14ac:dyDescent="0.2">
      <c r="A36" t="s">
        <v>314</v>
      </c>
      <c r="B36" t="s">
        <v>423</v>
      </c>
      <c r="C36"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6"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DL_RNDC_MAWM_CSO@manh.com,dg-por-automation-support@rndc-usa.com",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w.warehouseshortname='POR') and requesttypeid=(select rt.requesttypeid from app.requesttype rt where rt.description='au01-failure-10-min');</v>
      </c>
    </row>
    <row r="37" spans="1:4" x14ac:dyDescent="0.2">
      <c r="A37" t="s">
        <v>315</v>
      </c>
      <c r="B37" t="s">
        <v>400</v>
      </c>
      <c r="C37"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7"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wmsmspsupport@rndc-usa.com,DL_MANH_RNDC_MAWM_PSO@manh.com, DL_RNDC_MAWM_CSO@manh.com,ABQ-Automation-Support@RNDC-USA.COM",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w.warehouseshortname='ROM') and requesttypeid=(select rt.requesttypeid from app.requesttype rt where rt.description='au01-failure-10-min');</v>
      </c>
    </row>
    <row r="38" spans="1:4" x14ac:dyDescent="0.2">
      <c r="A38" t="s">
        <v>316</v>
      </c>
      <c r="B38" t="s">
        <v>424</v>
      </c>
      <c r="C38"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8"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w.warehouseshortname='SAA') and requesttypeid=(select rt.requesttypeid from app.requesttype rt where rt.description='au01-failure-10-min');</v>
      </c>
    </row>
    <row r="39" spans="1:4" x14ac:dyDescent="0.2">
      <c r="A39" t="s">
        <v>317</v>
      </c>
      <c r="B39" t="s">
        <v>425</v>
      </c>
      <c r="C39"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39"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DL_RNDC_MAWM_CSO@manh.com,sio-automation-support@rndc-usa.com",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w.warehouseshortname='SIO') and requesttypeid=(select rt.requesttypeid from app.requesttype rt where rt.description='au01-failure-10-min');</v>
      </c>
    </row>
    <row r="40" spans="1:4" x14ac:dyDescent="0.2">
      <c r="A40" t="s">
        <v>318</v>
      </c>
      <c r="B40" t="s">
        <v>426</v>
      </c>
      <c r="C40"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0"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DL_RNDC_MAWM_CSO@manh.com,tam-automation-support@rndc-usa.com",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w.warehouseshortname='TAM') and requesttypeid=(select rt.requesttypeid from app.requesttype rt where rt.description='au01-failure-10-min');</v>
      </c>
    </row>
    <row r="41" spans="1:4" x14ac:dyDescent="0.2">
      <c r="A41" t="s">
        <v>320</v>
      </c>
      <c r="B41" t="s">
        <v>427</v>
      </c>
      <c r="C41" t="str">
        <f t="shared" si="0"/>
        <v>{"allOption":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v>
      </c>
      <c r="D41" t="str">
        <f t="shared" si="1"/>
        <v>update app.warehouselocationdetail set payload = '{"allOption": {"minRange": 10}, "emailContent": {"subject": "Splunk Alert: AU01 Failure 10 Minutes", "body": "The alert condition for AU01 Failure 10 Minutes was triggered.&lt;br&gt;&lt;br&gt;Serves as a notification to complete research on pending adjustments as the Corporate Limit is no greater than 45 days outstanding.", "fromEmail": "wms-tools-no-reply@rndc-usa.com", "toEmail": "wmsinternal@RNDC-USA.COM, WMSConsultant@RNDC-USA.COM, wmsmspsupport@rndc-usa.com, DL_MANH_RNDC_MAWM_PSO@manh.com,  DL_RNDC_MAWM_CSO@manh.com,wsd-automation-support@rndc-usa.com", "footer": "If you believe you''ve received this email in error, please contact WMSMSPSupport@RNDC-USA.COM."}, "introHtml": "Please call the Service Desk (866-763-2457) immediately to address this. The route file sent from WMS has failed and routes may be missing within the Sortation Software if this is not addressed.&lt;br&gt;&lt;br&gt;***MSP TEAM***&lt;br&gt;If you don’t receive a call, please contact a local Operations Member to review the alert and missing routes in Shiraz.&lt;br&gt;Call the branch if they don’t call the hotline&lt;br&gt;Find the AU01 Message that failed&lt;br&gt;Resubmit the message with the branch''s approval.&lt;br&gt;&lt;br&gt;&lt;br&gt;&lt;br&gt;"}' where warehouseid = (select w.warehouseid from app.warehouselocation w where w.warehouseshortname='WSD') and requesttypeid=(select rt.requesttypeid from app.requesttype rt where rt.description='au01-failure-10-min');</v>
      </c>
    </row>
  </sheetData>
  <sortState xmlns:xlrd2="http://schemas.microsoft.com/office/spreadsheetml/2017/richdata2" ref="A9:B41">
    <sortCondition ref="A9:A41"/>
  </sortSt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D3B3-BC2C-424D-AC6F-9E47F497AFC2}">
  <dimension ref="A1:D13"/>
  <sheetViews>
    <sheetView workbookViewId="0">
      <selection activeCell="B5" sqref="B5"/>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389</v>
      </c>
      <c r="B1" t="s">
        <v>428</v>
      </c>
      <c r="C1" t="s">
        <v>429</v>
      </c>
    </row>
    <row r="2" spans="1:4" x14ac:dyDescent="0.2">
      <c r="A2" t="s">
        <v>265</v>
      </c>
      <c r="B2" t="s">
        <v>430</v>
      </c>
    </row>
    <row r="3" spans="1:4" x14ac:dyDescent="0.2">
      <c r="A3" t="s">
        <v>392</v>
      </c>
      <c r="B3" t="s">
        <v>431</v>
      </c>
    </row>
    <row r="4" spans="1:4" x14ac:dyDescent="0.2">
      <c r="A4" t="s">
        <v>274</v>
      </c>
      <c r="B4" t="s">
        <v>432</v>
      </c>
    </row>
    <row r="5" spans="1:4" x14ac:dyDescent="0.2">
      <c r="B5" t="s">
        <v>433</v>
      </c>
    </row>
    <row r="6" spans="1:4" x14ac:dyDescent="0.2">
      <c r="B6" t="s">
        <v>396</v>
      </c>
    </row>
    <row r="7" spans="1:4" x14ac:dyDescent="0.2">
      <c r="B7" t="s">
        <v>397</v>
      </c>
    </row>
    <row r="8" spans="1:4" x14ac:dyDescent="0.2">
      <c r="A8" t="s">
        <v>398</v>
      </c>
      <c r="B8" t="s">
        <v>399</v>
      </c>
    </row>
    <row r="9" spans="1:4" ht="117.75" customHeight="1" x14ac:dyDescent="0.2">
      <c r="A9" t="s">
        <v>295</v>
      </c>
      <c r="B9" t="s">
        <v>434</v>
      </c>
      <c r="C9" s="2" t="str">
        <f>$B$4 &amp; $B$2 &amp; $B$5 &amp; " " &amp; $B$2 &amp; " " &amp; $B$6 &amp; B9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9" t="str">
        <f t="shared" ref="D9:D13"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"HAW-Automation-Support@RNDC-USA.COM,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w.warehouseshortname='HAW') and requesttypeid=(select rt.requesttypeid from app.requesttype rt where rt.description='in_transit_rma_asn_7_days');</v>
      </c>
    </row>
    <row r="10" spans="1:4" ht="96" x14ac:dyDescent="0.2">
      <c r="A10" t="s">
        <v>300</v>
      </c>
      <c r="B10" t="s">
        <v>435</v>
      </c>
      <c r="C10" s="2" t="str">
        <f t="shared" ref="C10:C13" si="1">$B$4 &amp; $B$2 &amp; $B$5 &amp; " " &amp; $B$2 &amp; " " &amp; $B$6 &amp; B10 &amp; $B$7 &amp; $B$3 &amp; """}"</f>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0"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"KAP-Automation-Support@RNDC-USA.COM,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w.warehouseshortname='KAP') and requesttypeid=(select rt.requesttypeid from app.requesttype rt where rt.description='in_transit_rma_asn_7_days');</v>
      </c>
    </row>
    <row r="11" spans="1:4" ht="96" x14ac:dyDescent="0.2">
      <c r="A11" t="s">
        <v>301</v>
      </c>
      <c r="B11" t="s">
        <v>436</v>
      </c>
      <c r="C11"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1"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"KAU-Automation-Support@RNDC-USA.COM,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w.warehouseshortname='KAU') and requesttypeid=(select rt.requesttypeid from app.requesttype rt where rt.description='in_transit_rma_asn_7_days');</v>
      </c>
    </row>
    <row r="12" spans="1:4" ht="96" x14ac:dyDescent="0.2">
      <c r="A12" t="s">
        <v>306</v>
      </c>
      <c r="B12" t="s">
        <v>437</v>
      </c>
      <c r="C12"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2"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"MAU-Automation-Support@RNDC-USA.COM,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w.warehouseshortname='MAU') and requesttypeid=(select rt.requesttypeid from app.requesttype rt where rt.description='in_transit_rma_asn_7_days');</v>
      </c>
    </row>
    <row r="13" spans="1:4" ht="96" x14ac:dyDescent="0.2">
      <c r="A13" t="s">
        <v>308</v>
      </c>
      <c r="B13" t="s">
        <v>438</v>
      </c>
      <c r="C13" s="2" t="str">
        <f t="shared" si="1"/>
        <v>{"allOption":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v>
      </c>
      <c r="D13" t="str">
        <f t="shared" si="0"/>
        <v>update app.warehouselocationdetail set payload = '{"allOption": {"days": 7}, "emailContent": {"subject": "Splunk Alert: In Transit RMA ASNs &gt; 7 Days", "introHtml": "The alert condition for In Transit RMA ASNs &gt; 7 Days was triggered.&lt;br&gt;&lt;br&gt;Serves as a notification to complete research on pending adjustments as the Corporate Limit is no greater than 45 days outstanding.", "fromEmail": "wms-tools-no-reply@rndc-usa.com", "toEmail": "OAH-Automation-Support@RNDC-USA.COM, wmsinternal@RNDC-USA.COM, WMSMSPSupport@RNDC-USA.COM", "footer": "If you believe you''ve received this email in error, please contact WMSMSPSupport@RNDC-USA.COM."}, "introHtml": "As part of system cleanup/maintenance below planned RMA''s are being cancelled as no return has been processed on them in last 7 days"}' where warehouseid = (select w.warehouseid from app.warehouselocation w where w.warehouseshortname='OAH') and requesttypeid=(select rt.requesttypeid from app.requesttype rt where rt.description='in_transit_rma_asn_7_days');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2C86-1C2A-4BF0-BBB0-AEEC352246D9}">
  <dimension ref="A1:D9"/>
  <sheetViews>
    <sheetView workbookViewId="0">
      <selection activeCell="C9" sqref="C9"/>
    </sheetView>
  </sheetViews>
  <sheetFormatPr baseColWidth="10" defaultColWidth="8.83203125" defaultRowHeight="15" x14ac:dyDescent="0.2"/>
  <cols>
    <col min="2" max="2" width="146.33203125" customWidth="1"/>
    <col min="3" max="3" width="116.5" customWidth="1"/>
    <col min="4" max="4" width="95.33203125" customWidth="1"/>
  </cols>
  <sheetData>
    <row r="1" spans="1:4" x14ac:dyDescent="0.2">
      <c r="A1" t="s">
        <v>389</v>
      </c>
      <c r="B1" t="s">
        <v>439</v>
      </c>
    </row>
    <row r="2" spans="1:4" x14ac:dyDescent="0.2">
      <c r="A2" t="s">
        <v>265</v>
      </c>
      <c r="B2" t="s">
        <v>440</v>
      </c>
    </row>
    <row r="3" spans="1:4" x14ac:dyDescent="0.2">
      <c r="A3" t="s">
        <v>392</v>
      </c>
      <c r="B3" t="s">
        <v>441</v>
      </c>
    </row>
    <row r="4" spans="1:4" x14ac:dyDescent="0.2">
      <c r="A4" t="s">
        <v>274</v>
      </c>
      <c r="B4" t="s">
        <v>442</v>
      </c>
    </row>
    <row r="5" spans="1:4" x14ac:dyDescent="0.2">
      <c r="B5" t="s">
        <v>395</v>
      </c>
    </row>
    <row r="6" spans="1:4" x14ac:dyDescent="0.2">
      <c r="B6" t="s">
        <v>396</v>
      </c>
    </row>
    <row r="7" spans="1:4" x14ac:dyDescent="0.2">
      <c r="B7" t="s">
        <v>397</v>
      </c>
    </row>
    <row r="8" spans="1:4" x14ac:dyDescent="0.2">
      <c r="A8" t="s">
        <v>398</v>
      </c>
      <c r="B8" t="s">
        <v>399</v>
      </c>
    </row>
    <row r="9" spans="1:4" ht="102" customHeight="1" x14ac:dyDescent="0.2">
      <c r="A9" t="s">
        <v>286</v>
      </c>
      <c r="B9" t="s">
        <v>419</v>
      </c>
      <c r="C9" s="2" t="str">
        <f>$B$4 &amp; $B$2 &amp; $B$5 &amp; " " &amp; $B$2 &amp; " " &amp;$B$6 &amp; B9 &amp; $B$7 &amp; $B$3 &amp; """}"</f>
        <v>{"allOption":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v>
      </c>
      <c r="D9" t="str">
        <f t="shared" ref="D9" si="0">"update app.warehouselocationdetail set payload = '" &amp; C9 &amp; "' where warehouseid = (select w.warehouseid from app.warehouselocation w where w.warehouseshortname='"&amp;A9&amp;"') and requesttypeid=(select rt.requesttypeid from app.requesttype rt where rt.description='"&amp;$B$1&amp; "');"</f>
        <v>update app.warehouselocationdetail set payload = '{"allOption": {"days": 30}, "emailContent": {"subject": "Splunk Alert: In Transit RMA ASNs &gt; 30 Days", "body": "The alert condition for In Transit RMA ASNs &gt; 30 Days was triggered.&lt;br&gt;&lt;br&gt;Serves as a notification to complete research on pending adjustments as the Corporate Limit is no greater than 45 days outstanding.", "fromEmail": "wms-tools-no-reply@rndc-usa.com", "toEmail": "wmsinternal@RNDC-USA.COM, WMSConsultant@RNDC-USA.COM, wmsmspsupport@rndc-usa.com", "footer": "If you believe you''ve received this email in error, please contact WMSMSPSupport@RNDC-USA.COM."}, "introHtml": "As part of system cleanup/maintenance below planned RMA''s are being cancelled as no return has been processed on them in last 30 days"}' where warehouseid = (select w.warehouseid from app.warehouselocation w where w.warehouseshortname='ATL') and requesttypeid=(select rt.requesttypeid from app.requesttype rt where rt.description='in_transit_rma_asn_30_days');</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1CD8-8788-4C8A-83FE-DF5472B4ECA3}">
  <dimension ref="A1:A14"/>
  <sheetViews>
    <sheetView workbookViewId="0">
      <selection sqref="A1:A14"/>
    </sheetView>
  </sheetViews>
  <sheetFormatPr baseColWidth="10" defaultColWidth="8.83203125" defaultRowHeight="15" x14ac:dyDescent="0.2"/>
  <sheetData>
    <row r="1" spans="1:1" x14ac:dyDescent="0.2">
      <c r="A1" t="s">
        <v>443</v>
      </c>
    </row>
    <row r="2" spans="1:1" x14ac:dyDescent="0.2">
      <c r="A2" t="s">
        <v>443</v>
      </c>
    </row>
    <row r="3" spans="1:1" x14ac:dyDescent="0.2">
      <c r="A3" t="s">
        <v>443</v>
      </c>
    </row>
    <row r="4" spans="1:1" x14ac:dyDescent="0.2">
      <c r="A4" t="s">
        <v>443</v>
      </c>
    </row>
    <row r="5" spans="1:1" x14ac:dyDescent="0.2">
      <c r="A5" t="s">
        <v>443</v>
      </c>
    </row>
    <row r="6" spans="1:1" x14ac:dyDescent="0.2">
      <c r="A6" t="s">
        <v>443</v>
      </c>
    </row>
    <row r="7" spans="1:1" x14ac:dyDescent="0.2">
      <c r="A7" t="s">
        <v>443</v>
      </c>
    </row>
    <row r="8" spans="1:1" x14ac:dyDescent="0.2">
      <c r="A8" t="s">
        <v>443</v>
      </c>
    </row>
    <row r="9" spans="1:1" x14ac:dyDescent="0.2">
      <c r="A9" t="s">
        <v>443</v>
      </c>
    </row>
    <row r="10" spans="1:1" x14ac:dyDescent="0.2">
      <c r="A10" t="s">
        <v>443</v>
      </c>
    </row>
    <row r="11" spans="1:1" x14ac:dyDescent="0.2">
      <c r="A11" t="s">
        <v>443</v>
      </c>
    </row>
    <row r="12" spans="1:1" x14ac:dyDescent="0.2">
      <c r="A12" t="s">
        <v>443</v>
      </c>
    </row>
    <row r="13" spans="1:1" x14ac:dyDescent="0.2">
      <c r="A13" t="s">
        <v>443</v>
      </c>
    </row>
    <row r="14" spans="1:1" x14ac:dyDescent="0.2">
      <c r="A14" t="s">
        <v>443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A26B-1806-4C61-94D5-90CB4D01FE8B}">
  <dimension ref="A1:A4"/>
  <sheetViews>
    <sheetView workbookViewId="0">
      <selection activeCell="A6" sqref="A6"/>
    </sheetView>
  </sheetViews>
  <sheetFormatPr baseColWidth="10" defaultColWidth="8.83203125" defaultRowHeight="15" x14ac:dyDescent="0.2"/>
  <cols>
    <col min="1" max="1" width="112.6640625" customWidth="1"/>
  </cols>
  <sheetData>
    <row r="1" spans="1:1" x14ac:dyDescent="0.2">
      <c r="A1" s="1" t="s">
        <v>444</v>
      </c>
    </row>
    <row r="2" spans="1:1" x14ac:dyDescent="0.2">
      <c r="A2" s="1" t="s">
        <v>445</v>
      </c>
    </row>
    <row r="3" spans="1:1" x14ac:dyDescent="0.2">
      <c r="A3" s="1" t="s">
        <v>446</v>
      </c>
    </row>
    <row r="4" spans="1:1" x14ac:dyDescent="0.2">
      <c r="A4" s="1" t="s">
        <v>447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CB0B6-F2F2-43AA-A730-25E257D63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C08607-069E-4F4C-B126-2D6687115C76}">
  <ds:schemaRefs>
    <ds:schemaRef ds:uri="http://schemas.microsoft.com/office/2006/metadata/properties"/>
    <ds:schemaRef ds:uri="http://schemas.microsoft.com/office/infopath/2007/PartnerControls"/>
    <ds:schemaRef ds:uri="f4b65c1a-daac-4fd9-ba72-b6c84fe15ed4"/>
    <ds:schemaRef ds:uri="bda85dd2-6cbf-49e9-8f64-78faf376eb43"/>
  </ds:schemaRefs>
</ds:datastoreItem>
</file>

<file path=customXml/itemProps3.xml><?xml version="1.0" encoding="utf-8"?>
<ds:datastoreItem xmlns:ds="http://schemas.openxmlformats.org/officeDocument/2006/customXml" ds:itemID="{20FF921C-E933-4A20-9549-E01119A871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newreqtype</vt:lpstr>
      <vt:lpstr>createdetail</vt:lpstr>
      <vt:lpstr>updatedetail</vt:lpstr>
      <vt:lpstr>createdetaildbalert</vt:lpstr>
      <vt:lpstr>updatedetaildbalert</vt:lpstr>
      <vt:lpstr>Sheet1</vt:lpstr>
      <vt:lpstr>all-global-ins</vt:lpstr>
      <vt:lpstr>will-call-alert-insert</vt:lpstr>
      <vt:lpstr>will-call-alert-upd</vt:lpstr>
      <vt:lpstr>Sheet2</vt:lpstr>
      <vt:lpstr>fsaleart-ins</vt:lpstr>
      <vt:lpstr>fsalert-upd</vt:lpstr>
      <vt:lpstr>dbalert-ins</vt:lpstr>
      <vt:lpstr>dbalert-upd</vt:lpstr>
      <vt:lpstr>AU01</vt:lpstr>
      <vt:lpstr>rma_asn_7_days</vt:lpstr>
      <vt:lpstr>rma_asn_30_days</vt:lpstr>
      <vt:lpstr>sheet11</vt:lpstr>
      <vt:lpstr>Sheet12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Yuen, Thomas</dc:creator>
  <cp:keywords/>
  <dc:description/>
  <cp:lastModifiedBy>Kok, Weijin</cp:lastModifiedBy>
  <cp:revision/>
  <dcterms:created xsi:type="dcterms:W3CDTF">2026-03-02T19:27:00Z</dcterms:created>
  <dcterms:modified xsi:type="dcterms:W3CDTF">2026-04-03T17:09:00Z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0x0101005977094627AF1147A308E96CD6855572</vt:lpwstr>
  </property>
  <property fmtid="{D5CDD505-2E9C-101B-9397-08002B2CF9AE}" pid="3" name="MediaServiceImageTags">
    <vt:lpwstr/>
  </property>
</Properties>
</file>