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tables/table1.xml" ContentType="application/vnd.openxmlformats-officedocument.spreadsheetml.table+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rndc/Desktop/Work related/Documents/"/>
    </mc:Choice>
  </mc:AlternateContent>
  <xr:revisionPtr revIDLastSave="0" documentId="8_{FB73CD32-6CC1-C744-A4AA-24AB5E17E119}" xr6:coauthVersionLast="47" xr6:coauthVersionMax="47" xr10:uidLastSave="{00000000-0000-0000-0000-000000000000}"/>
  <bookViews>
    <workbookView xWindow="-17440" yWindow="9180" windowWidth="38400" windowHeight="21600" tabRatio="688" firstSheet="1" activeTab="10" xr2:uid="{8F65269E-EC4E-436F-A297-C2F2D0200B05}"/>
    <workbookView xWindow="41120" yWindow="2980" windowWidth="38400" windowHeight="21600" activeTab="10" xr2:uid="{2DE4A338-4516-EF4B-97BB-8C0493E05CC2}"/>
  </bookViews>
  <sheets>
    <sheet name="Progress List" sheetId="5" r:id="rId1"/>
    <sheet name="Sheet1" sheetId="7" state="hidden" r:id="rId2"/>
    <sheet name="Final_List-Alerts" sheetId="10" r:id="rId3"/>
    <sheet name="api.alert" sheetId="16" r:id="rId4"/>
    <sheet name="Combination Splunk Activities" sheetId="1" r:id="rId5"/>
    <sheet name="AWS Splunk Alerts" sheetId="4" r:id="rId6"/>
    <sheet name="Splunk Alerts" sheetId="3" r:id="rId7"/>
    <sheet name="DB Alerts By House" sheetId="6" r:id="rId8"/>
    <sheet name="CRON Frequency" sheetId="2" r:id="rId9"/>
    <sheet name="TODO" sheetId="9" r:id="rId10"/>
    <sheet name="DBAlert.sql" sheetId="11" r:id="rId11"/>
    <sheet name="file.search" sheetId="12" r:id="rId12"/>
    <sheet name="misc.questions" sheetId="15" r:id="rId13"/>
  </sheets>
  <definedNames>
    <definedName name="_xlnm._FilterDatabase" localSheetId="3" hidden="1">api.alert!$A$2:$G$32</definedName>
    <definedName name="_xlnm._FilterDatabase" localSheetId="5" hidden="1">'AWS Splunk Alerts'!$A$1:$I$212</definedName>
    <definedName name="_xlnm._FilterDatabase" localSheetId="4" hidden="1">'Combination Splunk Activities'!$A$2:$AY$58</definedName>
    <definedName name="_xlnm._FilterDatabase" localSheetId="8" hidden="1">'CRON Frequency'!$A$3:$C$3</definedName>
    <definedName name="_xlnm._FilterDatabase" localSheetId="10" hidden="1">DBAlert.sql!$B$1:$U$31</definedName>
    <definedName name="_xlnm._FilterDatabase" localSheetId="11" hidden="1">file.search!$A$1:$J$10</definedName>
    <definedName name="_xlnm._FilterDatabase" localSheetId="2" hidden="1">'Final_List-Alerts'!$A$1:$N$89</definedName>
    <definedName name="_xlnm._FilterDatabase" localSheetId="6" hidden="1">'Splunk Alerts'!$A$2:$AX$123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16" l="1"/>
  <c r="B68" i="16"/>
  <c r="C67" i="16"/>
  <c r="B67" i="16"/>
  <c r="E5" i="11"/>
  <c r="E30" i="11"/>
  <c r="E19" i="11"/>
  <c r="E28" i="11"/>
  <c r="E22" i="11"/>
  <c r="E20" i="11"/>
  <c r="E14" i="11"/>
  <c r="E27" i="11"/>
  <c r="E18" i="11"/>
  <c r="E31" i="11"/>
  <c r="E29" i="11"/>
  <c r="E25" i="11"/>
  <c r="E26" i="11"/>
  <c r="E15" i="11"/>
  <c r="E16" i="11"/>
  <c r="E17" i="11"/>
  <c r="E24" i="11"/>
  <c r="E23" i="11"/>
  <c r="E21" i="11"/>
  <c r="E13" i="11"/>
  <c r="E12" i="11"/>
  <c r="E11" i="11"/>
  <c r="E10" i="11"/>
  <c r="E9" i="11"/>
  <c r="E8" i="11"/>
  <c r="E7" i="11"/>
  <c r="E6" i="11"/>
  <c r="E4" i="11"/>
  <c r="E3" i="11"/>
  <c r="E2" i="11"/>
  <c r="C15" i="12" l="1"/>
  <c r="C16" i="12"/>
  <c r="C17" i="12"/>
  <c r="C18" i="12"/>
  <c r="C19" i="12"/>
  <c r="C20" i="12"/>
  <c r="C21" i="12"/>
  <c r="C22" i="12"/>
  <c r="C14" i="12"/>
  <c r="B15" i="12"/>
  <c r="B16" i="12"/>
  <c r="B17" i="12"/>
  <c r="B18" i="12"/>
  <c r="B19" i="12"/>
  <c r="B20" i="12"/>
  <c r="B21" i="12"/>
  <c r="B22" i="12"/>
  <c r="B14" i="12"/>
  <c r="C51" i="16"/>
  <c r="C48" i="16"/>
  <c r="C43" i="16"/>
  <c r="P28" i="16"/>
  <c r="C65" i="16" s="1"/>
  <c r="P27" i="16"/>
  <c r="C64" i="16" s="1"/>
  <c r="P26" i="16"/>
  <c r="C63" i="16" s="1"/>
  <c r="P25" i="16"/>
  <c r="C62" i="16" s="1"/>
  <c r="P24" i="16"/>
  <c r="C61" i="16" s="1"/>
  <c r="P23" i="16"/>
  <c r="C60" i="16" s="1"/>
  <c r="P22" i="16"/>
  <c r="C59" i="16" s="1"/>
  <c r="P21" i="16"/>
  <c r="C58" i="16" s="1"/>
  <c r="P20" i="16"/>
  <c r="C57" i="16" s="1"/>
  <c r="P19" i="16"/>
  <c r="C56" i="16" s="1"/>
  <c r="P18" i="16"/>
  <c r="C55" i="16" s="1"/>
  <c r="P17" i="16"/>
  <c r="C54" i="16" s="1"/>
  <c r="P16" i="16"/>
  <c r="C53" i="16" s="1"/>
  <c r="P15" i="16"/>
  <c r="C52" i="16" s="1"/>
  <c r="P14" i="16"/>
  <c r="P13" i="16"/>
  <c r="C50" i="16" s="1"/>
  <c r="P12" i="16"/>
  <c r="C49" i="16" s="1"/>
  <c r="P11" i="16"/>
  <c r="P10" i="16"/>
  <c r="C47" i="16" s="1"/>
  <c r="P9" i="16"/>
  <c r="C46" i="16" s="1"/>
  <c r="P6" i="16"/>
  <c r="C45" i="16" s="1"/>
  <c r="P5" i="16"/>
  <c r="C44" i="16" s="1"/>
  <c r="D4" i="16"/>
  <c r="C4" i="16" s="1"/>
  <c r="B4" i="16"/>
  <c r="O5" i="16"/>
  <c r="B2" i="16"/>
  <c r="B43" i="16" s="1"/>
  <c r="D30" i="16"/>
  <c r="D28" i="16"/>
  <c r="D29" i="16"/>
  <c r="D5" i="16"/>
  <c r="C5" i="16" s="1"/>
  <c r="D8" i="16"/>
  <c r="C8" i="16" s="1"/>
  <c r="D7" i="16"/>
  <c r="C7" i="16" s="1"/>
  <c r="D3" i="16"/>
  <c r="C3" i="16" s="1"/>
  <c r="D27" i="16"/>
  <c r="D19" i="16"/>
  <c r="D14" i="16"/>
  <c r="D13" i="16"/>
  <c r="D18" i="16"/>
  <c r="D17" i="16"/>
  <c r="D12" i="16"/>
  <c r="D11" i="16"/>
  <c r="D26" i="16"/>
  <c r="D25" i="16"/>
  <c r="D24" i="16"/>
  <c r="D16" i="16"/>
  <c r="D23" i="16"/>
  <c r="D9" i="16"/>
  <c r="C9" i="16" s="1"/>
  <c r="D6" i="16"/>
  <c r="C6" i="16" s="1"/>
  <c r="D22" i="16"/>
  <c r="D15" i="16"/>
  <c r="B30" i="16"/>
  <c r="B28" i="16"/>
  <c r="B65" i="16" s="1"/>
  <c r="B29" i="16"/>
  <c r="B5" i="16"/>
  <c r="B44" i="16" s="1"/>
  <c r="B8" i="16"/>
  <c r="B7" i="16"/>
  <c r="B3" i="16"/>
  <c r="B27" i="16"/>
  <c r="B64" i="16" s="1"/>
  <c r="B14" i="16"/>
  <c r="B51" i="16" s="1"/>
  <c r="B19" i="16"/>
  <c r="B56" i="16" s="1"/>
  <c r="B13" i="16"/>
  <c r="B50" i="16" s="1"/>
  <c r="B18" i="16"/>
  <c r="B55" i="16" s="1"/>
  <c r="B17" i="16"/>
  <c r="B54" i="16" s="1"/>
  <c r="B12" i="16"/>
  <c r="B49" i="16" s="1"/>
  <c r="B11" i="16"/>
  <c r="B48" i="16" s="1"/>
  <c r="B26" i="16"/>
  <c r="B63" i="16" s="1"/>
  <c r="B25" i="16"/>
  <c r="B62" i="16" s="1"/>
  <c r="B24" i="16"/>
  <c r="B61" i="16" s="1"/>
  <c r="B16" i="16"/>
  <c r="B53" i="16" s="1"/>
  <c r="B23" i="16"/>
  <c r="B60" i="16" s="1"/>
  <c r="B9" i="16"/>
  <c r="B46" i="16" s="1"/>
  <c r="B6" i="16"/>
  <c r="B45" i="16" s="1"/>
  <c r="B22" i="16"/>
  <c r="B59" i="16" s="1"/>
  <c r="B15" i="16"/>
  <c r="B52" i="16" s="1"/>
  <c r="D21" i="16"/>
  <c r="B21" i="16"/>
  <c r="B58" i="16" s="1"/>
  <c r="D10" i="16"/>
  <c r="B10" i="16"/>
  <c r="B47" i="16" s="1"/>
  <c r="D20" i="16"/>
  <c r="B20" i="16"/>
  <c r="B57" i="16" s="1"/>
  <c r="J8" i="5"/>
  <c r="H8" i="5"/>
  <c r="F8" i="5"/>
  <c r="D8" i="5"/>
  <c r="C8" i="5"/>
  <c r="D7" i="5"/>
  <c r="E7" i="5" s="1"/>
  <c r="D6" i="5"/>
  <c r="D5" i="5"/>
  <c r="J6" i="5"/>
  <c r="C6" i="5"/>
  <c r="C7" i="5"/>
  <c r="C5" i="5"/>
  <c r="J7" i="5"/>
  <c r="K7" i="5" s="1"/>
  <c r="H7" i="5"/>
  <c r="I7" i="5" s="1"/>
  <c r="F7" i="5"/>
  <c r="G7" i="5" s="1"/>
  <c r="H6" i="5"/>
  <c r="F6" i="5"/>
  <c r="H5" i="5"/>
  <c r="I5" i="5" s="1"/>
  <c r="J5" i="5"/>
  <c r="F5" i="5"/>
  <c r="G5" i="5" s="1"/>
  <c r="F2" i="2"/>
  <c r="E2" i="2"/>
  <c r="E1" i="2" s="1"/>
  <c r="F1" i="2" s="1"/>
  <c r="I6" i="5" l="1"/>
  <c r="C11" i="5"/>
  <c r="E8" i="5"/>
  <c r="G8" i="5"/>
  <c r="I8" i="5"/>
  <c r="K8" i="5"/>
  <c r="E6" i="5"/>
  <c r="K5" i="5"/>
  <c r="D11" i="5"/>
  <c r="E5" i="5"/>
  <c r="J11" i="5"/>
  <c r="K6" i="5"/>
  <c r="G6" i="5"/>
  <c r="H11" i="5"/>
  <c r="F11" i="5"/>
  <c r="K11" i="5" l="1"/>
  <c r="G11" i="5"/>
  <c r="I11" i="5"/>
  <c r="E11" i="5"/>
  <c r="A23" i="16"/>
  <c r="A24" i="16" s="1"/>
  <c r="A25" i="16" s="1"/>
  <c r="A26" i="16" s="1"/>
  <c r="A27" i="16" s="1"/>
  <c r="A28" i="16" s="1"/>
  <c r="A29" i="16" s="1"/>
  <c r="A30" i="16" s="1"/>
  <c r="A4" i="16"/>
  <c r="A5" i="16" s="1"/>
  <c r="A6" i="16" l="1"/>
  <c r="A7" i="16" l="1"/>
  <c r="A8" i="16" s="1"/>
  <c r="A9" i="16" s="1"/>
  <c r="A10" i="16" l="1"/>
  <c r="A11" i="16" l="1"/>
  <c r="A12" i="16" l="1"/>
  <c r="A13" i="16" s="1"/>
  <c r="A14" i="16" s="1"/>
  <c r="A15" i="16" s="1"/>
  <c r="A16" i="16" s="1"/>
  <c r="A17" i="16" s="1"/>
  <c r="A18" i="16" s="1"/>
  <c r="A19" i="16" s="1"/>
  <c r="A20" i="16" s="1"/>
  <c r="A21" i="16" s="1"/>
</calcChain>
</file>

<file path=xl/sharedStrings.xml><?xml version="1.0" encoding="utf-8"?>
<sst xmlns="http://schemas.openxmlformats.org/spreadsheetml/2006/main" count="7473" uniqueCount="1741">
  <si>
    <t>SPLUNK DECOMISSIONING</t>
  </si>
  <si>
    <t>Function/Area/Tool</t>
  </si>
  <si>
    <t>Total Cases</t>
  </si>
  <si>
    <t>Unstarted Work</t>
  </si>
  <si>
    <t>% Incomplete</t>
  </si>
  <si>
    <t>In Design</t>
  </si>
  <si>
    <t>% in Design</t>
  </si>
  <si>
    <t>Being Developed</t>
  </si>
  <si>
    <t>&amp; in Being Developed</t>
  </si>
  <si>
    <t>Deployed</t>
  </si>
  <si>
    <t>% Deployed</t>
  </si>
  <si>
    <t>Comments/Updates</t>
  </si>
  <si>
    <t>Priotity</t>
  </si>
  <si>
    <t>Application Parameter Tool</t>
  </si>
  <si>
    <r>
      <t xml:space="preserve">🔹 </t>
    </r>
    <r>
      <rPr>
        <b/>
        <sz val="11"/>
        <color theme="1"/>
        <rFont val="Aptos Narrow"/>
        <family val="2"/>
        <scheme val="minor"/>
      </rPr>
      <t>Application Parameter Tool - PIX TRX</t>
    </r>
    <r>
      <rPr>
        <sz val="11"/>
        <color theme="1"/>
        <rFont val="Aptos Narrow"/>
        <family val="2"/>
        <scheme val="minor"/>
      </rPr>
      <t xml:space="preserve">
- 9/26/25 Update
Development: Completed
QA: Completed
Current Phase: Business Validation
- 11/6/25 Application Parameter Tool is Deployed
</t>
    </r>
    <r>
      <rPr>
        <b/>
        <sz val="11"/>
        <color rgb="FF00B050"/>
        <rFont val="Aptos Narrow"/>
        <family val="2"/>
        <scheme val="minor"/>
      </rPr>
      <t>Completed</t>
    </r>
  </si>
  <si>
    <t>Completed</t>
  </si>
  <si>
    <t>MAWM Scheduled Script Dashboard for API's</t>
  </si>
  <si>
    <r>
      <t xml:space="preserve">🔹 </t>
    </r>
    <r>
      <rPr>
        <b/>
        <sz val="11"/>
        <color theme="1"/>
        <rFont val="Aptos Narrow"/>
        <family val="2"/>
        <scheme val="minor"/>
      </rPr>
      <t>Scheduled Script Dashboard – Oddball SKU</t>
    </r>
    <r>
      <rPr>
        <sz val="11"/>
        <color theme="1"/>
        <rFont val="Aptos Narrow"/>
        <family val="2"/>
        <scheme val="minor"/>
      </rPr>
      <t xml:space="preserve">
- 9/26/25
Use Case: CS15 - MAWM Scheduled Script Dashboard for APIs
Development &amp; Integration:  In Progress
- 11/6/2025 Scheduled Script tool in still In Progress in this sprint.  Sprint ends in three weeks
- 12/9/25 Completed but in business testing right now.  This will be deployed in January due to the Blackout period.  Two are built and there are eight left to build.
- 1/6/2026 Ready to deploy to production for a few of the Scripts.  Adding a Script for MATM that needed for go live next month.
Next Steps: Deploy to Production, use a couple of the newly created Scheulded Scripts, shut them down in Splunk
- 1/20/2026 Oddball SKU, waiting on the cloud deployment to production so this can begin running in production. Working on the TMS Scheulded script, have a call today to go through it with Michael Dubose today. This is being targeted for the next sprint. Going to look into the IREC after the TMS Scheulded Script Deployment. 
- 2/3/2026 Oddball script is completed and ready to go in WMS Tools. We are at the point where we can turn it off in Splunk and turn it on and have it run from the WMS Tool. TMS script for RNDC Level ORG is ready to test in Development. Michael &amp; Thomas can run the test tomorrow to make sure it is working.</t>
    </r>
  </si>
  <si>
    <t>New BI Tool/ Lambda Function - Will Call Alert</t>
  </si>
  <si>
    <r>
      <t xml:space="preserve">🔹 </t>
    </r>
    <r>
      <rPr>
        <b/>
        <sz val="11"/>
        <color theme="1"/>
        <rFont val="Aptos Narrow"/>
        <family val="2"/>
        <scheme val="minor"/>
      </rPr>
      <t>Will Call – Email Alerts</t>
    </r>
    <r>
      <rPr>
        <sz val="11"/>
        <color theme="1"/>
        <rFont val="Aptos Narrow"/>
        <family val="2"/>
        <scheme val="minor"/>
      </rPr>
      <t xml:space="preserve">
- 9/26/25 Update
Status:  To be started after CS15 - MAWM Scheduled Script Dashboard for APIs use case is completed
- 12/9/25 Decmossiong of the Server(2016), so we will need to priortize this case over the Alerting Dashboard Case.  This is due to us needing to get off of the WMS and close the California.
Current Note: Smooth planning, Get use case ready
- 1/6/26 This is in Progress, althought it's being tracked separelty, it's going to be part of the Scheulded Scripts Dashboard.
- 1/20/2026 Working on the WIll Call alert, which is still in development, hoping to put it into testing this week.
- 2/3/2026 They are working on the email structure, which is HTML, which is closer to hwat we have currently, we decided against a PDF report. This will be in the development environment before the end of the week.  The email structure to be used by the WIll Call alert and all of the other alerts is still being finalized, this is what will be used by all alerts  going forward.</t>
    </r>
  </si>
  <si>
    <t>Splunk Alerts(SQL/API Alerts) - WMS Tools Alerting Dashboard</t>
  </si>
  <si>
    <r>
      <rPr>
        <b/>
        <sz val="11"/>
        <color theme="1"/>
        <rFont val="Aptos Narrow"/>
        <family val="2"/>
        <scheme val="minor"/>
      </rPr>
      <t>🔹 WMS Tools Alerting Dashboard</t>
    </r>
    <r>
      <rPr>
        <sz val="11"/>
        <color theme="1"/>
        <rFont val="Aptos Narrow"/>
        <family val="2"/>
        <scheme val="minor"/>
      </rPr>
      <t xml:space="preserve">
- 9/26/25 Kim &amp; Memory to Meet with Camir next week to understand the POC that he built the first time around a year ago.  
- 11/6/25 Plan is to build this functionality into WMS Tools vs. Using Power BI/Power Automate. Kinsy &amp; Thomas will start to work on this after the Scheudled Script Tool is Deployed to Production.
- 12/9/25 Started Development.  Using Inventory Adjustment PIX Missing Reason Code as a POC to start eh development. 
Time Frame : Kinsy to do some analysis to see how long it will take to complete the last three tools to get off of Splunk completely.
- 1/6/26 Final list of Alerts is being complied.  A few meetings have been had, we have close to the final list. Kinsy is working on an estimate of how long it will take to develop.
- 1/20/2026 We have final list. We are goignt o scheuld a meeting to come up with a priority and that way development can begin on this section.  
- 2/3/2026 They are working on the embeded HTML table that will be used for all alerts, but they are starting with the Will Call alerts. Once it's complete we can move from the Will Call alert they will move on to the other alerting.
</t>
    </r>
  </si>
  <si>
    <t>Unstarted</t>
  </si>
  <si>
    <t>All</t>
  </si>
  <si>
    <t>Power BI Dashboards</t>
  </si>
  <si>
    <t>Dashboard/Report/Tool</t>
  </si>
  <si>
    <t>MAWM Replicated SQL Complete?</t>
  </si>
  <si>
    <t>SQL Rewritten in Snowflake?</t>
  </si>
  <si>
    <t>Comments</t>
  </si>
  <si>
    <t>Data Model Created?</t>
  </si>
  <si>
    <t>Power BI Dashboard Created?</t>
  </si>
  <si>
    <t>Workload Summary</t>
  </si>
  <si>
    <t>Complete</t>
  </si>
  <si>
    <t>Need to Open a Ticket with W&amp;H, to double check the validy of their data.</t>
  </si>
  <si>
    <t>I believe Mark has the initial Model created.  There is a data issue on how this data is pulled into snowflake, and it has to do with a date field that is being populated.</t>
  </si>
  <si>
    <t>In Progress</t>
  </si>
  <si>
    <t>Chad to provide some assistance with writing a Power BI report for this.</t>
  </si>
  <si>
    <t>Inventory Tracking Dashboard</t>
  </si>
  <si>
    <t>Data Team had Snowflake SQL.</t>
  </si>
  <si>
    <t>No started yet</t>
  </si>
  <si>
    <t>Incomplete</t>
  </si>
  <si>
    <t>Inbound Receiving Volume Dashboard</t>
  </si>
  <si>
    <t>Updates being made to MAWM Replicated SQL</t>
  </si>
  <si>
    <t>Not started yet</t>
  </si>
  <si>
    <t>Inbound Transfer Volume Dashboard</t>
  </si>
  <si>
    <t>Demand Order Outbound Volume Dashboard</t>
  </si>
  <si>
    <t>Slotting Dashboard</t>
  </si>
  <si>
    <t>From what I understand this is in progress.
- This is completed, ready to write the Power BI report.</t>
  </si>
  <si>
    <t>Cycle Count Dashboard</t>
  </si>
  <si>
    <t>Returns Dashboard</t>
  </si>
  <si>
    <t>This has not been started yet. Will be upon completion of the Inbound Dashboards.</t>
  </si>
  <si>
    <t>Activity Tracking Warehouse Report</t>
  </si>
  <si>
    <t>Requested the Current SQL that Agilitics wrote, need to review.</t>
  </si>
  <si>
    <t xml:space="preserve">Foecast Data SQL's </t>
  </si>
  <si>
    <t>Bricz currently working on Snowflake SQL.</t>
  </si>
  <si>
    <t>Tasks</t>
  </si>
  <si>
    <t>Priority</t>
  </si>
  <si>
    <t>ERP/WMS</t>
  </si>
  <si>
    <t>Needed</t>
  </si>
  <si>
    <t>Type</t>
  </si>
  <si>
    <t>Database</t>
  </si>
  <si>
    <t>Assigned To</t>
  </si>
  <si>
    <t>Email</t>
  </si>
  <si>
    <t>Stakeholder</t>
  </si>
  <si>
    <t>Email Template</t>
  </si>
  <si>
    <t>DEV</t>
  </si>
  <si>
    <t>QA</t>
  </si>
  <si>
    <t>Production</t>
  </si>
  <si>
    <t>ALLOCATED LPNS WITH NO OPEN TASK DETAILS API FAILURE</t>
  </si>
  <si>
    <t>Low</t>
  </si>
  <si>
    <t>WMS</t>
  </si>
  <si>
    <t>Yes</t>
  </si>
  <si>
    <t>API</t>
  </si>
  <si>
    <t>MAWM</t>
  </si>
  <si>
    <t>Kinsy</t>
  </si>
  <si>
    <t>splunk/manhattan_active/ASH/alloclpns_noopntskdtls</t>
  </si>
  <si>
    <t>ALPHA ASN ERROR</t>
  </si>
  <si>
    <t>Medium</t>
  </si>
  <si>
    <t>ERP</t>
  </si>
  <si>
    <t>FTP File Search</t>
  </si>
  <si>
    <t>ALPHA</t>
  </si>
  <si>
    <t>Thomas</t>
  </si>
  <si>
    <t>ALPHA ASN ERROR &amp; ASW ASN ERROR are same
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
This Splunk search pulls today’s ABQ ASN header file, extracts the ASN number and error status from fixed positions in the file, and labels the warehouse as ABQ.
It then filters only error records (Status 1 = Header Error, Status 2 = Line Item Error) and displays the results with timestamps for reporting.
The final result will send via email formatted as table using HTML embedded in the email</t>
  </si>
  <si>
    <t>Jacod Reed or Dax Solomon</t>
  </si>
  <si>
    <t>ALPHA OPEN ADJUSTMENTS &gt; 35DAYS</t>
  </si>
  <si>
    <t>sourcetype=alpha_adj | regex "\s\s\s\s\s\s\s\s\s\s\s\s\s\s\s\s\s\s\s\s\s\s\s\s\s\s\s\s\s\s\s\s\s\s\s\s\s\s\s\s\s\s\s\s\s\s\s\s\s\s\s\s\s\s\s[1]" | eval file_date=strftime(now(), "%Y-%m-%d")| eval mySource="/splunk/FTP/Alpha/adj/atl_adjtrx_" + file_date + ".txt" | where match(source, mySource) | table  source,Item, REASON, _time  | rex  field=source mode=sed "s/\/splunk\/FTP\/Alpha\/adj\/atl_*(.+)/ATL/g"  | rename  source AS "House"  | sort  House |dedup Item
This search filters **today’s ATL Alpha adjustment file** to find records with a specific fixed-position pattern (ending in status **1**), indicating a certain type of adjustment/error.
It then formats the output to show **House (ATL), Item, Reason, and Time**, removes duplicates by Item, and sorts the results for clean reporting.
The final result will send via email formatted as table using HTML embedded in the email</t>
  </si>
  <si>
    <t>ALPHA OPEN/ERROR ASN</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</si>
  <si>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    ----- This search pulls today’s ABQ ASN header file and filters records where the ASN status is not “9,” then formats the date for reporting.
It converts numeric status codes into readable error descriptions (Open, Header Errors, Line Item Errors) and displays the results by House, ASN, Status, and Date.</t>
  </si>
  <si>
    <t>ALPHA OPEN RETURNS</t>
  </si>
  <si>
    <t>index = alpharet punct=__________________________________________________  | eval file_date=strftime(now(), "%Y-%m-%d")   | eval mySource="/splunk/FTP/Alpha/ret/atl_retlpn_" + file_date + ".txt"   | where match(source, mySource)| search
This Splunk search looks in the alpharet index for events whose source file name matches today’s ATL retail LPN file (based on the current date).
It then filters the results to only those matching that specific file path and applies any additional search conditions.
The final result will send via email formatted as table using HTML embedded in the email</t>
  </si>
  <si>
    <t>ASN S WITH NO ASN LEVEL VERIFICATION &gt; 5DAYS</t>
  </si>
  <si>
    <t>Middleware</t>
  </si>
  <si>
    <t>DBQuery</t>
  </si>
  <si>
    <t>Mulesoft</t>
  </si>
  <si>
    <t>ABQ_MIDDLE_PROD</t>
  </si>
  <si>
    <t>Mikaelo or Shrini</t>
  </si>
  <si>
    <t>ASW ASN ERROR</t>
  </si>
  <si>
    <t>ASW</t>
  </si>
  <si>
    <t>sourcetype = asn_error_csv | eval file_date=strftime(now(), "%Y_%m_%d") | eval mySource="/splunk/FTP/ASW/ASN_Errors_" + file_date + ".csv" | where match(source, mySource) | table AHZMSROM AHZMASNN _time | rename AHZMSROM AS "HOUSE" AHZMASNN AS "ASN"  -----This Splunk search finds today’s ASN error CSV file and filters events to only that specific file path.
It then displays the HOUSE, ASN, and time fields in a clean table format.
The final result will send via email formatted as table using HTML embedded in the email</t>
  </si>
  <si>
    <t>Harvey Goldstein, Robert curl</t>
  </si>
  <si>
    <t>DIVERT CONFIRMATION DOWN</t>
  </si>
  <si>
    <t>High</t>
  </si>
  <si>
    <t>/splunk/manhattan_active/ALLMAWM/au02_divert_confirm_source_destination_down</t>
  </si>
  <si>
    <t>DUPLICATE PIX S IN MIDDLEWARE WMS</t>
  </si>
  <si>
    <t xml:space="preserve">Combine DUPLICATE PIX S IN MIDDLEWARE WMS " &amp; DUPLICATE PIX S IN SOA WMS  name as Mulesoft  - refer  the code in SOA </t>
  </si>
  <si>
    <t>DUPLICATE PIX S IN SOA WMS</t>
  </si>
  <si>
    <t>No</t>
  </si>
  <si>
    <t>My SQL</t>
  </si>
  <si>
    <t xml:space="preserve">10.248.248.195 - MAPRD_NEW </t>
  </si>
  <si>
    <t>DUPLICATE SHIP CONFIRM</t>
  </si>
  <si>
    <t>Oracle/Mulesoft</t>
  </si>
  <si>
    <t>MAWM_SOA_PRD - jdbc:oracle:thin:@at4ex01-scan1.corp.rndc-usa.com:1521/pwmsods_svc1</t>
  </si>
  <si>
    <t>ENDPOINT QUEUE FAILURES</t>
  </si>
  <si>
    <t>/splunk/manhattan_active/ABQ/failure_count/</t>
  </si>
  <si>
    <t>ENDPOINT STATUS</t>
  </si>
  <si>
    <t>/splunk/manhattan_active/ARK/endpoint_status/</t>
  </si>
  <si>
    <t>ILPNS WITH MISSING PHYSICALENTITYCODEID</t>
  </si>
  <si>
    <t>ILPNS WITH NEGATIVE ALLOCATED QUANTITY API FAILURE</t>
  </si>
  <si>
    <t>INVENTORY ADJUSTMENT PIX MISSING REASON CODE</t>
  </si>
  <si>
    <t>INVENTORY SYNC SCHEDULE API FAILED</t>
  </si>
  <si>
    <t>Same inventory_sync_schedule - calling script /splunk/manhattan_active/ABQ/inventory_sync_schedule/inventory_sync_schedule_check_status.csv</t>
  </si>
  <si>
    <t>The alert condition for '$name$' was triggered.
Description:  Manhattan case 7115910 is open for this.   ***MSP TO CLEAN UP***    Steps to Correct:Run the SQL update(s) in the Middleware DB for each house. Commit these updates after running.</t>
  </si>
  <si>
    <t>ITEM IMAGE URL FAILURE</t>
  </si>
  <si>
    <t>FTP file path to get the image list</t>
  </si>
  <si>
    <t>ITEM LEVEL RECEIPTS WITH 0 QUANTITY</t>
  </si>
  <si>
    <t>LIA RECORDS WITH PACK UOM TYPE POPULATED</t>
  </si>
  <si>
    <t>The alert condition for '$name$' was triggered.
***MSP TO CLEAN UP***</t>
  </si>
  <si>
    <t>LOCATION POSITION &gt; STREET LENGTH</t>
  </si>
  <si>
    <t>WMS/LMS</t>
  </si>
  <si>
    <t>10.248.248.195 - MAPRD_NEW ; email to lmteam@rndc-usa.com</t>
  </si>
  <si>
    <t>LOCATION REBUILD FAILURE</t>
  </si>
  <si>
    <t>splunk/manhattan_active/ABQ/location_rebuild. Only API call and no select query from mysql</t>
  </si>
  <si>
    <t>LOCATIONS W/ INVENTORY FOR ITEMS NOT ASSIGNED</t>
  </si>
  <si>
    <t>LONG RUNNING OR ABORTED WAVES</t>
  </si>
  <si>
    <t>LPNS WITH CONSUMED/CANCELLED ALLOCATED QUANTITY API FAILURE</t>
  </si>
  <si>
    <t>Meium</t>
  </si>
  <si>
    <t>execute select sql and call MA API Endpoint. /splunk/manhattan_active/ABQ/lpn_consumed_cancel_allocation</t>
  </si>
  <si>
    <t>MISSING ITEM LEVEL VERIFICATION PIX</t>
  </si>
  <si>
    <t>MONTHLY SLOTTING DASHBOARD</t>
  </si>
  <si>
    <t xml:space="preserve">Query runs in python script and create csv file. /splunk/manhattan_active/ALLMAWM/monthly_slotting_dashboard </t>
  </si>
  <si>
    <t>OPEN PICK PACK TASK DETAILS API FAILURE</t>
  </si>
  <si>
    <t>Run select query and update API endpoint. /splunk/manhattan_active/ABQ/tskdtls_comp_openpickpacktskdtls</t>
  </si>
  <si>
    <t>ASW OPEN RETURNS</t>
  </si>
  <si>
    <t>Returns House and Open Return values from today’s Cust_Rtn_Pallets CSV file only, with the event date displayed.. Searching FTP file path /splunk/FTP/ASW/Cust_Rtn_Pallets_*
The final result will send via email formatted as table using PDF attached in the email</t>
  </si>
  <si>
    <t>OPEN TASK API FAILURE</t>
  </si>
  <si>
    <t>Run select query and update API endpoint. - /splunk/manhattan_active/LUB/open_task</t>
  </si>
  <si>
    <t>OPEN TASK DETAILS API FAILURE</t>
  </si>
  <si>
    <t>Run select query and update API endpoint. - /splunk/manhattan_active/ATL/open_task_details</t>
  </si>
  <si>
    <t>ORDERS NOT PROCESS IN HOST &gt; 15 MINUTES</t>
  </si>
  <si>
    <t>| dbxquery query="SELECT warehouse, invoice_no, item_no, ship_qty, prc_status, created_dttm, messageid FROM ark_wmsods.ship_confirm WHERE prc_status = 10 AND created_dttm &lt; sysdate - 60/1440 ORDER BY  created_dttm desc" connection="MAWM_SOA_PRD"</t>
  </si>
  <si>
    <t>ORDERS STUCK IN CREATED STATUS &gt; 15 MINUTES</t>
  </si>
  <si>
    <t>ELP ASW -PENDING SHIPMENT QUANTITIES &gt; 1 WEEK</t>
  </si>
  <si>
    <t>Host</t>
  </si>
  <si>
    <t>To retrieve and display today’s Pending Open Shipments records for SISROM = EL1 by filtering events to today’s CSV file and presenting key shipment fields in a readable format.   (/splunk/FTP/ASW/Pending_Shipments_Open_" + file_date + ".csv")
The final result will send via email formatted as table using PDF attached in the email</t>
  </si>
  <si>
    <t>PICK LOCATIONS WITH NEGATIVE TBF API FAILURE</t>
  </si>
  <si>
    <t>Run select query and update API endpoint../splunk/manhattan_active/ABQ/pick_loc_negative_tbf</t>
  </si>
  <si>
    <t>PICK LOCATIONS WITH TBF QUANTITY AND NO OPEN TASK DETAILS API FAILURE</t>
  </si>
  <si>
    <t>/splunk/manhattan_active/ABQ/pick_loc_tbf_qty_taskdtls</t>
  </si>
  <si>
    <t>PUTAWAY TASK DETAILS API FAILURE</t>
  </si>
  <si>
    <t>/splunk/manhattan_active/ABQ/ptwytskdtlsopen_nottiedtskhdr</t>
  </si>
  <si>
    <t>RECOUP SORTING UPDATE API FAILURE</t>
  </si>
  <si>
    <t>/splunk/manhattan_active/DFB/recoup_sort_update_lpn</t>
  </si>
  <si>
    <t>ROUTED ORDERS CANCELLED</t>
  </si>
  <si>
    <t>ROUTES WITH MULTIPLE WAVE NUMBERS</t>
  </si>
  <si>
    <t>SHIPPED OLPN W/ CONSOLIDATION LOCATION ASSIGNMENT</t>
  </si>
  <si>
    <t>SLOTTING ITEM DEMAND PACK FAILURE</t>
  </si>
  <si>
    <t>Run select query and update API</t>
  </si>
  <si>
    <t>SLOTTING ITEM DEMAND UNIT FAILURE</t>
  </si>
  <si>
    <t>SLOTTING LIA DELETE PK RECORDS API FAILURE</t>
  </si>
  <si>
    <t>No query only API search and delete</t>
  </si>
  <si>
    <t>SPLUNK API SCRIPTS SUMMARY</t>
  </si>
  <si>
    <t>Splunk</t>
  </si>
  <si>
    <t>Pstgres</t>
  </si>
  <si>
    <t>/splunk/manhattan_active/ALLMAWM/api_schedules/api_schedules.txt</t>
  </si>
  <si>
    <t>STANDARD ORDERS DESELECTED DURING WAVING</t>
  </si>
  <si>
    <t>STANDARD ORDERS W/ NO DESIGNATED OR ASSIGNED SHIPMENTS CREATED</t>
  </si>
  <si>
    <t>STANDARD ORDERS W/ NO DESIGNATED SHIPMENTS CREATED</t>
  </si>
  <si>
    <t>STATIC ROUTE MISSING THRESHOLD VALUE</t>
  </si>
  <si>
    <t>STATIC ROUTE UI MISSING DFLT VALUE</t>
  </si>
  <si>
    <t>TEMPORARY RESERVE LOCATIONS W/ ASSIGNMENTS, BUT NO INVENTORY</t>
  </si>
  <si>
    <t>TEMPORARY RESERVE LOCATIONS W/ INVENTORY, BUT NO ASSIGNMENTS</t>
  </si>
  <si>
    <t>TRAVEL &gt; 4 MINS</t>
  </si>
  <si>
    <t>Low Low</t>
  </si>
  <si>
    <t>Oracle</t>
  </si>
  <si>
    <t>MAWM_SOA_PRD</t>
  </si>
  <si>
    <t>USERS W/ INCORRECT USER DEFAULT CONFIGURATION</t>
  </si>
  <si>
    <t>Put in Application Configuration Tool</t>
  </si>
  <si>
    <t>USER TASK GROUP BULK IMPORT FAILURE</t>
  </si>
  <si>
    <t>WEEKLY SLOTTING DASHBOARD</t>
  </si>
  <si>
    <t>/splunk/manhattan_active/ALLMAWM/monthly_slotting_dashboard - run as python in splunk</t>
  </si>
  <si>
    <t>WILL CALL</t>
  </si>
  <si>
    <t>1/23 - dev completion</t>
  </si>
  <si>
    <t>ALL - MAWM - LPN Storage Locs with Inventory Not Tied to an LPN</t>
  </si>
  <si>
    <t>ALL - MAWM - Pallet LPNs w/ Inventory Records</t>
  </si>
  <si>
    <t>Item Loc Prod (ITEMLOC_PRD)</t>
  </si>
  <si>
    <t>MySQL, Oracle</t>
  </si>
  <si>
    <t>/splunk/manhattan_active/ABQ/ITEMLOC_PRD - runs as python file. Select data from my sql and insert in oracle table</t>
  </si>
  <si>
    <t>Mark Dynamic Case Pick (dynamic_casepick_liquor)</t>
  </si>
  <si>
    <t>Run select query and update API. /splunk/manhattan_active/LIV/dynamic_casepick_liquor</t>
  </si>
  <si>
    <t>Wesley for Details</t>
  </si>
  <si>
    <t>Mark Dynamic Wine (dynamic_casepick_wine)</t>
  </si>
  <si>
    <t>Run select query and update API.. /splunk/manhattan_active/LIV/dynamic_casepick_wine</t>
  </si>
  <si>
    <t>ALL - MAWM - Splunk Alerts Summary</t>
  </si>
  <si>
    <t>Report</t>
  </si>
  <si>
    <t>|rest /servicesNS/-/-/saved/searches splunk_server=local
|search (title = "*MAWM*" )
|table title, action.email.message.alert,  action.email.to, action.email.cc, actions, cron_schedule, disabled, eai:acl.app, qualifiedSearch  - -- It list the complete alerts list</t>
  </si>
  <si>
    <t>ALL - MAWM - oLPNs w/ Multiple Details of the Same Item</t>
  </si>
  <si>
    <t>OPEN ORDER IN WM &gt; 1 WEEK</t>
  </si>
  <si>
    <t>AU01 FAILURE [URGENT]</t>
  </si>
  <si>
    <t>Only API serach and return the data</t>
  </si>
  <si>
    <t>WMS- NEW Alpha Open Adjustments &gt; 45days</t>
  </si>
  <si>
    <t>Meduim</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</si>
  <si>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   -------- This search pulls today’s Alpha adjustment file, extracts item and status details, filters records older than 45 days with low status values, and removes duplicate entries for clean reporting.
The final result will send via email formatted as table using HTML embedded in the email</t>
  </si>
  <si>
    <t>ALPHA OPEN ADJUSTMENTS &gt; 40 DAYS</t>
  </si>
  <si>
    <t>This search pulls today’s LAF Alpha adjustment file, extracts item, reason, status, and create date from fixed positions, and filters records with Status &lt; 2 that are older than 40 days.
It then sorts and removes duplicates so only unique Item + Reason_Code adjustment records remain for reporting.
The final result will send via email formatted as table using HTML embedded in the email</t>
  </si>
  <si>
    <t>ABQ - MAWM - Travel &gt; 4 Mins</t>
  </si>
  <si>
    <t>Lo Lo</t>
  </si>
  <si>
    <t>POR - MAWM - Duplicate PIX's in Middleware WMS</t>
  </si>
  <si>
    <t>Oracle SQL</t>
  </si>
  <si>
    <t>ALL - MAWM - PIX Specification Found &gt; 1 Hour</t>
  </si>
  <si>
    <t>ALL - MAWM - Inventory Adjustment PIX w/ Null PO Line</t>
  </si>
  <si>
    <t>This search reads usernames from MA_SOA.csv and runs a database query for each user against the MAWM_SOA_PRD connection.
It returns recent Inventory Adjustment transactions (last 24 hours) where ASN and PO exist but PO line is missing, sorted by latest transaction time.</t>
  </si>
  <si>
    <t>ALL - MAWM - In Packing oLPNS &gt; 5 Minutes</t>
  </si>
  <si>
    <t>ALL - MAWM - Loaded Shipments w/ no Ship Confirm &gt; 6 hours</t>
  </si>
  <si>
    <t>ALL - MAWM - Putaway Task is Open but iLPN is Putaway</t>
  </si>
  <si>
    <t>ALL - MAWM - Task Completed or Cancelled w/ Open Task Details</t>
  </si>
  <si>
    <t>ALL - MAWM - Task Open w/ Completed or Cancelled Task Details</t>
  </si>
  <si>
    <t>ALL - MAWM - Task ‘In Progress’ w/ Completed or Cancelled Task Details</t>
  </si>
  <si>
    <t>ALL - MAWM - Unprocessed or Failed Ship Confirms Last 24 Hours</t>
  </si>
  <si>
    <t>All - MAWM - Multiple Order Lines Per Original Order Line</t>
  </si>
  <si>
    <t>ALL - MAWM - Items Weight with Large Dimensions</t>
  </si>
  <si>
    <t>ALL - MAWM - Items Volume with Large Dimensions</t>
  </si>
  <si>
    <t>ATL In Transit RMA ASNs &gt; 30 Days Splunk Alert</t>
  </si>
  <si>
    <t>New Alert - Looking for delivery in End of Feb</t>
  </si>
  <si>
    <t>mawm_consolidation_report</t>
  </si>
  <si>
    <t>WMS - Report - Send email report</t>
  </si>
  <si>
    <t>LIA Sync Application Parameter</t>
  </si>
  <si>
    <t>Application Parameter</t>
  </si>
  <si>
    <t>inventory_sync_schedule</t>
  </si>
  <si>
    <t>update_ext_display_barcode</t>
  </si>
  <si>
    <t>MATM - SPO Import Failure</t>
  </si>
  <si>
    <t>MATM</t>
  </si>
  <si>
    <t>New Alert requested by Brandon and TMS Team.</t>
  </si>
  <si>
    <t>sorting</t>
  </si>
  <si>
    <t>splunk search content</t>
  </si>
  <si>
    <t>python + sql + shell script</t>
  </si>
  <si>
    <t>FTP</t>
  </si>
  <si>
    <t>TXT</t>
  </si>
  <si>
    <t>csv</t>
  </si>
  <si>
    <t>PY</t>
  </si>
  <si>
    <t>eval</t>
  </si>
  <si>
    <t>SQL</t>
  </si>
  <si>
    <t>MAPI</t>
  </si>
  <si>
    <t>dev status</t>
  </si>
  <si>
    <t>Notes</t>
  </si>
  <si>
    <t>csv file name</t>
  </si>
  <si>
    <t>pending dev</t>
  </si>
  <si>
    <t>source="/splunk/manhattan_active/ABQ/failure_count_10min/message_failure_count_list.csv" host="misssplunksh01.corp.rndc-usa.com" index="ymc_dev_wms" Endpoint_Name=WOR_DEI_AllocationDownloadMsg
|rename Endpoint_Name as Name,  Error_Count as Count 
| table Name Count</t>
  </si>
  <si>
    <t>/splunk/manhattan_active/ABQ/message_count.py and /dmui-facade/api/dmui-facade/metric/search</t>
  </si>
  <si>
    <t>source="/splunk/manhattan_active/ALLMAWM/hawaii-in-transit-rma-asns/Logs/hawaii-in-transit-rma-asns-HAW.csv" host="misssplunksh01.corp.rndc-usa.com"  index="ymc_dev_wms" sourcetype="csv" | Table "ASN Id", Status</t>
  </si>
  <si>
    <t>"/splunk/manhattan_active/ALLMAWM</t>
  </si>
  <si>
    <t>source="/splunk/manhattan_active/ABQ/inventory_sync_schedule/inventory_sync_schedule_check_status.csv" host="misssplunksh01.corp.rndc-usa.com" index="ymc_dev_wms" "Inventory sync schedule API Failed" |rename "Inventory sync schedule API Status" as Status | table Status, _time</t>
  </si>
  <si>
    <t>source="/splunk/manhattan_active/ABQ/item_image_url/itemURL_bulk_import_check_status.csv" host="misssplunksh01.corp.rndc-usa.com" index="ymc_dev_wms" sourcetype="csv" "ItemURL Bulk Import API Failed"  | rename  "Item URL Bulk Import API Status" as Status | table Status, _time</t>
  </si>
  <si>
    <t>source="/splunk/manhattan_active/ALLMAWM/au02_divert_confirm_source_destination_down/au02_divert_confirm_source_destination_down_Prod.csv" host="misssplunksh01.corp.rndc-usa.com" index="ymc_dev_wms" sourcetype="csv"
|rename PROFILEID as Profile_ID,  ENDPOINTID as Endpoint_ID 
| table Profile_ID Endpoint_ID</t>
  </si>
  <si>
    <t>source="/splunk/manhattan_active/ABQ/pick_loc_negative_tbf/pick_loc_negative_tbf_status.csv" host="misssplunksh01.corp.rndc-usa.com" index="ymc_dev_wms" sourcetype="csv" "Pick Locations With Negative TBF API Failed"  | rename  "Pick Locations With Negative TBF API Status" as Status | table Status, _time</t>
  </si>
  <si>
    <t>source="/splunk/manhattan_active/ABQ/pick_loc_tbf_qty_taskdtls/pick_loc_tbf_qty_taskdtls_status.csv" host="misssplunksh01.corp.rndc-usa.com" index="ymc_dev_wms" sourcetype="csv" "Pick Location TBF Qty Open Task Details API Failed"  | rename  "Pick Location TBF Qty Open Task Details API Status" as Status | table Status, _time</t>
  </si>
  <si>
    <t>source="/splunk/manhattan_active/ABQ/slot_itemdemand_pack/slotitemdemand_pack_check_status.csv" host="misssplunksh01.corp.rndc-usa.com" index="ymc_dev_wms" sourcetype="csv" "Slotting Item Demand Pack Import API Failed"  | rename  "Slot Item Demand Pack Import API Status" as Status | table Status, _time</t>
  </si>
  <si>
    <t>source="/splunk/manhattan_active/ABQ/slot_itemdemand_unit/slotitemdemand_unit_check_status.csv" host="misssplunksh01.corp.rndc-usa.com" index="ymc_dev_wms" sourcetype="csv" "Slotting Item Demand Unit Import API Failed"  | rename  "Slot Item Demand Unit Import API Status" as Status | table Status, _time</t>
  </si>
  <si>
    <t>source="/splunk/manhattan_active/AUB/endpoint_status/endpoint_status.csv" host="misssplunksh01.corp.rndc-usa.com" index="ymc_dev_wms" sourcetype="ma-endpoint_csv" "AU01_WaveDownload_Endpoint" OR "AU02_DivertConfirm_Endpoint" OR "AU02_PickComplete_Endpoint" OR "AU03_CartonComplete_Endpoint" OR AU02_PickComplete_AWPF_Endpoint OR AU03CompleteCartonEndpoint 
| where Status = "Stopped"
| table Create_time Description Name Type Status</t>
  </si>
  <si>
    <t>source="/splunk/manhattan_active/ABQ/alloclpns_noopntskdtls/rebuild_lpn_status.csv" host="misssplunksh01.corp.rndc-usa.com" index="ymc_dev_wms" sourcetype="csv" "Rebuild LPNs API Failed"  | rename  "Rebuild LPNs Status" as Status | table Status, _time</t>
  </si>
  <si>
    <t>source="/splunk/manhattan_active/ABQ/ptwytskdtlsopen_nottiedtskhdr/putaway_task_details_status.csv" host="misssplunksh01.corp.rndc-usa.com" index="ymc_dev_wms" sourcetype="csv" "Putaway Task Details API Failed"  | rename  "Putaway Task Details" as Status | table Status, _time | dedup Status</t>
  </si>
  <si>
    <t>source="/splunk/manhattan_active/DFB/recoup_sort_update_lpn/update_lpn_status.csv" host="misssplunksh01.corp.rndc-usa.com" index="ymc_dev_wms" sourcetype="csv" "Update LPN Inventory API Failed"  | rename  "Update LPN Inventory API Status" as Status | table Status, _time</t>
  </si>
  <si>
    <t>source="/splunk/manhattan_active/ABQ/slotting_lia_delete/slotting_lia_delete_status.csv" host="misssplunksh01.corp.rndc-usa.com" index="ymc_dev_wms" sourcetype="csv" "Slotting"  | rename  "Slotting Location PK Search API Status" as Status | table Status, _time</t>
  </si>
  <si>
    <t>/splunk/manhattan_active/ABQ/alloclpns_noopntskdtls/alloclpns_noopntskdtls.py and alloclpns_noopntskdtls.sql</t>
  </si>
  <si>
    <t>source="/splunk/manhattan_active/ABQ/failure_count/message_failure_count_list.csv"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</si>
  <si>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source="/splunk/manhattan_active/ABQ/lpn_negative_allocation/update_lpn_inv_check_status.csv" host="misssplunksh01.corp.rndc-usa.com" index="ymc_dev_wms" sourcetype="csv" "Update Lpn Inventory API Failed"  | rename  "Update Lpn Inventory API Status" as Status | table Status, _time</t>
  </si>
  <si>
    <t>source="/splunk/manhattan_active/ABQ/location_rebuild/location_rebuild_check_status.csv" host="misssplunksh01.corp.rndc-usa.com" index="ymc_dev_wms" "Location Rebuild API Failed" | rename  "Location Rebuild API Status" as Status | table Status, _time</t>
  </si>
  <si>
    <t>source="/splunk/manhattan_active/ABQ/tskdtls_comp_openpickpacktskdtls/open_pickpack_task_details_status.csv" host="misssplunksh01.corp.rndc-usa.com" index="ymc_dev_wms" sourcetype="csv" "Open Pick Pack Task Details API Failed"  | rename  "Open Pick Pack Task Details" as Status | table Status, _time | dedup Status</t>
  </si>
  <si>
    <t>source="/splunk/manhattan_active/ABQ/open_task/open_task_status.csv" host="misssplunksh01.corp.rndc-usa.com" index="ymc_dev_wms" sourcetype="csv" "Open Task API Failed"  | rename  "Open Task API Status" as Status, "Task Id" as TaskId | table TaskId, Status, _time</t>
  </si>
  <si>
    <t>source="/splunk/manhattan_active/ABQ/open_task_details/open_task_details_status.csv" host="misssplunksh01.corp.rndc-usa.com" index="ymc_dev_wms" sourcetype="csv" "Open Task Details API Failed"  | rename  "Open Task Details API Status" as Status | table Status, _time</t>
  </si>
  <si>
    <t>source="/splunk/manhattan_active/ABQ/user_task_group/user_task_group_status.csv" host="misssplunksh01.corp.rndc-usa.com" index="ymc_dev_wms" sourcetype="csv" "User Task Group Bulk Import API Failed"  | rename  "User Task Group Bulk Import API Status" as Status | table Status, _time</t>
  </si>
  <si>
    <t>POR - MAWM - Shipped oLPN w/ Consolidation Location Assignment????</t>
  </si>
  <si>
    <t>| dbxquery query="select INVOICE, SHIP_TO, CUSTOMER_NUMBER, EMAIL, ITEM, PACK, ITEM_SIZE, SHIP_QTY, ORDER_QTY, ITEM_DESC from c_will_call_ark where tax_id is null" connection="CONF_OKL_WM13"
| rename INVOICE AS Invoice, SHIP_TO AS "Ship To", CUSTOMER_NUMBER AS "Cust #"
| eval ShortQty = ORDER_QTY - SHIP_QTY 
| fields - _raw, _time
| stats list(ITEM) as "Item", list(ITEM_SIZE) as "Size", list(SHIP_QTY) AS "Ship Qty (Btls)",  list(ORDER_QTY) AS "Ord Qty (Btls)",  list(ShortQty) as "Short Qty (Btls)",list(PACK) AS "Pack" , list(ITEM_DESC)  as "Item Description", values(EMAIL) as "Email" delim=":", by Invoice,"Ship To", "Cust #"
| rex mode=sed field="Item Description" "s/:/\n/g" | rex mode=sed field="Ord Qty (Btls)" "s/:/\n/g" | rex mode=sed field=Size "s/:/\n/g" |  rex mode=sed field="Ship Qty (Btls)" "s/:/\n/g" |  rex mode=sed field="Short Qty (Btls)" "s/:/\n/g" |  rex mode=sed field="Pack" "s/:/\n/g" | rex mode=sed field="Item" "s/:/\n/g" 
| rex mode=sed field="Item Description" "s/ /_/g" 
| eval "Ship To"=lower('Ship To') |   eval "Ship To"=upper(substr('Ship To',1,1)).substr('Ship To',2)
|table Invoice "Ship To" "Cust #"  Email Item Pack Size "Ship Qty (Btls)" "Ord Qty (Btls)" "Short Qty (Btls)" "Item Description"</t>
  </si>
  <si>
    <t>Divert Confirm Endpoint Shutdown</t>
  </si>
  <si>
    <t>WMS - Divert Confirm Endpoint Shutdown</t>
  </si>
  <si>
    <t>Kinsy : Need to lookinto this</t>
  </si>
  <si>
    <t>Combine two schedules</t>
  </si>
  <si>
    <t>/splunk/FTP/DWH/Product_image_dimension.txt</t>
  </si>
  <si>
    <t>Script Details</t>
  </si>
  <si>
    <t>House Enabled</t>
  </si>
  <si>
    <t>Current Script Name</t>
  </si>
  <si>
    <t>In Use</t>
  </si>
  <si>
    <t>New Script Name</t>
  </si>
  <si>
    <t>Description</t>
  </si>
  <si>
    <t>Desired Cron Frequency</t>
  </si>
  <si>
    <t>Script Type</t>
  </si>
  <si>
    <t>Email Notification</t>
  </si>
  <si>
    <t>Tool</t>
  </si>
  <si>
    <t>Note</t>
  </si>
  <si>
    <t>Unstarted Work/In Design/Being Develped/Deployed</t>
  </si>
  <si>
    <t>ABQ</t>
  </si>
  <si>
    <t>ARK</t>
  </si>
  <si>
    <t>ASH</t>
  </si>
  <si>
    <t>ATL</t>
  </si>
  <si>
    <t>AUB</t>
  </si>
  <si>
    <t>CCR</t>
  </si>
  <si>
    <t>CHI</t>
  </si>
  <si>
    <t>COL</t>
  </si>
  <si>
    <t>DEN</t>
  </si>
  <si>
    <t>DFB</t>
  </si>
  <si>
    <t>ELP</t>
  </si>
  <si>
    <t>FAR</t>
  </si>
  <si>
    <t>GRP</t>
  </si>
  <si>
    <t>HAW</t>
  </si>
  <si>
    <t>HOU</t>
  </si>
  <si>
    <t>IND</t>
  </si>
  <si>
    <t>JAC</t>
  </si>
  <si>
    <t>JES</t>
  </si>
  <si>
    <t>KAP</t>
  </si>
  <si>
    <t>KAU</t>
  </si>
  <si>
    <t>LAF</t>
  </si>
  <si>
    <t>LIV</t>
  </si>
  <si>
    <t>LOU</t>
  </si>
  <si>
    <t>LUB</t>
  </si>
  <si>
    <t>MAU</t>
  </si>
  <si>
    <t>NEW</t>
  </si>
  <si>
    <t>OAH</t>
  </si>
  <si>
    <t>OKL</t>
  </si>
  <si>
    <t>OMA</t>
  </si>
  <si>
    <t>ORL</t>
  </si>
  <si>
    <t>PEN</t>
  </si>
  <si>
    <t>PHO</t>
  </si>
  <si>
    <t>POR</t>
  </si>
  <si>
    <t>ROM</t>
  </si>
  <si>
    <t>RVR</t>
  </si>
  <si>
    <t>SAA</t>
  </si>
  <si>
    <t>SIO</t>
  </si>
  <si>
    <t>TAM</t>
  </si>
  <si>
    <t>TOL</t>
  </si>
  <si>
    <t>WSD</t>
  </si>
  <si>
    <t>alloclpns_noopntskdtls</t>
  </si>
  <si>
    <t>Automated cleanup script</t>
  </si>
  <si>
    <t>Disabled</t>
  </si>
  <si>
    <t>CRON Disabled for all sites</t>
  </si>
  <si>
    <t>asn_parameter_missing</t>
  </si>
  <si>
    <t>ASN Receiving Template Header Application Parameter Missing</t>
  </si>
  <si>
    <t>This parameter helps to avoid child loads during ASN updates. This reduces component memory usage, DB queries, and improves GC stability.</t>
  </si>
  <si>
    <t>8:14 on Monday- Prod</t>
  </si>
  <si>
    <t>API, Python</t>
  </si>
  <si>
    <t>Y</t>
  </si>
  <si>
    <t>Application Parameter Tools</t>
  </si>
  <si>
    <t>8:16 on Monday- Stage</t>
  </si>
  <si>
    <t>N</t>
  </si>
  <si>
    <t>component_health_check</t>
  </si>
  <si>
    <t>No longer Applicable</t>
  </si>
  <si>
    <t>Only available for LAF, CRON disabled</t>
  </si>
  <si>
    <t>dcorder_ops_parameter_missing</t>
  </si>
  <si>
    <t>Dcorder OPS Application Parameter Missing</t>
  </si>
  <si>
    <t>Max Cut off hours to monitor order planning run metrics</t>
  </si>
  <si>
    <t>8:12 on Monday- Prod</t>
  </si>
  <si>
    <t>MAWM Scheduled Script Dashboard for API's----Brandon Johnson</t>
  </si>
  <si>
    <t>8:10 on Monday- Stage</t>
  </si>
  <si>
    <t>dybd_parameter</t>
  </si>
  <si>
    <t>DYBD Putaway Application Parameter Not Set</t>
  </si>
  <si>
    <t>Aids in the putaway portion of DYBD Replenishment to prevent the LPN expected container promps during fill portion of task</t>
  </si>
  <si>
    <t>9:30 on Monday- Prod</t>
  </si>
  <si>
    <t xml:space="preserve">
POST {{app_host}}/putaway/api/idempotency/applicationParameter/search
{
    "Query": "ApplicationParameterId != null",
    "Size": 1
}
Trigger Condition: Fire the alert if no PK value is returned for the Org in question.</t>
  </si>
  <si>
    <t>9:45 on Monday- Stage</t>
  </si>
  <si>
    <t>missing_TGE_parameter</t>
  </si>
  <si>
    <t>Missing Putaway Replenishment TGE Application Parameter</t>
  </si>
  <si>
    <t>Allows to bypass TGE checks on putaway portion of replen tasks</t>
  </si>
  <si>
    <t>8:00 on Monday</t>
  </si>
  <si>
    <t>Under MAWM Scheduled Script Dashboard for API's</t>
  </si>
  <si>
    <t>dynamic_casepick_liquor</t>
  </si>
  <si>
    <t>Mark Dynamic Case Pick</t>
  </si>
  <si>
    <t>LIV Heavy Hitters</t>
  </si>
  <si>
    <t xml:space="preserve"> 00:00 every day Mon-Sat</t>
  </si>
  <si>
    <t>Only for LIV, Related to line 62 &amp; 63 on the Final List.</t>
  </si>
  <si>
    <t>dynamic_casepick_wine</t>
  </si>
  <si>
    <t>Mark Dynamic Wine</t>
  </si>
  <si>
    <t> 19:00 every day Mon through Fri</t>
  </si>
  <si>
    <t>At minute 0, 15, 30, and 45 past hour 17 and 18 on every day-of-week from Monday through Friday</t>
  </si>
  <si>
    <t>will_call_master</t>
  </si>
  <si>
    <t>Will Call Master</t>
  </si>
  <si>
    <t>Notifies SalesPerson when Will Call order is completed</t>
  </si>
  <si>
    <t>See CRON Frequency Tab</t>
  </si>
  <si>
    <t>DB Query / API Import / Python</t>
  </si>
  <si>
    <t>New BI Tool/ Lambda Function</t>
  </si>
  <si>
    <t>endpoint_status</t>
  </si>
  <si>
    <t>Endpoint Status</t>
  </si>
  <si>
    <t>Queries status of AU* Endpoints</t>
  </si>
  <si>
    <t>At Minute 15</t>
  </si>
  <si>
    <t>API , Python</t>
  </si>
  <si>
    <t>Alert</t>
  </si>
  <si>
    <t>inventory_sync_all</t>
  </si>
  <si>
    <t>Fires weekly inventory Sync</t>
  </si>
  <si>
    <t>API Job</t>
  </si>
  <si>
    <t>WMS Inventory Sync</t>
  </si>
  <si>
    <t>Triggers Inventory Sync for ERPs</t>
  </si>
  <si>
    <t>Line 87</t>
  </si>
  <si>
    <t>item_bulk_import</t>
  </si>
  <si>
    <t>Item Oddball SKU Update</t>
  </si>
  <si>
    <t>Marks SKUs as oddball</t>
  </si>
  <si>
    <t>SQL, API</t>
  </si>
  <si>
    <t xml:space="preserve">Pending Production Release
</t>
  </si>
  <si>
    <t>item_image_url</t>
  </si>
  <si>
    <t>Item Image URL Import</t>
  </si>
  <si>
    <t>Imports Item Image URLs from data warehouse feed into WM</t>
  </si>
  <si>
    <t>Python, API</t>
  </si>
  <si>
    <t>Line 19</t>
  </si>
  <si>
    <t>item_master_search</t>
  </si>
  <si>
    <t>Item Master Left Join Search Application Parameter</t>
  </si>
  <si>
    <t>The application parameter within the item master component is necessary to prevent cubing errors resulting in orders from deselecting and ensuring Item Level verification PIX from receiving populate with the correct data.</t>
  </si>
  <si>
    <t>7:45 on Monday</t>
  </si>
  <si>
    <t xml:space="preserve">POST {{app_host}}/item-master/api/idempotency/applicationParameter/search
    {
    "Query": "ApplicationParameterId = item.remove.left.join.item.search and Value = true"
}
</t>
  </si>
  <si>
    <t>item_volume</t>
  </si>
  <si>
    <t>8:00 on Sunday</t>
  </si>
  <si>
    <t>Reach out to Shiva or Kinsy or Thomas for details</t>
  </si>
  <si>
    <t>ITEMLOC_PRD</t>
  </si>
  <si>
    <t>ItemLoc PRD</t>
  </si>
  <si>
    <t>Item locations are sent into staging tables that are read by ERPs</t>
  </si>
  <si>
    <t>SQL, Python</t>
  </si>
  <si>
    <t>Line 61</t>
  </si>
  <si>
    <t>location_rebuild</t>
  </si>
  <si>
    <t>Location Rebuild</t>
  </si>
  <si>
    <t>Rebuilding Locations in WM</t>
  </si>
  <si>
    <t>lpn_consumed_cancel_allocation</t>
  </si>
  <si>
    <t>lpn_location_assignment</t>
  </si>
  <si>
    <t>LPN Location Assignment</t>
  </si>
  <si>
    <t>Tracks invalid location assignments via API delete failures</t>
  </si>
  <si>
    <t>5*</t>
  </si>
  <si>
    <t>Python, API, SQL</t>
  </si>
  <si>
    <t>lpn_negative_allocation</t>
  </si>
  <si>
    <t>MAWM Consolidation Report</t>
  </si>
  <si>
    <t>Shows consolidation opportunities for WM</t>
  </si>
  <si>
    <t>Report,SQL</t>
  </si>
  <si>
    <t>This alert simply execute 7 different scripts and send email from python code itself. Need a tool like simply feed the sql files and send the results.</t>
  </si>
  <si>
    <t>failure_count</t>
  </si>
  <si>
    <t>Failure Count</t>
  </si>
  <si>
    <t>Retrieves message failure counts from dashboard in last 24 hrs</t>
  </si>
  <si>
    <t>At 9:55</t>
  </si>
  <si>
    <t>failure_count_10min</t>
  </si>
  <si>
    <t>Failure Count 10 Minutes</t>
  </si>
  <si>
    <t>Retrieves message failure counts from dashboard in last 10 minutes</t>
  </si>
  <si>
    <t>At Minute 10</t>
  </si>
  <si>
    <t>CRON Disabled</t>
  </si>
  <si>
    <t>mawm_wave_runtime</t>
  </si>
  <si>
    <t>MAWM Wave Runtime</t>
  </si>
  <si>
    <t>Looks at long-running waves</t>
  </si>
  <si>
    <t>8:30 every day on Mon-Fri</t>
  </si>
  <si>
    <t>monthly_slotting_dashboard</t>
  </si>
  <si>
    <t>At 3:00 on 1st Day of Month</t>
  </si>
  <si>
    <t>at 9:00 on Sunday</t>
  </si>
  <si>
    <t>At 15:42</t>
  </si>
  <si>
    <t>onhold_iteminventory</t>
  </si>
  <si>
    <t>Onhold item inventory</t>
  </si>
  <si>
    <t>Looks in Oracle to see if item is active or not, and cross references to MAWM via database link, outputs results via email</t>
  </si>
  <si>
    <t>At 11:00 Mon-Fri</t>
  </si>
  <si>
    <t>For West Sites</t>
  </si>
  <si>
    <t>open_task</t>
  </si>
  <si>
    <t>open_task_details</t>
  </si>
  <si>
    <t>pick_loc_negative_tbf</t>
  </si>
  <si>
    <t>pick_loc_tbf_qty_taskdtls</t>
  </si>
  <si>
    <t>mawm_wave_runtime_weekly</t>
  </si>
  <si>
    <t>MAWM Wave Runtime Weekly</t>
  </si>
  <si>
    <t>Looks at long-running waves by week</t>
  </si>
  <si>
    <t>ptwytskdtlsopen_nottiedtskhdr</t>
  </si>
  <si>
    <t>receiving_user_exit_response</t>
  </si>
  <si>
    <t>Receiving Component User Exit Response Template</t>
  </si>
  <si>
    <t>The application parameter uses a response template that nullifies the ASN in the custom EX53 payload.  Deleting this application parameter is necessary for EX53 Empty Keg returns functionality to work correctly.</t>
  </si>
  <si>
    <t>recoup_sort_update_lpn</t>
  </si>
  <si>
    <t>No longer Applicable due to EX73</t>
  </si>
  <si>
    <t>Can be disabled</t>
  </si>
  <si>
    <t>reslot_app_parameter_missing</t>
  </si>
  <si>
    <t>Slotting Component Manual Re-Slot Application Parameter Missing</t>
  </si>
  <si>
    <t>Allows to run manual reslot proccess without getting internal service error</t>
  </si>
  <si>
    <t>8:33 on Monday-Prod</t>
  </si>
  <si>
    <t>8:30 on Monday- Stage</t>
  </si>
  <si>
    <t>ApI, Python</t>
  </si>
  <si>
    <t>slot_itemdemand_pack</t>
  </si>
  <si>
    <t>Slotting Full Case Demand Import</t>
  </si>
  <si>
    <t xml:space="preserve">Imports Slotting Case Demand </t>
  </si>
  <si>
    <t>DB Query / API Import</t>
  </si>
  <si>
    <t>Line 43</t>
  </si>
  <si>
    <t>slot_itemdemand_unit</t>
  </si>
  <si>
    <t>Slotting Loose Bottle Demand Import</t>
  </si>
  <si>
    <t>Imports Slotting Bottle Demand</t>
  </si>
  <si>
    <t>Line 44</t>
  </si>
  <si>
    <t>slotting_lia_delete</t>
  </si>
  <si>
    <t>slotting_pk_delete</t>
  </si>
  <si>
    <t>soa_item_location</t>
  </si>
  <si>
    <t>Item Location</t>
  </si>
  <si>
    <t>Imports Item Location into ERP</t>
  </si>
  <si>
    <t>DB Query, Python</t>
  </si>
  <si>
    <t>Verify if soa is still running, compare with item_loc</t>
  </si>
  <si>
    <t>token</t>
  </si>
  <si>
    <t>Token</t>
  </si>
  <si>
    <t>Script to get Auth Token for all sites</t>
  </si>
  <si>
    <t>8***</t>
  </si>
  <si>
    <t>All Tools</t>
  </si>
  <si>
    <t>tskdtls_comp_openpickpacktskdtls</t>
  </si>
  <si>
    <t>user_task_group</t>
  </si>
  <si>
    <t>User Task Group</t>
  </si>
  <si>
    <t xml:space="preserve">Imports user task pool eligibilities </t>
  </si>
  <si>
    <t>API, Python, SQL</t>
  </si>
  <si>
    <t>Line 56 - Needs to be absorbed into user creation tool</t>
  </si>
  <si>
    <t>printing_failures</t>
  </si>
  <si>
    <t>Printing Failures</t>
  </si>
  <si>
    <t>Looks at printing journal and fires off any errors that are seen in printing journal</t>
  </si>
  <si>
    <t>Contact Jason Richter</t>
  </si>
  <si>
    <t>putaway_cc_missing_condition_code</t>
  </si>
  <si>
    <t>Putaway Condition Codes Missing</t>
  </si>
  <si>
    <t xml:space="preserve">There was an issue with the IREC where it was off because there were condition </t>
  </si>
  <si>
    <t>When Parameter is incorrect</t>
  </si>
  <si>
    <t>See Final List number line 55</t>
  </si>
  <si>
    <t xml:space="preserve">Fires these two API's when it runs.
- LocationCapacitySync
- LocationItemAssignmentSync
 </t>
  </si>
  <si>
    <t>Get with Sean on this one, he knows the details on how it is working.</t>
  </si>
  <si>
    <t>type</t>
  </si>
  <si>
    <t>title</t>
  </si>
  <si>
    <t>search</t>
  </si>
  <si>
    <t>description</t>
  </si>
  <si>
    <t>eai:acl.app</t>
  </si>
  <si>
    <t>eai:acl.owner</t>
  </si>
  <si>
    <t>next_scheduled_time</t>
  </si>
  <si>
    <t>updated</t>
  </si>
  <si>
    <t>Needed?</t>
  </si>
  <si>
    <t>alert</t>
  </si>
  <si>
    <t>ABQ - MAWM - Item Bulk Import Failure</t>
  </si>
  <si>
    <t>source="/splunk/manhattan_active/ABQ/item_bulk_import/item_bulk_import_check_status.csv" host="misssplunksh01.corp.rndc-usa.com" index="ymc_dev_wms" sourcetype="csv" "Item Bulk Import API Failed"  | rename  "Item Bulk Import API Status" as Status | table Status, _time</t>
  </si>
  <si>
    <t>ABQ - WM Active - Item Bulk Import Failure</t>
  </si>
  <si>
    <t>scriptuser</t>
  </si>
  <si>
    <t>2022-02-20T16:19:02-05:00</t>
  </si>
  <si>
    <t>Already Covered</t>
  </si>
  <si>
    <t>ABQ - MAWM -Inventory Sync Schedule API Failed</t>
  </si>
  <si>
    <t>ABQ - WM Active -Inventory Sync Schedule Failed</t>
  </si>
  <si>
    <t>2022-11-15T15:11:56-05:00</t>
  </si>
  <si>
    <t>ALL - MAWM - Component Health Check</t>
  </si>
  <si>
    <t>source="/splunk/manhattan_active/Apps/component_health_check/health_check_status.csv" host="misssplunksh01.corp.rndc-usa.com" index="ymc_dev_wms"
|where Status != "UP" AND Status != "Status" AND Service_Name != "com-manh-cp-sorting"
|dedup Service_Name, Status
|rename Service_Name as "Service Name"
|table "Service Name", Status</t>
  </si>
  <si>
    <t>2023-10-08T23:59:21-04:00</t>
  </si>
  <si>
    <t>Not Needed</t>
  </si>
  <si>
    <t>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</si>
  <si>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SHIP_STATUS.MAX_TIME &lt;= NOW() - INTERVAL 30 MINUTE
AND SHIP_STATUS.SHIPMENT_ID NOT IN (SELECT SHIPMENT_ID FROM default_shipconfirm.SHC_SHIP_CONFIRM_BATCH WHERE SHIPMENT_ID IS NOT NULL)" connection="MAPRD_NEW"</t>
  </si>
  <si>
    <t>2023-09-13T10:27:31-04:00</t>
  </si>
  <si>
    <t>Required</t>
  </si>
  <si>
    <t>ALL - MAWM - Locations with Null Max UOM Quantity</t>
  </si>
  <si>
    <t>| dbxquery query="SELECT DISTINCT LIA.ORG_ID, LOC.STORAGE_UOM_ID, TASK_MOVEMENT_ZONE_ID, LIA.LOCATION_ID, LIA.ASSIGNMENT_ID, LIA.MAX_UOM_QUANTITY, LIA.ITEM_ID, ITEM.DESCRIPTION FROM default_dcinventory.DCI_LOCATION_ITEM_ASSIGNMENT LIA LEFT JOIN default_dcinventory.DCI_LOCATION LOC ON LOC.LOCATION_ID = LIA.LOCATION_ID AND SUBSTR(LOC.PROFILE_ID,1,3) = LIA.ORG_ID LEFT JOIN default_dcinventory.ITL_ITEM ITEM ON ITEM.ITEM_ID = LIA.ITEM_ID AND ITEM.ORG_ID = LIA.ORG_ID 
 WHERE 1=1 AND LIA.LOCATION_ID NOT LIKE '%DYBD%' AND LIA.LOCATION_ID &lt;&gt; 'DYB1' AND LIA.MAX_UOM_QUANTITY IS NULL
 Order by 1" connection="MAPRD_NEW"</t>
  </si>
  <si>
    <t>2022-11-18T12:51:55-05:00</t>
  </si>
  <si>
    <t>ALL - MAWM - Orders Stuck in Created Status &gt; 10 Minutes</t>
  </si>
  <si>
    <t>| 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</si>
  <si>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2023-09-13T11:15:11-04:00</t>
  </si>
  <si>
    <t>ALL - MAWM - Pick Locations With Negative TBF</t>
  </si>
  <si>
    <t>| dbxquery query="SELECT org_id, location_id, item_id, on_hand, to_be_filled, allocated, updated_timestamp, INVENTORY_ID FROM default_dcinventory.DCI_INVENTORY WHERE to_be_filled &lt; 0 ORDER BY  org_id, item_id; " connection="MAPRD_NEW"</t>
  </si>
  <si>
    <t>2023-08-07T08:46:39-04:00</t>
  </si>
  <si>
    <t>|rest /servicesNS/-/-/saved/searches splunk_server=local
|search (title = "*MAWM*" )
|table title, action.email.message.alert,  action.email.to, action.email.cc, actions, cron_schedule, disabled, eai:acl.app, qualifiedSearch</t>
  </si>
  <si>
    <t>2024-04-18T12:24:32-04:00</t>
  </si>
  <si>
    <t>ALL - MAWM - iLPNs w/ Multiple Details of the Same Item</t>
  </si>
  <si>
    <t>| dbxquery query="select distinct INVN.ORG_ID, INVN.ILPN_ID AS ILPN,  INVN.ITEM_ID, L.STATUS, LS.DESCRIPTION, INVN.LOCATION_ID CURRENT_LOC, B.TASK_ID AS LAST_TASK, B.UPDATED_TIMESTAMP, count(*) ILPN_DTL_COUNT
from default_dcinventory.DCI_INVENTORY INVN
LEFT JOIN 
    (SELECT * FROM 
         (
             SELECT DISTINCT T.ORG_ID,TD.SOURCE_CONTAINER_ID LPN, T.TASK_ID, TD.UPDATED_TIMESTAMP, RANK() OVER(PARTITION BY SOURCE_CONTAINER_ID ORDER BY UPDATED_TIMESTAMP DESC) RNK
             FROM default_task.TSK_TASK T
             LEFT JOIN default_task.TSK_TASK_DETAIL TD ON T.TASK_ID = TD.TASK_ID AND T.ORG_ID = TD.ORG_ID
             AND SOURCE_CONTAINER_TYPE_ID = 'ILPN'  AND SOURCE_CONTAINER_ID IS NOT NULL
         ) A WHERE LPN IS NOT NULL AND RNK = 1
    ) B ON B.LPN = INVN.ILPN_ID AND INVN.ORG_ID = B.ORG_ID
LEFT JOIN  default_dcinventory.DCI_ILPN L ON L.ILPN_ID = INVN.ILPN_ID AND L.ORG_ID = INVN.ORG_ID
LEFT JOIN  default_dcinventory.DCI_ILPN_STATUS LS ON LS.ILPN_STATUS_ID = L.STATUS
where 1=1
AND ABS(L.STATUS) &lt; '9000'
and INVN.inventory_container_type_id ='ILPN'
and INVN.ON_HAND &gt; 0
group by INVN.ORG_ID, INVN.ilpn_id, INVN.ITEM_ID, INVN.LOCATION_ID, L.STATUS, LS.DESCRIPTION ,B.TASK_ID, B.UPDATED_TIMESTAMP
having count(*) &gt; 1
order by 1;
 " connection="MAPRD_NEW"
| rename ORG_ID AS "Org ID", ILPN AS "iLPN", ITEM_ID AS "Item ID", STATUS as "Status", DESCRIPTION AS "Description", CURRENT_LOC AS "Current Location", LAST_TASK AS "Last Task", UPDATED_TIMESTAMP AS "Updated Timestamp", ILPN_DTL_COUNT AS "iLPN Detail Count"
| table "Org ID", "iLPN", "Item ID", Status, Description, "Current Location", "Last Task", "Updated Timestamp", "iLPN Detail Count"</t>
  </si>
  <si>
    <t>2022-11-18T12:58:30-05:00</t>
  </si>
  <si>
    <t>ALL - WM Active - Component Health Check</t>
  </si>
  <si>
    <t>2022-02-14T13:50:25-05:00</t>
  </si>
  <si>
    <t>Auburn-Multiple Stops on Same Shipment for the same Customer</t>
  </si>
  <si>
    <t>| dbxquery query="SELECT O.DO_STATUS, S.TC_SHIPMENT_ID, STOP.SHIPMENT_ID, STOP.STOP_LOCATION_NAME, STOP.FACILITY_ID, COUNT(DISTINCT STOP.STOP_SEQ) AS \"STOP COUNT\"
 FROM WMSAUB.STOP
 JOIN WMSAUB.ORDERS O ON O.SHIPMENT_ID = STOP.SHIPMENT_ID AND O.D_FACILITY_ID = STOP.FACILITY_ID
 JOIN WMSAUB.SHIPMENT S ON S.SHIPMENT_ID = STOP.SHIPMENT_ID
 WHERE O.DO_STATUS &lt;= '130'
 GROUP BY O.DO_STATUS, S.TC_SHIPMENT_ID, STOP.SHIPMENT_ID, STOP.STOP_LOCATION_NAME, STOP.FACILITY_ID
 HAVING COUNT(DISTINCT STOP.STOP_SEQ) &gt; 1
 " connection="YMC_AUB_PROD"</t>
  </si>
  <si>
    <t>YMC-Auburn-Multiple Stops on Same Shipment for the same Customer</t>
  </si>
  <si>
    <t>2022-01-19T13:35:20-05:00</t>
  </si>
  <si>
    <t>Chino-Multiple Stops on Same Shipment for the same Customer</t>
  </si>
  <si>
    <t>| dbxquery query="SELECT O.DO_STATUS, S.TC_SHIPMENT_ID, STOP.SHIPMENT_ID, STOP.STOP_LOCATION_NAME, STOP.FACILITY_ID, COUNT(DISTINCT STOP.STOP_SEQ) AS \"STOP COUNT\"
 FROM WMSCHI.STOP
 JOIN WMSCHI.ORDERS O ON O.SHIPMENT_ID = STOP.SHIPMENT_ID AND O.D_FACILITY_ID = STOP.FACILITY_ID
 JOIN WMSCHI.SHIPMENT S ON S.SHIPMENT_ID = STOP.SHIPMENT_ID
 WHERE O.DO_STATUS &lt;= '130'
 GROUP BY O.DO_STATUS, S.TC_SHIPMENT_ID, STOP.SHIPMENT_ID, STOP.STOP_LOCATION_NAME, STOP.FACILITY_ID
 HAVING COUNT(DISTINCT STOP.STOP_SEQ) &gt; 1
 " connection="YMC_PROD"</t>
  </si>
  <si>
    <t>YMC-Chino-Multiple Stops on Same Shipment for the same Customer</t>
  </si>
  <si>
    <t>2022-02-07T17:58:35-05:00</t>
  </si>
  <si>
    <t>DEN - MAWM - Item Bulk Import Failure</t>
  </si>
  <si>
    <t>source="/splunk/manhattan_active/DEN/item_bulk_import/item_bulk_import_check_status.csv" host="misssplunksh01.corp.rndc-usa.com" index="ymc_dev_wms" sourcetype="csv" "Item Bulk Import API Failed"  | rename  "Item Bulk Import API Status" as Status | table Status, _time</t>
  </si>
  <si>
    <t>DEN - WM Active - Item Bulk Import Failure</t>
  </si>
  <si>
    <t>2022-11-15T17:14:40-05:00</t>
  </si>
  <si>
    <t>DEN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</si>
  <si>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'DEN'
 AND O.ORDER_TYPE = 'Standard'
 AND O.MINIMUM_STATUS &lt; '8000'
 AND O.CREATED_TIMESTAMP &lt;= NOW() - INTERVAL 15 MINUTE
 AND O.DESIGNATED_SHIPMENT_ID NOT IN (SELECT DISTINCT SHIPMENT_ID FROM default_shipment.SHP_SHIPMENT S WHERE S.ORG_ID = O.ORG_ID)" connection="MAPRD_NEW"</t>
  </si>
  <si>
    <t>2023-01-13T11:41:28-05:00</t>
  </si>
  <si>
    <t>DEN - MAWM - Users Missing User Default Configuration</t>
  </si>
  <si>
    <t>| dbxquery query="SELECT DEFAULT_ORGANIZATION, USER_ID FROM default_organization.ORG_USER_DEFAULTS WHERE USER_ID NOT IN  (SELECT USER_ID FROM default_task.TSK_USER_DEFAULTS) AND SUBSTR(USER_ID,1,3) = DEFAULT_ORGANIZATION AND DEFAULT_ORGANIZATION = 'DEN' " connection="MAPRD_NEW"</t>
  </si>
  <si>
    <t>2023-06-16T12:14:17-04:00</t>
  </si>
  <si>
    <t>DEN - MAWM - Users w/ Incorrect User Default Configuration</t>
  </si>
  <si>
    <t>| dbxquery query="SELECT SUBSTR(PROFILE_ID, 1, 3) ORG_ID, USER_ID, TASK_GROUP_DEFAULT_BEHAVIOR_ID FROM default_task.TSK_USER_DEFAULTS WHERE SUBSTR(PROFILE_ID,1,3) = 'DEN' AND ((task_group_default_behavior_id &lt;&gt; 'Select' AND task_group_default_behavior_id &lt;&gt; 'None') OR (task_group_id is null AND task_group_default_behavior_id = 'None')); " connection="MAPRD_NEW"</t>
  </si>
  <si>
    <t>2023-06-16T12:14:32-04:00</t>
  </si>
  <si>
    <t>DEN - MAWM Active -Inventory Sync Schedule API Failed</t>
  </si>
  <si>
    <t>source="/splunk/manhattan_active/DEN/inventory_sync_schedule/inventory_sync_schedule_check_status.csv" host="misssplunksh01.corp.rndc-usa.com" index="ymc_dev_wms" "Inventory sync schedule API Failed" |rename "Inventory sync schedule API Status" as Status | table Status, _time</t>
  </si>
  <si>
    <t>DEN - MAWM -Inventory Sync Schedule Failed</t>
  </si>
  <si>
    <t>2022-11-15T17:31:52-05:00</t>
  </si>
  <si>
    <t>2022-02-16T14:34:12-05:00</t>
  </si>
  <si>
    <t>DEN - WM Active -Inventory Sync Schedule API Failed</t>
  </si>
  <si>
    <t>DEN - WM Active -Inventory Sync Schedule Failed</t>
  </si>
  <si>
    <t>2022-02-16T16:34:56-05:00</t>
  </si>
  <si>
    <t>DFB - MAWM - Routed Orders Cancelled</t>
  </si>
  <si>
    <t>| dbxquery query="SELECT O.ORG_ID, O.ORIGINAL_ORDER_ID AS \"ORDER\", 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'DFB'
 AND UPPER(O.ORDER_TYPE) = 'STANDARD'
 AND O.MAXIMUM_STATUS = '9000'
 AND O.UPDATED_TIMESTAMP &gt;= NOW() - INTERVAL 1 DAY" connection="MAPRD_NEW"</t>
  </si>
  <si>
    <t>2024-12-29T09:28:55-05:00</t>
  </si>
  <si>
    <t>EDI - EMS_Data_17222 not running on ediprd05</t>
  </si>
  <si>
    <t>sourcetype="ps" host="misediprd05*" "EMS_Data_17222" | stats count(PID) as ProcessCounts | where ProcessCounts = 0</t>
  </si>
  <si>
    <t>admin</t>
  </si>
  <si>
    <t>2022-02-10T12:04:10-05:00</t>
  </si>
  <si>
    <t>?</t>
  </si>
  <si>
    <t>EDI - FTP Confirmation Count New</t>
  </si>
  <si>
    <t>index=tibco host="misediprd02.corp.rndc-usa.com" OR host="misediprd03.corp.rndc-usa.com" "/shBC/bc/backup/x12/Out/FINTECH/*" "EDI Document has been sent to the Trading Partner successfully" "&lt;ns0:statusCode&gt;226&lt;/ns0:statusCode&gt;" | stats count, list(field1) by _time | where count &gt; 0 | rename list(field1) as "File Information" | rex field="File Information" "\&lt;ns0\:transactionID\&gt;(?&lt;TranID&gt;.*)\&lt;\/ns0\:transactionID"</t>
  </si>
  <si>
    <t>FTP Transaction count</t>
  </si>
  <si>
    <t>2022-02-21T10:59:02-05:00</t>
  </si>
  <si>
    <t>Email Test</t>
  </si>
  <si>
    <t>index="_internal" | table _raw | head</t>
  </si>
  <si>
    <t>2023-06-17T09:33:58-04:00</t>
  </si>
  <si>
    <t>Email test Alert</t>
  </si>
  <si>
    <t>index="_internal" source="/splunk/var/log/splunk/metrics.log" | table _raw | head 5</t>
  </si>
  <si>
    <t>2022-05-17T14:54:16-04:00</t>
  </si>
  <si>
    <t>LAF - MAWM -Inventory Sync Schedule API Failed</t>
  </si>
  <si>
    <t>source="/splunk/manhattan_active/LAF/inventory_sync_schedule/inventory_sync_schedule_check_status.csv" host="misssplunksh01.corp.rndc-usa.com" index="ymc_dev_wms" "Inventory sync schedule API Failed" |rename "Inventory sync schedule API Status" as Status | table Status, _time</t>
  </si>
  <si>
    <t>LAF - WM Active -Inventory Sync Schedule Failed</t>
  </si>
  <si>
    <t>2022-11-16T18:27:30-05:00</t>
  </si>
  <si>
    <t>LAF - MAWM- Item Bulk Import Failure</t>
  </si>
  <si>
    <t>source="/splunk/manhattan_active/LAF/item_bulk_import/item_bulk_import_check_status.csv" host="misssplunksh01.corp.rndc-usa.com" index="ymc_dev_wms" sourcetype="csv" "Item Bulk Import API Failed"  | rename  "Item Bulk Import API Status" as Status | table Status, _time</t>
  </si>
  <si>
    <t>LAF - MAWM - Item Bulk Import Failure</t>
  </si>
  <si>
    <t>2022-11-16T18:28:28-05:00</t>
  </si>
  <si>
    <t>LAF - WM Active - Item Bulk Import Failure</t>
  </si>
  <si>
    <t>2022-02-16T16:37:48-05:00</t>
  </si>
  <si>
    <t>LAF - WM Active -Inventory Sync Schedule API Failed</t>
  </si>
  <si>
    <t>2022-02-15T00:43:18-05:00</t>
  </si>
  <si>
    <t>LM - TAM - Travel Aisle Missing from System Codes</t>
  </si>
  <si>
    <t>| dbxquery query="select distinct lh.travel_aisle \"Travel Aisle\" 
 from locn_hdr lh
 left join sys_code sc on sc.code_id = lh.travel_aisle
 where sc.code_type = '844'
 and sc.code_id is null
 order by travel_aisle" connection="TAM_WM13"</t>
  </si>
  <si>
    <t>2022-04-12T09:28:06-04:00</t>
  </si>
  <si>
    <t>MGH - MISSING WM_INVENTORY RECORD</t>
  </si>
  <si>
    <t>| dbxquery query="SELECT
 PLD.PICK_LOCN_DTL_ID,
 LH.DSP_LOCN,
 IC.ITEM_NAME,
 PLD.INVN_TYPE 
 FROM
 WMSMGH.PICK_LOCN_DTL PLD 
 LEFT JOIN
 WMSMGH.LOCN_HDR LH 
 ON LH.LOCN_ID = PLD.LOCN_ID 
 LEFT JOIN
 WMSMGH.ITEM_CBO IC 
 ON IC.ITEM_ID = PLD.ITEM_ID 
 LEFT JOIN
 WMSMGH.WM_INVENTORY WI 
 ON WI.LOCATION_ID = PLD.LOCN_ID 
 AND WI.ITEM_ID = PLD.ITEM_ID 
 AND WI.INVENTORY_TYPE = PLD.INVN_TYPE 
 WHERE
 WI.WM_INVENTORY_ID IS NULL AND PLD.LAST_WAVE_NBR NOT IN ( SELECT MAX(SHIP_WAVE_NBR) FROM WMSMGH.SHIP_WAVE_PARM ) " connection="YMC_PROD"</t>
  </si>
  <si>
    <t>2020-10-02T17:29:07-04:00</t>
  </si>
  <si>
    <t>Manhattan Active -  Component Health Check</t>
  </si>
  <si>
    <t>source="/splunk/manhattan_active/Apps/component_health_check/health_check_status.csv" host="misssplunksh01.corp.rndc-usa.com" index="ymc_dev_wms"
|where Status != "UP" AND Status != "Status"
|dedup Service_Name, Status
|rename Service_Name as "Service Name"
|table "Service Name", Status</t>
  </si>
  <si>
    <t>2021-10-20T13:13:03-04:00</t>
  </si>
  <si>
    <t>Manhattan Active - Static Route Missing Threshold Value</t>
  </si>
  <si>
    <t>| dbxquery query="SELECT SUBSTR(PROFILE_ID, 1, 3) WHSE, STATIC_ROUTE_ID, EXT_THRESHOLD THRESHOLD_VALUE FROM default_routing.RTG_STATIC_ROUTE WHERE EXT_THRESHOLD IS NULL " connection="MAPRD_NEW"</t>
  </si>
  <si>
    <t>2021-10-13T14:04:08-04:00</t>
  </si>
  <si>
    <t>Manhattan Active - Static Route UI Missing DFLT Value</t>
  </si>
  <si>
    <t>|inputlookup MANH_Active_Lookup.csv
|map maxsearches=100 search="| dbxquery query=\"
SELECT * 
FROM (
    SELECT \"'$WAREHOUSE$'\" AS WHSE, CASE WHEN COUNT(*) = '0' THEN 'MISSING DFLT STATIC ROUTE VALUE' ELSE 'OK' END AS STATUS 
    FROM (
        SELECT STATIC_ROUTE_ID, PROFILE_ID FROM default_routing.RTG_STATIC_ROUTE 
        WHERE STATIC_ROUTE_ID = 'DFLT' AND PROFILE_ID = \"'$PROFILE_ID$'\"
        ) A
    ) B
WHERE STATUS &lt;&gt; 'OK'
\" connection=$CONNECTION$ shortnames=true"
|rename WHSE as Warehouse, STATUS as Status
|table Warehouse, Status</t>
  </si>
  <si>
    <t>Static Route UI missing default value</t>
  </si>
  <si>
    <t>2021-10-07T11:02:36-04:00</t>
  </si>
  <si>
    <t>Manhattan Active NEW - Locations with item assignments but 0 inventory</t>
  </si>
  <si>
    <t>| dbxquery query="/*Temporary Reserve Locations WITH assignments but no inventory*/SELECT ASSIGN.LOCATION_ID, ASSIGN.ITEM_ID, ASSIGN.ASSIGNMENT_ID FROM default_dcinventory.DCI_LOCATION_ITEM_ASSIGNMENT ASSIGN LEFT JOIN default_dcinventory.DCI_LOCATION LOC ON LOC.LOCATION_ID = ASSIGN.LOCATION_ID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AND LOC.STORAGE_UOM_ID = 'LPN' AND LOC.SKU_DEDICATION_TYPE_ID = 'TEMPORARY' AND LOC.LOCATION_TYPE_ID = 'STORAGE' ; " connection="MAPRD_NEW"</t>
  </si>
  <si>
    <t>2021-10-13T19:09:27-04:00</t>
  </si>
  <si>
    <t>Manhattan Active: ABQ - Endpoint Queue Failures</t>
  </si>
  <si>
    <t>2022-02-20T16:18:12-05:00</t>
  </si>
  <si>
    <t>Manhattan Active: ABQ - Location Rebuild Failure</t>
  </si>
  <si>
    <t>2022-02-20T16:19:23-05:00</t>
  </si>
  <si>
    <t>Manhattan Active: DEN - Endpoint Queue Failures</t>
  </si>
  <si>
    <t>source="/splunk/manhattan_active/DEN/failure_count/message_failure_count_list.csv"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</si>
  <si>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2022-02-06T12:52:00-05:00</t>
  </si>
  <si>
    <t>Manhattan Active: DEN - Location Rebuild Failure</t>
  </si>
  <si>
    <t>source="/splunk/manhattan_active/DEN/location_rebuild/location_rebuild_check_status.csv" host="misssplunksh01.corp.rndc-usa.com" index="ymc_dev_wms" "Location Rebuild API Failed" | rename  "Location Rebuild API Status" as Status | table Status, _time</t>
  </si>
  <si>
    <t>2022-02-05T11:02:22-05:00</t>
  </si>
  <si>
    <t>Manhattan Active: LAF - Endpoint Queue Failures</t>
  </si>
  <si>
    <t>source="/splunk/manhattan_active/LAF/failure_count/message_failure_count_list.csv"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</si>
  <si>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2021-10-15T20:32:40-04:00</t>
  </si>
  <si>
    <t>Manhattan Active: LAF - Location Rebuild Failure</t>
  </si>
  <si>
    <t>source="/splunk/manhattan_active/LAF/location_rebuild/location_rebuild_check_status.csv" host="misssplunksh01.corp.rndc-usa.com" index="ymc_dev_wms" "Location Rebuild API Failed" | rename  "Location Rebuild API Status" as Status | table Status, _time</t>
  </si>
  <si>
    <t>2021-10-19T15:42:54-04:00</t>
  </si>
  <si>
    <t>Manhattan Active: NEW -  Component Health Check</t>
  </si>
  <si>
    <t>2021-10-12T19:18:13-04:00</t>
  </si>
  <si>
    <t>Manhattan Active: NEW - Endpoint Queue Failures</t>
  </si>
  <si>
    <t>source="/splunk/manhattan_active/Apps/failure_count/message_failure_count_list.csv" host="misssplunksh01.corp.rndc-usa.com" index="ymc_dev_wms" sourcetype="msg_csv"  NOT AU06CancelCartonDestinationEndpoint  NOT EndpointId  NOT AU06CancelCartonEndpoint  NOT EX59_RouteStopDownload
| rename Endpoint_Name as Name,  Error_Count as Count
| where Count &gt; 100
| table  Name Count</t>
  </si>
  <si>
    <t>2021-10-15T20:31:05-04:00</t>
  </si>
  <si>
    <t>Manhattan Active: NEW - Health Check</t>
  </si>
  <si>
    <t>source="/splunk/manhattan_active/Apps/health_check/health_check_status.csv" host="misssplunksh01.corp.rndc-usa.com" index="ymc_dev_wms"
| where DiscoveryClient != "DiscoveryClient"
| where DiscoveryClient != "UP" or Eureka != "UP" or DiskSpace != "UP" or Db != "UP" or Elasticsearch != "UP"
|table DiscoveryClient,Eureka,DiskSpace,Db,Elasticsearch
| head 1</t>
  </si>
  <si>
    <t>2021-10-06T17:35:21-04:00</t>
  </si>
  <si>
    <t>Manhattan Active: NEW - Location Rebuild Failure</t>
  </si>
  <si>
    <t>source="/splunk/manhattan_active/Apps/location_rebuild/location_rebuild_check_status.csv" host="misssplunksh01.corp.rndc-usa.com" index="ymc_dev_wms" "Location Rebuild API Failed" | rename  "Location Rebuild API Status" as Status | table Status, _time</t>
  </si>
  <si>
    <t>2021-10-19T16:01:44-04:00</t>
  </si>
  <si>
    <t>Morgan hill-Multiple Stops on Same Shipment for the same Customer</t>
  </si>
  <si>
    <t>| dbxquery query="SELECT O.DO_STATUS, S.TC_SHIPMENT_ID, STOP.SHIPMENT_ID, STOP.STOP_LOCATION_NAME, STOP.FACILITY_ID, COUNT(DISTINCT STOP.STOP_SEQ) AS \"STOP COUNT\"
 FROM WMSMGH.STOP
 JOIN WMSMGH.ORDERS O ON O.SHIPMENT_ID = STOP.SHIPMENT_ID AND O.D_FACILITY_ID = STOP.FACILITY_ID
 JOIN WMSMGH.SHIPMENT S ON S.SHIPMENT_ID = STOP.SHIPMENT_ID
 WHERE O.DO_STATUS &lt;= '130'
 GROUP BY O.DO_STATUS, S.TC_SHIPMENT_ID, STOP.SHIPMENT_ID, STOP.STOP_LOCATION_NAME, STOP.FACILITY_ID
 HAVING COUNT(DISTINCT STOP.STOP_SEQ) &gt; 1
 " connection="YMC_PROD"</t>
  </si>
  <si>
    <t>YMC-Morgan hill-Multiple Stops on Same Shipment for the same Customer</t>
  </si>
  <si>
    <t>2021-08-19T14:21:26-04:00</t>
  </si>
  <si>
    <t>NEW - MAWM - Item Bulk Import Failure</t>
  </si>
  <si>
    <t>source="/splunk/manhattan_active/Apps/item_bulk_import/item_bulk_import_check_status.csv" host="misssplunksh01.corp.rndc-usa.com" index="ymc_dev_wms" sourcetype="csv" "Item Bulk Import API Failed"  | rename  "Item Bulk Import API Status" as Status | table Status, _time</t>
  </si>
  <si>
    <t>NEW - WM Active - Item Bulk Import Failure</t>
  </si>
  <si>
    <t>2022-11-16T18:45:44-05:00</t>
  </si>
  <si>
    <t>NEW - MAWM -Inventory Sync Schedule API Failed</t>
  </si>
  <si>
    <t>source="/splunk/manhattan_active/Apps/inventory_sync_schedule/inventory_sync_schedule_check_status.csv" host="misssplunksh01.corp.rndc-usa.com" index="ymc_dev_wms" "Inventory sync schedule API Failed" |rename "Inventory sync schedule API Status" as Status | table Status, _time</t>
  </si>
  <si>
    <t>NEW - WM Active -Inventory Sync Schedule Failed</t>
  </si>
  <si>
    <t>2022-11-16T18:57:07-05:00</t>
  </si>
  <si>
    <t>2022-02-15T00:52:10-05:00</t>
  </si>
  <si>
    <t>NEW - WM Active -Inventory Sync Schedule API Failed</t>
  </si>
  <si>
    <t>2022-02-15T01:05:51-05:00</t>
  </si>
  <si>
    <t>SORF - ABQ Depletion Inventory Report</t>
  </si>
  <si>
    <t>| loadjob savedsearch="admin:search:SORF - ABQ Depletion inventory" | search Percentage_Sold &lt; 20</t>
  </si>
  <si>
    <t>2022-02-18T17:16:44-05:00</t>
  </si>
  <si>
    <t>SORF - ABQ Depletion Inventory Report Weekly</t>
  </si>
  <si>
    <t>2022-02-18T17:17:28-05:00</t>
  </si>
  <si>
    <t>SORF - ABQ Depletion inventory</t>
  </si>
  <si>
    <t>| dbxquery query="select pi.description, po.TC_PURCHASE_ORDERS_ID, pi.purchase_orders_id, pi.sku, pi.received_qty , pi.std_pack_qty, pi.orig_order_qty, pi.created_dttm, pi.last_updated_dttm 
from purchase_orders_line_item pi inner join  purchase_orders po ON pi.PURCHASE_ORDERS_ID = po.PURCHASE_ORDERS_ID  and  pi.ref_field_3='SORF' and pi.created_dttm  &gt; sysdate - 60" connection=ABQ_WM13 shortnames=true maxrows=500000 | rename SKU AS PRODUCT_ID TC_PURCHASE_ORDERS_ID  AS PO_NUMBER 
  | fillnull value=0 RECEIVED_QTY
   | eval Received_QTY = RECEIVED_QTY / STD_PACK_QTY
   | eval Original_QTY = ORIG_ORDER_QTY / STD_PACK_QTY
   | fields - ORIG_ORDER_QTY,  STD_PACK_QTY, PURCHASE_ORDERS_ID, RECEIVED_QTY
     | join PRODUCT_ID , PO_NUMBER  max=500000 [| dbxquery query="select  pi.sku ,   pi.last_updated_dttm,po.TC_PURCHASE_ORDERS_ID AS PO
from purchase_orders_line_item pi inner join  purchase_orders po ON pi.PURCHASE_ORDERS_ID = po.PURCHASE_ORDERS_ID  and  pi.ref_field_3='SORF' and pi.created_dttm  &gt; sysdate - 60 " connection=ABQ_WM13 shortnames=true maxrows=500000 | rename SKU AS PRODUCT_ID 
   | eval RECEIVED_QTY = strftime(strptime(LAST_UPDATED_DTTM,"%Y-%m-%d %H:%M:%S"),"%d-%b-%y")
      |eval today=strftime(now(), "%d-%b-%y")
      | stats last(RECEIVED_QTY) AS "Received_Date" values(today) AS Today by  PRODUCT_ID, PO
                   | map maxsearches=1000 search="| dbxquery query=\"select sum(sales.CASES_SOLD) AS CASES_SOLD,product.PRODUCT_ID, product.description,d.SORFID,w2.USER_NAME AS Approver ,w.USER_NAME,d.sorf_cases,p.PO_NUMBER  from DW_MAIN.sales sales  
INNER join DW_MAIN.product product on sales.prodid=product.prodid
INNER join  sorfdetail d on product.PRODUCT_ID=d.product_id and sales.house_id=d.house_id 
INNER JOIN sorfmain m ON m.sorfid=d.sorfid
INNER JOIN webapps_owner.user_d w ON m.requested_by=w.user_id 
INNER JOIN webapps_owner.user_d w2 ON  m.approved_by = w2.user_id
INNER JOIN sorfpurch p ON m.sorfid=p.sorfid 
INNER JOIN DW_MAIN.house house ON house.house_id=d.house_id 
where house.house_desc='ABQ'  and product.PRODUCT_ID=$PRODUCT_ID$ and p.PO_NUMBER=$PO$ and date_id between '$Received_Date$' and '$Today$' and m.requested_date &gt; add_months(sysdate-60,-1) group by product.description ,product.PRODUCT_ID,d.SORFID,w.USER_NAME,w2.USER_NAME,d.sorf_cases,p.PO_NUMBER \" connection=DW_PROD shortnames=true "] | eval CASES_SOLD=round(CASES_SOLD,0) 
 | eval CREATED_DTTM=strftime(strptime(CREATED_DTTM, "%Y-%m-%d %H:%M:%S"), "%m-%d-%Y")
 | eval LAST_UPDATED_DTTM=strftime(strptime(LAST_UPDATED_DTTM, "%Y-%m-%d %H:%M:%S"), "%m-%d-%Y")
| stats  values(APPROVER) AS Aprover, values(DESCRIPTION) AS Description , values(CREATED_DTTM) AS "Created date", values(LAST_UPDATED_DTTM) AS "Received Date", sum(SORF_CASES) AS "Cases Ordered", sum(Received_QTY) AS Cases_Received, sum(CASES_SOLD) AS Cases_Sold by PRODUCT_ID,USER_NAME,SORFID,PO_NUMBER | sort  "Received Date"  | rename PRODUCT_ID AS SKU, USER_NAME AS Request_Username
| eval Percentage_Sold=round(Cases_Sold/Cases_Received*100,2)</t>
  </si>
  <si>
    <t>2022-02-18T17:17:44-05:00</t>
  </si>
  <si>
    <t>SPLK - Metadata - POC</t>
  </si>
  <si>
    <t>| inputlookup WMS_ACTIVE_SCHEMAS.csv | table USERNAME</t>
  </si>
  <si>
    <t>2023-05-03T11:31:02-04:00</t>
  </si>
  <si>
    <t>STAGE - ALL - MAWM - In Packing oLPNS &gt; 5 Minutes</t>
  </si>
  <si>
    <t>| dbxquery query="SELECT ORG_ID, OLPN_ID, STATUS, ORDER_ID, ORDER_TYPE
, ORDER_PLANNING_RUN_ID, SHIPMENT_ID, ORDER_PIPELINE_ID
, UPDATED_BY , UPDATED_TIMESTAMP
FROM default_pickpack.PPK_OLPN
WHERE 1=1
AND STATUS = '7100'
AND ORDER_TYPE = 'Standard' AND ORG_ID NOT IN ('NEWQA','NEWSDN') 
AND UPDATED_TIMESTAMP &lt;= NOW() - INTERVAL 5 MINUTE" connection="MASTG_NEW"</t>
  </si>
  <si>
    <t>2024-02-19T10:43:31-05:00</t>
  </si>
  <si>
    <t>STAGE - ALL - MAWM - LPN Storage Locs with Inventory Not Tied to an LPN</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</si>
  <si>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connection="MASTG_NEW"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</si>
  <si>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2024-02-19T10:44:16-05:00</t>
  </si>
  <si>
    <t>STAGE - ALL - MAWM - Loaded Shipments w/ no Ship Confirm &gt; 30 Minutes</t>
  </si>
  <si>
    <t>| dbxquery query="SELECT S.ORG_ID, SHIP_STATUS.SHIPMENT_ID , S.UPDATED_TIMESTAMP AS SHIPMENT_UPDATED, CONCAT(SHIP_STATUS.MIN_STATUS,'-',OLPN_STAT.DESCRIPTION) MIN_OLPN_STATUS, MAX_TIME AS OLPN_UPDATED
FROM (
SELECT OLPN.ORG_ID, OLPN.SHIPMENT_ID, min(OLPN.STATUS) MIN_STATUS, MAX(UPDATED_TIMESTAMP) MAX_TIME
FROM (
SELECT OLPN.ORG_ID, OLPN.OLPN_ID, OLPN.LPN_TYPE, OLPN.STATUS, CONCAT(OLPN.STATUS,'-',OLPN_STAT.DESCRIPTION) OLPN_STATUS
,OLPN.ORDER_ID, OLPN.ORDER_TYPE, ORDER_PLANNING_RUN_ID, OLPN.UPDATED_BY, OLPN.PICK_LOCATION_ID, OLPN.SHIPMENT_ID, OLPN.UPDATED_TIMESTAMP
FROM default_pickpack.PPK_OLPN OLPN
LEFT JOIN default_pickpack.PPK_OLPN_STATUS OLPN_STAT ON OLPN_STAT.OLPN_STATUS_ID = OLPN.STATUS 
 ) OLPN
GROUP BY OLPN.SHIPMENT_ID, OLPN.ORG_ID
ORDER BY MIN_STATUS asc
) SHIP_STATUS
LEFT JOIN default_shipment.SHP_SHIPMENT S ON S.SHIPMENT_ID = SHIP_STATUS.SHIPMENT_ID AND S.ORG_ID = SHIP_STATUS.ORG_ID
LEFT JOIN default_pickpack.PPK_OLPN_STATUS OLPN_STAT ON OLPN_STAT.OLPN_STATUS_ID = SHIP_STATUS.MIN_STATUS
WHERE 1=1
AND SHIP_STATUS.MIN_STATUS IN ('7900','7800') AND SHIP_STATUS.ORG_ID NOT IN ('NEWQA','NEWSDN') 
AND SHIP_STATUS.MAX_TIME &lt;= NOW() - INTERVAL 30 MINUTE
AND SHIP_STATUS.SHIPMENT_ID NOT IN (SELECT SHIPMENT_ID FROM default_shipconfirm.SHC_SHIP_CONFIRM_BATCH WHERE SHIPMENT_ID IS NOT NULL)" connection="MASTG_NEW"</t>
  </si>
  <si>
    <t>2023-09-13T10:36:09-04:00</t>
  </si>
  <si>
    <t>STAGE - ALL - MAWM - Loaded Shipments w/ no Ship Confirm &gt; 6 hours</t>
  </si>
  <si>
    <t>2024-02-19T10:44:27-05:00</t>
  </si>
  <si>
    <t>STAGE - ALL - MAWM - PIX Specification Found &gt; 1 Hour</t>
  </si>
  <si>
    <t>| dbxquery query="SELECT P.ORG_ID, P.PIX_SPECIFICATION_ID, PS.DESCRIPTION, P.PIX_EVENT_PAYLOAD_ID, P.UPDATED_TIMESTAMP, P.PK FROM default_pix.PIX_PIX_ENTRY P LEFT JOIN default_pix.PIX_PIX_STATUS PS ON PS.STATUS_ID = P.STATUS_ID WHERE P.STATUS_ID NOT IN ('9000', '8000') AND P.ORG_ID NOT IN ('NEWQA','NEWSDN','NEWDEV') AND P.UPDATED_TIMESTAMP &lt; NOW() - INTERVAL 1 HOUR AND P.UPDATED_TIMESTAMP &gt; NOW() - INTERVAL 1*24*365 HOUR ORDER BY  P.UPDATED_TIMESTAMP DESC " connection="MASTG_NEW"</t>
  </si>
  <si>
    <t>2024-02-19T10:40:20-05:00</t>
  </si>
  <si>
    <t>STAGE - ALL - MAWM - Pallet LPNs w/ Inventory Records</t>
  </si>
  <si>
    <t>|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INV.ORG_ID NOT IN ('NEWQA','NEWSDN') 
and L.PARENT_LPN_ID IN (SELECT ILPN_ID FROM default_dcinventory.DCI_ILPN where status not in ('9000','11000')
);" connection="MASTG_NEW"</t>
  </si>
  <si>
    <t>2024-02-19T10:40:32-05:00</t>
  </si>
  <si>
    <t>STAGE - ALL - MAWM - Pick Locations With Negative TBF</t>
  </si>
  <si>
    <t>| dbxquery query="SELECT org_id, location_id, item_id, on_hand, to_be_filled, allocated, updated_timestamp, INVENTORY_ID FROM default_dcinventory.DCI_INVENTORY WHERE to_be_filled &lt; 0 AND ORG_ID NOT IN ('NEWQA','NEWSDN') ORDER BY  org_id, item_id; " connection="MASTG_NEW"</t>
  </si>
  <si>
    <t>2023-08-07T08:46:47-04:00</t>
  </si>
  <si>
    <t>STAGE - ALL - MAWM - Pick Locations With TBF Quantity and No Open Task Details</t>
  </si>
  <si>
    <t>| dbxquery query="select org_id, location_id, storage_uom_id, item_id, on_hand, to_be_filled, allocated, case when nolocqty is null then 0 else nolocqty end as nolocqty, ilpn_id from (
select org_id, location_id, storage_uom_id, item_id, on_hand, to_be_filled, allocated, case when nolocqty is null then 0 else nolocqty end as nolocqty, ilpn_id from (
select X.updated_timestamp, X.org_id,X.location_id,X.storage_uom_id,X.item_id,X.on_hand,X.to_be_filled,X.allocated, Y.NOLOCQTY, Y.PARENT_LPN_ID, Y.ILPN_ID
From
(
select dci.updated_timestamp, dci.org_id as org_id,dci.location_id as location_id,dl.storage_uom_id as storage_uom_id,dci.item_id as item_id,dci.on_hand as on_hand,dci.to_be_filled as to_be_filled,dci.allocated as allocated
from default_dcinventory.DCI_INVENTORY dci
join default_dcinventory.DCI_LOCATION dl on dci.org_id = substr(dl.profile_id,1,3) and dci.location_id = dl.location_id
where dl.storage_uom_id in ('UNIT','PACK') AND dci.org_id NOT IN ('NEWQA','NEWSDN')
and dci.to_be_filled &gt; 0
and dci.location_id not in 
        (select td.target_location_id
        from default_task.TSK_TASK_DETAIL td
        join default_dcinventory.DCI_LOCATION dl on td.org_id = substr(dl.profile_id,1,3) and td.target_location_id = dl.location_id
        where td.type_id in  ('PUTAWAY','REPLENISHMENT', 'SLOTTING')
        and dl.storage_uom_id in ('UNIT','PACK')
        and td.status &lt; 8000)
) as X
left join 
(select DCI.ORG_ID as ORG_ID, DCI.ITEM_ID as ITEM_ID, DCI.LOCATION_ID as LCOATION_ID, sum(DCI.ON_HAND) as NOLOCQTY , LPN.parent_lpn_id, DCI.ILPN_ID
from default_dcinventory.DCI_INVENTORY DCI join default_dcinventory.DCI_ILPN LPN on DCI.ilpn_id = LPN.ilpn_id and DCI.org_id = LPN.ORG_ID
Where DCI.LOCATION_ID is null and DCI.INVENTORY_CONTAINER_TYPE_ID &lt;&gt; 'OLPN' and LPN.purchase_order_id is null AND DCI.org_id NOT IN ('NEWQA','NEWSDN')
GROUP BY DCI.ORG_ID, DCI.ITEM_ID, DCI.LOCATION_ID, LPN.parent_lpn_id, DCI.ILPN_ID
HAVING sum(DCI.ON_HAND) &gt; 0) as Y on X.ORG_ID = Y.ORG_ID and X.ITEM_ID = Y.ITEM_ID)a)b
where to_be_filled &lt;&gt; nolocqty
order by org_id, ilpn_id;"  connection="MASTG_NEW"</t>
  </si>
  <si>
    <t>2024-02-19T10:40:02-05:00</t>
  </si>
  <si>
    <t>STAGE - ALL - MAWM - Putaway Task is Open but iLPN is Putaway</t>
  </si>
  <si>
    <t>| dbxquery query="SELECT TD.ORG_ID, TD.TASK_ID, CONCAT(TD.STATUS,'-',TDS.DESCRIPTION) TD_STAT
 , T.TRANSACTION_TYPE_ID
 , TD.SOURCE_CONTAINER_ID ILPN
 , TD.TARGET_CONTAINER_ID
 , TD.TARGET_CONTAINER_TYPE_ID
 , TD.TARGET_LOCATION_ID
 , ILPN.CURRENT_LOCATION_ID
 , UOM_TYPE_ID
 , TD.UPDATED_BY
 , TD.UPDATED_TIMESTAMP
 ,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1=1
 AND T.TRANSACTION_TYPE_ID = 'Putaway'
 AND TD.STATUS &lt; '8000' AND TD.ORG_ID NOT IN ('NEWQA','NEWSDN') 
 AND ILPN.CURRENT_LOCATION_ID = TD.TARGET_LOCATION_ID
 ;
 " connection="MASTG_NEW"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</si>
  <si>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STAGE - ALL - MAWM - Putaway Task is Open but iLPN is Putaway
***MSP TO CLEAN UP***
Note: Manhattan case 795138 is opened for this alert.
Steps to clear:
1)	Cancel the task from the Tasks UI.</t>
  </si>
  <si>
    <t>2024-02-19T10:39:21-05:00</t>
  </si>
  <si>
    <t>STAGE - ALL - MAWM - Task Completed or Cancelled w/ Open Task Details</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</si>
  <si>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T2.ORG_ID NOT IN ('NEWQA','NEWSDN') 
AND T2.UPDATED_TIMESTAMP &lt; NOW() - INTERVAL 20 MINUTE
ORDER BY 1;
" connection="MASTG_NEW"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</si>
  <si>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2024-02-19T10:36:22-05:00</t>
  </si>
  <si>
    <t>STAGE - ALL - MAWM - Task Open w/ Completed or Cancelled Task Details</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</si>
  <si>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AND T2.ORG_ID NOT IN ('NEWQA','NEWSDN')  ORDER BY  1; " connection="MASTG_NEW"</t>
  </si>
  <si>
    <t>Update the task to completed (8000) or cancelled (9000) using the below API. 
Post: {{app_host}}/task/api/task/task/save
{
"TaskId":"CCNTDCI000000366",
"Status":"9000"
}</t>
  </si>
  <si>
    <t>2024-02-19T10:35:48-05:00</t>
  </si>
  <si>
    <t>STAGE - ALL - MAWM - Task â€˜In Progressâ€™ w/ Completed or Cancelled Task Details</t>
  </si>
  <si>
    <t>| dbxquery query="SELECT T2.ORG_ID,T2.TASK_ID, T2.HDR_STAT TASK_HDR_STATUS, T2.TRANSACTION_ID, CONCAT(T2.MIN_TASK_DTL_STAT,'-',TDS.DESCRIPTION) MIN_TASK_DETAIL_STATUS,  DTL_UPDATED_TIMESTAMP
FROM (
        SELECT ORG_ID, TASK_ID, HDR_STAT, TRANSACTION_ID, MIN(TASK_DETAIL_STATUS_ID) MIN_TASK_DTL_STAT, MAX(DTL_UPDATED_TIMESTAMP) DTL_UPDATED_TIMESTAMP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HDR_UPDATED_TIMESTAMP
                ,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HDR_STAT IN ('7000-In Progress')
        GROUP BY TASK_ID, ORG_ID, TRANSACTION_ID
    ) T2
LEFT JOIN default_task.TSK_TASK_DETAIL_STATUS TDS ON TDS.TASK_DETAIL_STATUS_ID = T2.MIN_TASK_DTL_STAT
WHERE MIN_TASK_DTL_STAT &gt;= '8000' AND T2.ORG_ID NOT IN ('NEWQA','NEWSDN') 
AND DTL_UPDATED_TIMESTAMP &lt; NOW() - INTERVAL 6 HOUR;" connection="MASTG_NEW"</t>
  </si>
  <si>
    <t>2024-02-19T10:35:23-05:00</t>
  </si>
  <si>
    <t>STAGE - ALL - MAWM - Unprocessed or Failed Ship Confirms Last 24 Hours</t>
  </si>
  <si>
    <t>| dbxquery query="SELECT  SCB.ORG_ID, 'SHIP_CONFIRM_BATCH' AS  SHIP_CONFIRM_TYPE ,SCB.SHIP_CONFIRM_BATCH_ID, ' ' AS \"ORDER\", concat(SCBS.STATUS_ID,'-',SCBS.SHIP_CONFIRM_BATCH_STATUS_DESC) STATUS
 ,SCB.CREATED_TIMESTAMP, SCB.UPDATED_TIMESTAMP
 FROM default_shipconfirm.SHC_SHIP_CONFIRM_BATCH SCB
 LEFT JOIN default_shipconfirm.SHC_SHIP_CONFIRM_BATCH_STATUS SCBS ON SCBS.STATUS_ID = SCB.STATUS_ID
 WHERE SCB.STATUS_ID  &lt;&gt;  '3000' AND SCB.ORG_ID NOT IN ('NEWQA','NEWSDN')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,SCBE.CREATED_TIMESTAMP, SCBE.UPDATED_TIMESTAMP
 FROM default_shipconfirm. SHC_SHIP_CONFIRM_ENTRY SCBE
 LEFT JOIN default_shipconfirm.SHC_SHIP_CONFIRM_BATCH_STATUS SCBS ON SCBS.STATUS_ID = SCBE.STATUS_ID
 WHERE SCBE.STATUS_ID not in ('3000','2000') AND SCBE.ORG_ID NOT IN ('NEWQA','NEWSDN') 
 AND SCBE.ORDER_ID  NOT IN (SELECT ORIGINAL_ORDER_ID FROM default_dcorder.DCO_ORIGINAL_ORDER WHERE MINIMUM_STATUS = '9000') 
 AND SCBE.ORDER_ID NOT IN (SELECT ORDER_ID FROM default_shipconfirm.SHC_SHIP_CONFIRM_ENTRY WHERE STATUS_ID IN ('2000','3000'))
 AND SCBE.ORDER_ID NOT LIKE '%PICK%LIST%'
 AND SCBE.ORDER_ID NOT IN (SELECT ORDER_ID FROM default_pickpack.PPK_OLPN OLPN WHERE OLPN.ORG_ID = SCBE.ORG_ID AND OLPN.STATUS &lt; 7900)
 AND SCBE.CREATED_TIMESTAMP &gt; NOW() - INTERVAL 24 HOUR
 AND SCBE.UPDATED_TIMESTAMP &lt; NOW() - INTERVAL 20 MINUTE
 " connection="MASTG_NEW"</t>
  </si>
  <si>
    <t>2024-02-19T10:34:40-05:00</t>
  </si>
  <si>
    <t>STAGE - ALL - MAWM - iLPNs With Negative Allocated Quantity</t>
  </si>
  <si>
    <t>| dbxquery query="SELECT dci.org_id, dci.ilpn_id, ls.description, dci.item_id, dci.allocated, dci.on_hand FROM default_dcinventory.DCI_INVENTORY dci JOIN default_dcinventory.DCI_ILPN l ON dci.ilpn_id = l.ilpn_id JOIN default_dcinventory.DCI_ILPN_STATUS ls ON l.status = ls.ilpn_status_id WHERE ls.description IN ('CANCELLED','CONSUMED','NOT ALLOCATED') AND dci.allocated &lt; 0 AND dci.ORG_ID NOT IN ('NEWQA','NEWSDN') ORDER BY  org_id;" connection="MASTG_NEW"</t>
  </si>
  <si>
    <t>2024-02-19T10:32:20-05:00</t>
  </si>
  <si>
    <t>STAGE - ALL - MAWM - oLPNs w/ Multiple Details of the Same Item</t>
  </si>
  <si>
    <t>| dbxquery query="SELECT 
 ORG_ID, 
 OLPN_ID, 
 STATUS, 
 ORDER_PLANNING_RUN_ID, 
 ITEM_ID, 
 COUNT(DISTINCT OLPN_DETAIL_ID) LPN_DTL_COUNT 
 FROM 
 (
 SELECT 
 OLPN.ORG_ID, 
 OLPN.PICK_LOCATION_ID, 
 LOC.STORAGE_UOM_ID, 
 LOC.TASK_MOVEMENT_ZONE_ID, 
 LOC.PICK_ALLOCATION_ZONE_ID, 
 OLPN.LPN_TYPE, 
 OLPN.OLPN_ID, 
 OLPN.TOTAL_LPN_QTY, 
 OLPN.OLPN_CREATION_CODE_ID, 
 CONCAT(
 OLPN.STATUS, '-', STAT.DESCRIPTION
 ) STATUS, 
 OLPN.ORDER_PLANNING_RUN_ID, 
 OLPN.ORDER_TYPE, 
 SHIPMENT_ID, 
 STOP_ID, 
 OD.PICKED_QUANTITY, 
 OD.INITIAL_QUANTITY, 
 OD.ORIGINAL_ORDER_LINE_ID, 
 OD.ITEM_ID, 
 OD.OLPN_DETAIL_ID 
 FROM 
 default_pickpack.PPK_OLPN OLPN 
 LEFT JOIN default_pickpack.PPK_OLPN_STATUS STAT ON STAT.OLPN_STATUS_ID = OLPN.STATUS 
 LEFT JOIN default_dcinventory.DCI_LOCATION LOC ON LOC.LOCATION_ID = PICK_LOCATION_ID 
 AND OLPN.ORG_ID = SUBSTR(LOC.PROFILE_ID, 1, 3) 
 LEFT JOIN default_pickpack.PPK_OLPN_DETAIL OD ON OD.OLPN_PK = OLPN.PK 
 AND OD.ORG_ID = OLPN.ORG_ID AND OD.ORG_ID NOT IN ('NEWQA','NEWSDN') 
 AND OD.STATUS &lt;&gt; '9000'
 WHERE 
 1 = 1 
 AND OLPN.CREATED_TIMESTAMP &gt;= NOW() - INTERVAL 6 HOUR 
 AND OLPN.ORDER_PLANNING_RUN_ID IN (
 SELECT 
 ORDER_PLANNING_RUN_ID 
 FROM 
 default_dcorder.DCO_ORDER_PLAN_RUN_STRATEGY OPS 
 WHERE 
 UPPER(DESCRIPTION) LIKE 'STANDARD%' 
 AND OPS.ORG_ID = OLPN.ORG_ID
 )
 ) A 
 GROUP BY 
 ORG_ID, 
 OLPN_ID, 
 STATUS, 
 ORDER_PLANNING_RUN_ID, 
 ITEM_ID 
 HAVING 
 COUNT(DISTINCT OLPN_DETAIL_ID) &gt; 1" connection="MASTG_NEW"</t>
  </si>
  <si>
    <t>2024-02-19T10:33:28-05:00</t>
  </si>
  <si>
    <t>STAGE - All - MAWM - Multiple Order Lines Per Original Order Line</t>
  </si>
  <si>
    <t>| dbxquery query="select 
 distinct (org_id), 
 order_id, 
 case when order_planning_run_id is not null then order_planning_run_id else shorted_order_planning_run_id end as \"wave_nbr\", 
 order_type, 
 original_order_line_id, 
 item_id, 
 count(order_line_id) 
 from 
 (
 select 
 o.org_id, 
 o.order_id, 
 o.order_type, 
 oli.original_order_line_id, 
 oli.order_line_id, 
 oli.item_id, 
 oli.order_planning_run_id, 
 oli.shorted_order_planning_run_id, 
 oli.status, 
 oli.shortage_line, 
 oli.ext_original_order_line_quantity, 
 oli.ext_allocation_strategy, 
 oli.packed_quantity, 
 o.updated_timestamp 
 from 
 default_dcorder.DCO_ORDER_LINE oli 
 join default_dcorder.DCO_ORDER o on oli.original_order_id = o.order_id 
 and o.org_id = oli.org_id AND o.ORG_ID NOT IN ('NEWQA','NEWSDN') 
 where 
 oli.pipeline_status &gt; 1000 
 and oli.updated_timestamp &gt;= now() - INTERVAL 12 HOUR
 ) a 
 group by 
 org_id, 
 order_id, 
 wave_nbr, 
 order_type, 
 original_order_line_id, 
 item_id 
 having 
 count(order_line_id) &gt; 1 
 order by 
 org_id, 
 order_id, 
 original_order_line_id;
 " connection="MASTG_NEW"</t>
  </si>
  <si>
    <t>2024-02-19T10:30:14-05:00</t>
  </si>
  <si>
    <t>ServiceNow Testing Alert</t>
  </si>
  <si>
    <t>| inputlookup WMS_ACTIVE_SCHEMAS.csv | table USERNAME, instance</t>
  </si>
  <si>
    <t>2023-05-17T12:07:10-04:00</t>
  </si>
  <si>
    <t>Splunk - Daily License Usage</t>
  </si>
  <si>
    <t>| rest splunk_server=local /services/licenser/pools | rename title AS Pool | search [rest splunk_server=local /services/licenser/groups | search is_active=1 | eval stack_id=stack_ids | fields stack_id] | join type=outer stack_id [rest splunk_server=local /services/licenser/stacks | eval stack_id=title | eval stack_quota=quota | fields stack_id stack_quota] | stats sum(used_bytes) as used max(stack_quota) as total | eval usedGB=round(used/1024/1024/1024,3) | eval totalGB=round(total/1024/1024/1024,3)
| rename totalGB as Total, usedGB as Used
| table  Used Total</t>
  </si>
  <si>
    <t>Daily License Usage</t>
  </si>
  <si>
    <t>2021-07-27T16:36:27-04:00</t>
  </si>
  <si>
    <t>Splunk - License Used &gt; 95%</t>
  </si>
  <si>
    <t>| rest splunk_server=local /services/licenser/pools | rename title AS Pool | search [rest splunk_server=local /services/licenser/groups | search is_active=1 | eval stack_id=stack_ids | fields stack_id] | eval quota=if(isnull(effective_quota),quota,effective_quota) | eval Used=round(used_bytes/quota*100,2) | fields Pool Used | where Used&gt;95</t>
  </si>
  <si>
    <t>2021-07-27T16:57:29-04:00</t>
  </si>
  <si>
    <t>Splunk Admin - Duplicate Will Call Emails</t>
  </si>
  <si>
    <t>sourcetype=willcall  | stats  count by Invoice, schema | where  count&gt;1</t>
  </si>
  <si>
    <t>2021-08-24T11:00:09-04:00</t>
  </si>
  <si>
    <t>Splunk License</t>
  </si>
  <si>
    <t>| rest splunk_server=local /services/licenser/pools | rename title AS Pool | search [rest splunk_server=local /services/licenser/groups | search is_active=1 | eval stack_id=stack_ids | fields stack_id] | eval quota=if(isnull(effective_quota),quota,effective_quota) | eval "Used"=round(used_bytes/1024/1024/1024, 3) | eval "Quota"=round(quota/1024/1024/1024, 3) | fields  "Used" "Quota"</t>
  </si>
  <si>
    <t>2021-07-27T16:57:16-04:00</t>
  </si>
  <si>
    <t>URL Down: dev-compitcs.corp.rndc-usa.com/ControlStates/</t>
  </si>
  <si>
    <t>sourcetype="web_ping" () title="DevCompitcsControlStates" | where response_code!=200</t>
  </si>
  <si>
    <t>2022-03-01T11:48:06-05:00</t>
  </si>
  <si>
    <t>URL Down: dev-mixology</t>
  </si>
  <si>
    <t>sourcetype="web_ping" () title="Dev-mixology" | where response_code!=200</t>
  </si>
  <si>
    <t>2022-03-01T12:13:07-05:00</t>
  </si>
  <si>
    <t>URL Down: rac-dev</t>
  </si>
  <si>
    <t>sourcetype="web_ping" () title="Rac-dev" | where response_code!=200</t>
  </si>
  <si>
    <t>2022-03-01T12:29:21-05:00</t>
  </si>
  <si>
    <t>WMS â€“ RNDC WEST  MGH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</si>
  <si>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connection="YMC_MGH_PROD"</t>
  </si>
  <si>
    <t>2021-07-20T19:08:32-04:00</t>
  </si>
  <si>
    <t>WMS â€“ RNDC WEST -  Items Unable to be Received on PO</t>
  </si>
  <si>
    <t>| inputlookup WMS_WEST_SCHEMAS.csv | table WAREHOUSE
|  map maxsearches=1000 search="| dbxquery query=\"SELECT PO.D_FACILITY_ALIAS_ID "FACILITY", PO.TC_PURCHASE_ORDERS_ID "PO", PO.CREATED_DTTM \\\"PO CREATED DATE HOST\\\", POLI.PURCHASE_ORDERS_LINE_STATUS, IC.AUDIT_CREATED_DTTM \\\"ITEM CREATE DATE IN WM\\\", POLI.TC_PO_LINE_ID, POLI.ORIG_ORDER_QTY, POLI.STD_PACK_QTY, POLI.QTY_CONV_FACTOR, POLI.SKU_ID, POLI.SKU "ITEM", IC.LONG_DESCRIPTION, IC.AUDIT_LAST_UPDATED_SOURCE \\\"ITEM LAST UPDATED SOURCE\\\", IC.MARK_FOR_DELETION 
FROM PURCHASE_ORDERS_LINE_ITEM POLI
JOIN PURCHASE_ORDERS PO ON POLI.PURCHASE_ORDERS_ID = PO.PURCHASE_ORDERS_ID
JOIN ITEM_CBO IC ON POLI.SKU = IC.ITEM_NAME
WHERE PO.CREATED_DTTM &lt; POLI.CREATED_DTTM
AND POLI.SKU_ID IS NULL
AND (PO.PURCHASE_ORDERS_STATUS = '20' AND POLI.PURCHASE_ORDERS_LINE_STATUS = '20')
ORDER BY PO.CREATED_DTTM DESC\" connection=$WAREHOUSE$ shortnames=true"</t>
  </si>
  <si>
    <t>WMS â€“  Items Unable to be Received on PO</t>
  </si>
  <si>
    <t>2021-10-18T13:38:07-04:00</t>
  </si>
  <si>
    <t>report</t>
  </si>
  <si>
    <t>Errors in the last 24 hours</t>
  </si>
  <si>
    <t>error OR failed OR severe OR ( sourcetype=access_* ( 404 OR 500 OR 503 ) )</t>
  </si>
  <si>
    <t>nobody</t>
  </si>
  <si>
    <t>2017-05-24T09:24:43-04:00</t>
  </si>
  <si>
    <t>Errors in the last hour</t>
  </si>
  <si>
    <t>2017-05-24T09:24:44-04:00</t>
  </si>
  <si>
    <t>License Usage Data Cube</t>
  </si>
  <si>
    <t>index=_internal source=*license_usage.log* type="Usage" | eval h=if(len(h)=0 OR isnull(h),"(SQUASHED)",h) | eval s=if(len(s)=0 OR isnull(s),"(SQUASHED)",s) | eval idx=if(len(idx)=0 OR isnull(idx),"(UNKNOWN)",idx) | bin _time span=1d | stats sum(b) as b by _time, pool, s, st, h, idx</t>
  </si>
  <si>
    <t>Faster License Usage Report</t>
  </si>
  <si>
    <t>2014-10-31T09:16:00-04:00</t>
  </si>
  <si>
    <t>WMS-Printing_DO_Status_165_report</t>
  </si>
  <si>
    <t>| dbxquery query="SELECT 
LAST_UPDATED_DTTM, 
DO_STATUS, 
\"Invoice Number\", 
\"Location\", 
\"Salesperson\",
\"Customer Number\",
\"Ship To\", 
SUM(\"Cases\") CASES, 
SUM(\"Bottles\") BOTTLES, 
 '*' || \"oLPN\" || '*' \"oLPN\"
FROM (
select o.last_updated_dttm,  o.do_status, lh.locN_brcd \"Location\", 
lpn.tc_lpn_id \"oLPN\", lpn.tc_order_Id \"Invoice Number\" , SUM(floor(ld.size_value / package.quantity ))\"Cases\", 
SUM(mod(ld.size_value,package.quantity)) \"Bottles\",
o.ref_field_4 as \"Salesperson\", o.ref_Field_1 \"Customer Number\",  O.D_Name \"Ship To\"
from locn_hdr lh join lpn lpn on lh.locn_id = lpn.curr_sub_locn_id join lpn_detail ld on lpn.lpn_id =ld.lpn_id
join orders o on lpn.tc_order_Id = o.tc_order_id
join item_cbo cbo on cbo.item_id = ld.item_id
join item_package_cbo package on cbo.item_id = package.item_id and package.is_std = 1 and package.mark_for_deletion = 0 and package.package_uom_id = '46'
where lh.locn_class = 'S' and o.do_status = 165
GROUP BY o.last_updated_dttm,  o.do_status, lh.locN_brcd, lpn.tc_lpn_id ,lpn.tc_order_Id ,o.ref_field_4 , o.ref_Field_1 , O.D_Name 
)
GROUP BY LAST_UPDATED_DTTM, DO_STATUS, \"Invoice Number\" ,\"Salesperson\",\"Customer Number\",
\"Ship To\", \"Location\", \"oLPN\"
" connection="ATL_WM13" shortnames = true | fields - _raw _time |head 5</t>
  </si>
  <si>
    <t>2018-03-19T09:04:20-04:00</t>
  </si>
  <si>
    <t>ABQ - MAWM - Missing Item Level Verification PIX</t>
  </si>
  <si>
    <t>| dbxquery query="select pt.warehouse, pt.asn_no asn_number, listagg(po.po_no,' , ') within group (order by pt.asn_no) purchase_orders, pt.pixid, pt.created_dttm
FROM abq_wmsods.pix_trx pt
LEFT JOIN 
    (SELECT DISTINCT po_no,
         asn_no
    FROM abq_wmsods.pix_trx t2
    WHERE pix_spec = 'SupplierReceiptId') po
    ON po.asn_no = pt.asn_no
WHERE pt.pix_spec = 'ASN Level'
and pt.asn_type = 'P'
        AND pt.asn_no NOT IN 
    (SELECT asn_no
    FROM abq_wmsods.pix_trx
    WHERE pix_spec = 'ITEM_Level')
        AND created_dttm &gt;= sysdate -1
GROUP BY  pt.asn_no, created_dttm, warehouse, pixid;" connection="MAWM_SOA_PRD"</t>
  </si>
  <si>
    <t>splunk_app_db_connect</t>
  </si>
  <si>
    <t>2024-05-14T16:54:54-04:00</t>
  </si>
  <si>
    <t>ABQ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</si>
  <si>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='ABQ_Fac_Prof'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</si>
  <si>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2022-11-15T15:08:30-05:00</t>
  </si>
  <si>
    <t>ABQ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</si>
  <si>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'ABQ' AND O.ORDER_TYPE = 'Standard' AND O.MINIMUM_STATUS &lt; '8000' AND O.CREATED_TIMESTAMP &lt;= NOW() - INTERVAL 15 MINUTE AND O.DESIGNATED_SHIPMENT_ID NOT IN (SELECT DISTINCT SHIPMENT_ID FROM default_shipment.SHP_SHIPMENT S WHERE S.ORG_ID = O.ORG_ID) " connection="MAPRD_NEW"</t>
  </si>
  <si>
    <t>2022-11-22T15:54:29-05:00</t>
  </si>
  <si>
    <t>ABQ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</si>
  <si>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abq_wmsods.pix_trx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abq_wmsods.pix_trx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abq_wmsods.pix_trx WHERE pix_spec = 'ITEM_Level' GROUP BY  asn_no ) t1 LEFT JOIN  (SELECT asn_no, sum(qty) asn_level_qty FROM abq_wmsods.pix_trx pt WHERE pix_spec = 'ASN Level' GROUP BY  asn_no ) t2 ON t2.asn_no = t1.asn_no ) WHERE t1.item_level_qty = t2.asn_level_qty ) ) " connection="MAWM_SOA_PRD"</t>
  </si>
  <si>
    <t>2024-08-15T09:48:11-04:00</t>
  </si>
  <si>
    <t>ALL - MAWM - Day Waving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</si>
  <si>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NOT IN ('Standard Wave Order Planning Strategy','Forecast Replenishment Case Only','Forecast Replenishment') AND timediff(ops.run_completion_date_time,ops.created_timestamp) &gt; '00:10:00' AND ops.created_timestamp &gt;= now() - INTERVAL 1 DAY ORDER BY  6 desc)orders;" connection="MAPRD_NEW"</t>
  </si>
  <si>
    <t>2022-12-13T12:43:43-05:00</t>
  </si>
  <si>
    <t>ALL - MAWM - LPNs Putaway With PP Condition Codes Still Assigned</t>
  </si>
  <si>
    <t>| dbxquery query="select dci.org_id,dci.ilpn_id,dci.location_id,dl.storage_uom_id,dl.pick_allocation_zone_id,dci.item_id,dci.on_hand,dcc.condition_code,dci.created_timestamp,dci.updated_timestamp
 from default_dcinventory.DCI_INVENTORY dci
 join default_dcinventory.DCI_CONTAINER_CONDITION dcc on dci.org_id = dcc.org_id and dci.ilpn_id = dcc.inventory_container_id
 join default_dcinventory.DCI_LOCATION dl on dci.org_id = substr(dl.profile_id,1,3) and dci.location_id = dl.location_id
 where dl.storage_uom_id ='LPN'
 and dcc.condition_code ='PP'
 and dl.pick_allocation_zone_id != 'No Allocation'
 and dl.location_id not like 'DOCK%'
 and dl.location_id not in ('VINTAG')
 order by dci.org_id,dci.ilpn_id;" connection="MAPRD_NEW"</t>
  </si>
  <si>
    <t>2022-12-05T08:42:36-05:00</t>
  </si>
  <si>
    <t>ALL - MAWM - Monthly Slotting Dashboard</t>
  </si>
  <si>
    <t>| dbxquery query="select org.org_id,Open_Bottle_Slots,Odd_Bottle_Over_2cswk,StaticBottle_Less_1_BtlPerWk,StaticBottle_Over_4_CsPerWk,BottleFlow_Less_1_BtlPerWk,
 round(((obbtls/(btls+obbtls))*100),2)\"OddBtlPercent\",round((((1-ideal_bottle)*100)),2)\"PerfectBtlPercent\",
 round(((1-((obbtls/(btls+obbtls))))/(1-(1-ideal_bottle))),2)\"BtlRatio\",
 Open_Case_Slots,Odd_Case_Over_5cswk,CaseFlow_Less_1_CsPerWk,CaseFlow_Over_30_CsPerWk,PalletFlow_Less_5_CsPerWk,
 round(((OddCases/(Caseline+OddCases))*100),2)\"OddCasePercent\",round(((1-(case_within_rank.hits/allcase_hist.hits))*100),2)\"PerfectCasePercent\",
 round((1-((OddCases/(Caseline+OddCases)))/(1-(1-(case_within_rank.hits/allcase_hist.hits)))),2)\"CaseRatio\"
 from (select distinct (dci.org_id)
 from default_dcinventory.DCI_INVENTORY dci
 order by dci.org_id)org
 left join 
 (select distinct (org_id),count(location_id)\"Open_Bottle_Slots\"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='UNIT'
 and lia.item_id is null)open_bottle
 group by org_id
 order by org_id)open_bottle on org.org_id = open_bottle.org_id
 left join 
 (select distinct org_id,count(item_id)\"Odd_Bottle_Over_2cswk\"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it.ext_odd_bottle ='true'
 and sid.demand_uom_id ='UNIT'
 and round(sid.movement/qpc.quantity)&gt;2)oddbottle_case_per_week
 group by org_id
 order by org_id)oddbottle_case_per_week on org.org_id = oddbottle_case_per_week.org_id
 left join
 (select distinct org_id,count(item_id)\"StaticBottle_Less_1_BtlPerWk\"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sid.movement &lt; 1)slow_static_bottle
 group by org_id
 order by org_id)slow_static_bottle on org.org_id = slow_static_bottle.org_id
 left join 
 (select distinct org_id,count(item_id)\"StaticBottle_Over_4_CsPerWk\"
 from(
 select sid.org_id,dl.location_id,dl.pick_execution_zone_id,sid.item_id,it.description,it.ext_odd_bottle,sid.demand_uom_id,qpc.quantity,sid.movement,round(sid.movement/qpc.quantity)case_per_week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('Slow Bottle','SPB')
 where it.ext_odd_bottle ='false'
 and sid.demand_uom_id ='UNIT'
 and round(sid.movement/qpc.quantity)&gt;4)fast_static_bottle
 group by org_id
 order by org_id)fast_static_bottle on org.org_id = fast_static_bottle.org_id
 left join
 (select distinct org_id,count(item_id)\"BottleFlow_Less_1_BtlPerWk\"
 from(
 select sid.org_id,dl.location_id,dl.pick_execution_zone_id,sid.item_id,it.description,it.ext_odd_bottle,sid.demand_uom_id,qpc.quantity,sid.movement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='UNIT' and dl.pick_execution_zone_id in ('Fast Bottle','Fast Bottle X','Fast Bottle Y','FPB','Fast Bottle L','Fast Bottle R')
 where it.ext_odd_bottle ='false'
 and sid.demand_uom_id ='UNIT'
 and sid.movement &lt; 1)slow_flow_bottle
 group by org_id
 order by org_id)slow_flow_bottle on org.org_id = slow_flow_bottle.org_id
 left join
 (select distinct org_id,sum(quantity)btls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('Split Case')
 and ol.order_planning_strategy_id ='Standard Wave Order Planning Strategy'
 and  dca.created_timestamp &gt;= now() - INTERVAL 30 DAY)btls
 group by org_id)btls on org.org_id = btls.org_id
 left join 
 (select distinct org_id,sum(quantity)obbtls
 from (
 select dca.org_id,dca.olpn_id,dca.pick_allocation_zone_id,dca.quantity
 from default_dcinventory.DCI_ALLOCATION dca
 join default_pickpack.PPK_OLPN ol on dca.olpn_id = ol.olpn_id and dca.org_id = ol.org_id
 where dca.generation_code_id ='Wave'
 and dca.type_id ='PICK/PACK'
 and dca.allocation_uom_type_id ='UNIT'
 and dca.pick_allocation_zone_id in ('DYBD')
 and ol.order_planning_strategy_id ='Standard Wave Order Planning Strategy'
 and  dca.created_timestamp &gt;= now() - INTERVAL 30 DAY)obbtls
 group by org_id)obbtls on org.org_id = obbtls.org_id
 left join
 (select distinct org_id,count(location_id)\"Open_Case_Slots\"
 from (
 select substr(dl.profile_id,1,3)org_id,dl.location_id,lia.item_id
 from default_dcinventory.DCI_LOCATION dl
 left join default_dcinventory.DCI_LOCATION_ITEM_ASSIGNMENT lia on dl.location_id = lia.location_id and substr(dl.profile_id,1,3) = lia.org_id
 where dl.eligible_for_slotting ='1'
 and dl.is_active ='1'
 and dl.storage_uom_id ='PACK'
 and lia.item_id is null)open_case
 group by org_id
 order by org_id)open_case on org.org_id = open_case.org_id
 left join 
 (select distinct org_id,count(item_id) \"Odd_Case_Over_5cswk\"
 from(
 select sid.org_id,sid.item_id,it.description,it.ext_odd_bottle,sid.demand_uom_id,qpc.quantity,sid.movement,round(sid.movement/qpc.quantity)case_per_week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where  it.ext_odd_case ='true'
 and sid.demand_uom_id ='PACK'
 and round(sid.movement/qpc.quantity)&gt;5)oddcase_case_per_week
 group by org_id
 order by org_id)oddcase_case_per_week on org.org_id = oddcase_case_per_week.org_id
 left join
 (select distinct org_id,count(item_id) \"CaseFlow_Less_1_CsPerWk\"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&lt; 1)slow_flowrack_case
 group by org_id
 order by org_id)slow_flowrack_case on org.org_id = slow_flowrack_case.org_id
 left join 
 (select distinct org_id,count(item_id) \"CaseFlow_Over_30_CsPerWk\"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('Flow Rack')
 where it.ext_odd_case ='false'
 and sid.demand_uom_id ='PACK'
 and round(sid.movement/qpc.quantity) &gt; 30)fast_flowrack_case
 group by org_id
 order by org_id)fast_flowrack_case on org.org_id = fast_flowrack_case.org_id
 left join 
 (select distinct org_id,count(item_id) \"PalletFlow_Less_5_CsPerWk\"
 from(
 select sid.org_id,dl.location_id,dl.pick_allocation_zone_id,sid.item_id,it.description,it.ext_odd_bottle,sid.demand_uom_id,qpc.quantity,sid.movement,round(sid.movement/qpc.quantity)case_per_week
 from default_slotting.SLO_ITEM_DEMAND sid
 join default_item_master.ITE_ITEM it on sid.item_id = it.item_id and sid.org_id = substr(it.profile_id,1,3)
 join default_item_master.ITE_ITEM_PACKAGE qpc on it.pk = qpc.item_pk and qpc.standard_quantity_uom_id = 'PACK'
 join default_dcinventory.DCI_LOCATION_ITEM_ASSIGNMENT lia on sid.item_id = lia.item_id and sid.org_id = lia.org_id
 join default_dcinventory.DCI_LOCATION dl on lia.location_id = dl.location_id and substr(dl.profile_id,1,3) = lia.org_id and dl.storage_uom_id ='PACK' and dl.pick_allocation_zone_id in ('Dedicated','Cluster')
 where it.ext_odd_case ='false'
 and sid.demand_uom_id ='PACK'
 and round(sid.movement/qpc.quantity) &lt; 5)slow_palletflow_case
 group by org_id
 order by org_id)slow_palletflow_case on org.org_id = slow_palletflow_case.org_id
 left join 
 (select distinct org_id, count(olpn_id)\"OddCases\"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('Reserve','High Dollar Cage')
 and ol.order_planning_strategy_id ='Standard Wave Order Planning Strategy'
 and  dca.created_timestamp &gt;= now() - INTERVAL 30 DAY
 and ol.container_type_id is null)oddcase
 group by org_id) oddcase on org.org_id = oddcase.org_id
 left join 
 (select distinct org_id, count(olpn_id)\"Caseline\"
 from(
 select dca.org_id,dca.olpn_id,dca.pick_allocation_zone_id
 from default_dcinventory.DCI_ALLOCATION dca
 join default_pickpack.PPK_OLPN ol on dca.olpn_id = ol.olpn_id and dca.org_id = ol.org_id
 where dca.generation_code_id ='Wave'
 and dca.type_id ='PICK/PACK'
 and dca.allocation_uom_type_id ='PACK'
 and dca.pick_allocation_zone_id in ('Flow Rack','Dedicated','Cluster','Beer Flow Rack')
 and ol.order_planning_strategy_id ='Standard Wave Order Planning Strategy'
 and  dca.created_timestamp &gt;= now() - INTERVAL 30 DAY
 and ol.container_type_id is null)casepick
 group by org_id) casepick on org.org_id = casepick.org_id
 join 
 (select btl_qty.org_id,(btl_qty.btl_quantity)/(ttl_btl_hist.ttl_btl_qty)ideal_bottle
 from (
 select distinct (item_history.org_id),sum(item_history.quantity)btl_quantity
 from(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DAY)item_history
 join 
 (select org_id,item_id,row_number()over (partition by org_id order by HITS desc)RANKS
 from (
 select distinct org_id,(item_id),count(allocation_id)HITS
 from default_dcinventory.DCI_ALLOCATION
 where  generation_code_id ='Wave'
 and pick_allocation_zone_id in ('Split Case','DYBD')
 and order_criteria_id like 'Standard%'
 and created_timestamp  &gt;= now() - INTERVAL 90 DAY
 group by org_id,item_id
 order by org_id,3 desc)HITS)item_rank on item_history.org_id = item_rank.org_id and item_history.item_id = item_rank.item_id
 join 
 (select substr(profile_id,1,3)org_id,count(location_id)btl_locs
 from default_dcinventory.DCI_LOCATION
 where storage_uom_id ='UNIT'
 and sku_dedication_type_id ='PERMANENT'
 group by substr(profile_id,1,3))btl_locs on item_history.org_id = btl_locs.org_id
 where ranks &lt; btl_locs
 group by org_id
 order by org_id,ranks)btl_qty
 join 
 (select distinct (org_id),sum(quantity)ttl_btl_qty
 from (
 select dca.org_id,dca.item_id,dca.quantity,it.conveyable
 from default_dcinventory.DCI_ALLOCATION dca
 join default_item_master.ITE_ITEM it on dca.item_id = it.item_id and dca.org_id = substr(it.profile_id,1,3)
 join default_item_master.ITE_ITEM_PACKAGE qpc on it.pk = qpc.item_pk and qpc.standard_quantity_uom_id = 'PACK'
 and dca.generation_code_id ='Wave'
 and dca.pick_allocation_zone_id in ('Split Case','DYBD')
 and dca.order_criteria_id like 'Standard%'
 and it.conveyable ='1'
 and dca.created_timestamp  &gt;= now() - INTERVAL 90 DAY)ttl_btl_hist
 group by org_id
 order by org_id)ttl_btl_hist on btl_qty.org_id = ttl_btl_hist.org_id
 group by org_id
 order by org_id)ideal_bottle on org.org_id = ideal_bottle.org_id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
 order by org_id,CASE_RANKS)case_rank
 join 
 (select substr(profile_id,1,3)org,sum(max_items)case_slots
 from default_dcinventory.DCI_LOCATION
 where storage_uom_id ='PACK'
 and sku_dedication_type_id ='PERMANENT'
 group by substr(profile_id,1,3)
 order by substr(profile_id,1,3))case_slots on case_rank.org_id = case_slots.org
 where case_ranks &lt; case_slots
 group by org_id
 order by org_id,case_ranks)case_within_rank on org.org_id = case_within_rank.org_id
 join 
 (select org_id,sum(hits)hits
 from (
 select org_id,item_id,hits,row_number()over (partition by org_id order by HITS desc)CASE_RANKS
 from (
 select distinct (dca.org_id),dca.item_id,count(dca.olpn_id)HITS
 from default_dcinventory.DCI_ALLOCATION dca
 join default_item_master.ITE_ITEM it on dca.item_id = it.item_id and dca.org_id = substr(it.profile_id,1,3)
 join default_item_master.ITE_ITEM_PACKAGE qpc on it.pk = qpc.item_pk and qpc.standard_quantity_uom_id = 'PACK'
 where dca.order_criteria_id like 'Standard%'
 and dca.generation_code_id ='Wave'
 and dca.allocation_uom_type_id ='PACK'
 and dca.type_id ='PICK/PACK'
 and dca.pick_allocation_zone_id not in ('High Dollar Cage','Beer Cooler')
 and it.conveyable ='1'
 and dca.created_timestamp  &gt;= now() - INTERVAL 90 DAY
 group by dca.org_id,dca.item_id)case_rank)allcase_hist
 group by org_id)allcase_hist on org.org_id = allcase_hist.org_id
 order by org_id;
 " connection="MAPRD_NEW"</t>
  </si>
  <si>
    <t>2022-11-18T09:51:39-05:00</t>
  </si>
  <si>
    <t>ALL - MAWM â€“ Replen Putaway Tasks Multiple Details Same Item</t>
  </si>
  <si>
    <t>| dbxquery query="SELECT td.org_id, td.task_id, td.source_container_id, td.item_id, td.target_location_id, count(1) AS repeat_details FROM default_putaway.TSK_TASK_DETAIL td LEFT JOIN default_putaway.TSK_TASK t ON t.task_id = td.task_id WHERE td.type_id = 'PUTAWAY' AND t.status = '1000' AND t.transaction_id = 'Putaway Replenishment Cases' GROUP BY  td.org_id, td.task_id, td.source_container_id, td.item_id, td.target_location_id HAVING count(1) &gt; 1; " connection="MAPRD_NEW"</t>
  </si>
  <si>
    <t>2023-02-14T14:26:25-05:00</t>
  </si>
  <si>
    <t>ALL MAWM - Standard Wave Run Times &gt; 10 Minutes</t>
  </si>
  <si>
    <t>| dbxquery query="SELECT org_id, planning_strategy_id, order_planning_run_id, created_timestamp, run_completion_date_time, wave_run_time, selected_order_lines, round((selected_order_lines/wave_run_time), 2)lines_per_min, description FROM  (SELECT ops.org_id, ops.planning_strategy_id, ops.order_planning_run_id, ops.created_timestamp, ops.run_completion_date_time, timestampdiff(minute, ops.created_timestamp, ops.run_completion_date_time)WAVE_RUN_TIME, ops.selected_order_lines, st.description FROM default_dcorder.DCO_ORDER_PLAN_RUN_STRATEGY ops JOIN default_dcorder.DCO_PLANNING_RUN_STATUS st ON ops.status = st.planning_run_status_id WHERE ops.planning_strategy_id IN ('Standard Wave Order Planning Strategy') AND timediff(ops.run_completion_date_time,ops.created_timestamp) &gt; '00:05:00' AND ops.created_timestamp &gt;= now() - INTERVAL 1 DAY ORDER BY  6 desc)orders; " connection="MAPRD_NEW"</t>
  </si>
  <si>
    <t>2022-11-21T08:12:42-05:00</t>
  </si>
  <si>
    <t>ALL MAWM - Standard Wave Run Times &gt; 5 Minutes Clone</t>
  </si>
  <si>
    <t>ALL MAWM - Standard Wave Run Times &gt; 5 Minutes</t>
  </si>
  <si>
    <t>2022-12-13T08:47:32-05:00</t>
  </si>
  <si>
    <t>ASH - MAWM - Missing Item Level Verification PIX</t>
  </si>
  <si>
    <t>| dbxquery query="select pt.warehouse, pt.asn_no asn_number, listagg(po.po_no,' , ') within group (order by pt.asn_no) purchase_orders, pt.pixid, pt.created_dttm
from ash_wmsods.pix_trx pt
    left join (select distinct po_no, asn_no from ash_wmsods.pix_trx t2 where pix_spec = 'SupplierReceiptId') po on po.asn_no = pt.asn_no
WHERE pt.pix_spec = 'ASN Level'
and pt.asn_type = 'P'
        AND pt.asn_no not in (select asn_no from ash_wmsods.pix_trx where pix_spec = 'ITEM_Level')
    and created_dttm &gt;= sysdate -1
group by pt.asn_no, created_dttm, warehouse, pixid;" connection="MAWM_SOA_PRD"</t>
  </si>
  <si>
    <t>2024-05-17T02:05:27-04:00</t>
  </si>
  <si>
    <t>ASH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</si>
  <si>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='ASH_Fac_Prof'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</si>
  <si>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2022-11-18T09:53:44-05:00</t>
  </si>
  <si>
    <t>ASH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</si>
  <si>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'ASH'
 AND O.ORDER_TYPE = 'Standard'
 AND O.MINIMUM_STATUS &lt; '8000'
 AND O.CREATED_TIMESTAMP &lt;= NOW() - INTERVAL 15 MINUTE
 AND O.DESIGNATED_SHIPMENT_ID NOT IN (SELECT DISTINCT SHIPMENT_ID FROM default_shipment.SHP_SHIPMENT S WHERE S.ORG_ID = O.ORG_ID)" connection="MAPRD_NEW"</t>
  </si>
  <si>
    <t>2023-01-31T15:50:45-05:00</t>
  </si>
  <si>
    <t>ASH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</si>
  <si>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ash_wmsods.pix_trx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ash_wmsods.pix_trx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ash_wmsods.pix_trx WHERE pix_spec = 'ITEM_Level' GROUP BY  asn_no ) t1 LEFT JOIN  (SELECT asn_no, sum(qty) asn_level_qty FROM ash_wmsods.pix_trx pt WHERE pix_spec = 'ASN Level' GROUP BY  asn_no ) t2 ON t2.asn_no = t1.asn_no ) WHERE t1.item_level_qty = t2.asn_level_qty ) ) " connection="MAWM_SOA_PRD"</t>
  </si>
  <si>
    <t>2024-08-15T09:50:32-04:00</t>
  </si>
  <si>
    <t>ATL - MAWM - Missing Item Level Verification PIX</t>
  </si>
  <si>
    <t>| dbxquery query="select pt.warehouse, pt.asn_no asn_number, listagg(po.po_no,' , ') within group (order by pt.asn_no) purchase_orders, pt.pixid, pt.created_dttm
from atl_wmsods.pix_trx pt
    left join (select distinct po_no, asn_no from atl_wmsods.pix_trx t2 where pix_spec = 'SupplierReceiptId') po on po.asn_no = pt.asn_no
WHERE pt.pix_spec = 'ASN Level'
and pt.asn_type = 'P'
        AND pt.asn_no not in (select asn_no from atl_wmsods.pix_trx where pix_spec = 'ITEM_Level')
    and created_dttm &gt;= sysdate -1
group by pt.asn_no, created_dttm, warehouse, pixid;" connection="MAWM_SOA_PRD"</t>
  </si>
  <si>
    <t>2024-05-17T02:14:44-04:00</t>
  </si>
  <si>
    <t>ATL - MAWM - Replenishment Tasks With Multiple Details For Same Item</t>
  </si>
  <si>
    <t>| dbxquery query="select distinct (th.task_id),th.org_id, th.created_timestamp,th.transaction_id,td.item_id,count(td.task_detail_id)
from default_task.TSK_TASK_DETAIL td
join default_dcinventory.DCI_LOCATION dl on td.working_location_id = dl.location_id and dl.profile_id ='ATL_Fac_Prof'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connection="MAPRD_NEW"</t>
  </si>
  <si>
    <t>2022-11-18T10:00:06-05:00</t>
  </si>
  <si>
    <t>ATL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</si>
  <si>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'ATL'
 AND O.ORDER_TYPE = 'Standard'
 AND O.MINIMUM_STATUS &lt; '8000'
 AND O.CREATED_TIMESTAMP &lt;= NOW() - INTERVAL 15 MINUTE
 AND O.DESIGNATED_SHIPMENT_ID NOT IN (SELECT DISTINCT SHIPMENT_ID FROM default_shipment.SHP_SHIPMENT S WHERE S.ORG_ID = O.ORG_ID)" connection="MAPRD_NEW"</t>
  </si>
  <si>
    <t>2023-06-30T08:41:13-04:00</t>
  </si>
  <si>
    <t>ATL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</si>
  <si>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atl_wmsods.pix_trx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atl_wmsods.pix_trx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atl_wmsods.pix_trx WHERE pix_spec = 'ITEM_Level' GROUP BY  asn_no ) t1 LEFT JOIN  (SELECT asn_no, sum(qty) asn_level_qty FROM atl_wmsods.pix_trx pt WHERE pix_spec = 'ASN Level' GROUP BY  asn_no ) t2 ON t2.asn_no = t1.asn_no ) WHERE t1.item_level_qty = t2.asn_level_qty ) ) " connection="MAWM_SOA_PRD"</t>
  </si>
  <si>
    <t>ATL  â€“ MAWM - Item Level Receipts With 0 Quantity</t>
  </si>
  <si>
    <t>2024-08-15T09:51:40-04:00</t>
  </si>
  <si>
    <t>COL - MAWM - Missing Item Level Verification PIX</t>
  </si>
  <si>
    <t>| dbxquery query="select pt.warehouse, pt.asn_no asn_number, listagg(po.po_no,' , ') within group (order by pt.asn_no) purchase_orders, pt.pixid, pt.created_dttm
from col_wmsods.pix_trx pt
    left join (select distinct po_no, asn_no from col_wmsods.pix_trx t2 where pix_spec = 'SupplierReceiptId') po on po.asn_no = pt.asn_no
WHERE pt.pix_spec = 'ASN Level'
and pt.asn_type = 'P'
        AND pt.asn_no not in (select asn_no from col_wmsods.pix_trx where pix_spec = 'ITEM_Level')
    and created_dttm &gt;= sysdate -1
group by pt.asn_no, created_dttm, warehouse, pixid;" connection="MAWM_SOA_PRD"</t>
  </si>
  <si>
    <t>2024-05-17T02:18:12-04:00</t>
  </si>
  <si>
    <t>COL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</si>
  <si>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'COL'
 AND O.ORDER_TYPE = 'Standard'
 AND O.MINIMUM_STATUS &lt; '8000'
 AND O.CREATED_TIMESTAMP &lt;= NOW() - INTERVAL 15 MINUTE
 AND O.DESIGNATED_SHIPMENT_ID NOT IN (SELECT DISTINCT SHIPMENT_ID FROM default_shipment.SHP_SHIPMENT S WHERE S.ORG_ID = O.ORG_ID)" connection="MAPRD_NEW"</t>
  </si>
  <si>
    <t>2022-11-22T16:01:02-05:00</t>
  </si>
  <si>
    <t>COL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</si>
  <si>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col_wmsods.pix_trx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col_wmsods.pix_trx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col_wmsods.pix_trx WHERE pix_spec = 'ITEM_Level' GROUP BY  asn_no ) t1 LEFT JOIN  (SELECT asn_no, sum(qty) asn_level_qty FROM col_wmsods.pix_trx pt WHERE pix_spec = 'ASN Level' GROUP BY  asn_no ) t2 ON t2.asn_no = t1.asn_no ) WHERE t1.item_level_qty = t2.asn_level_qty ) ) " connection="MAWM_SOA_PRD"</t>
  </si>
  <si>
    <t>COL  â€“ MAWM - Item Level Receipts With 0 Quantity</t>
  </si>
  <si>
    <t>2024-08-15T09:53:17-04:00</t>
  </si>
  <si>
    <t>Critical - SSL cert expiry Notification</t>
  </si>
  <si>
    <t>| inputlookup commercial_automated_final.csv
| eval date_of_expiry=strptime(EXPIRATION_DATE,"%b %d %H:%M:%S %Y"),nowstring=strftime(now(), "%b %d %H:%M:%S %Y"), today_date=strptime(nowstring,"%b %d %H:%M:%S %Y")
| eval DAYS_TO_EXPIRE=round(date_of_expiry-today_date, 0)
| eval DAYS_FOR_RENEWAL=round(DAYS_TO_EXPIRE/86400,0)
| where DAYS_FOR_RENEWAL&lt;=30
| table APP_URL, DESCRIPTION, DAYS_FOR_RENEWAL, NOTIFY_TO
| stats list(APP_URL) AS APP_URL, list(DESCRIPTION) AS DESCRIPTION, list(DAYS_FOR_RENEWAL) AS DAYS_FOR_RENEWAL BY NOTIFY_TO</t>
  </si>
  <si>
    <t>2023-03-14T16:16:52-04:00</t>
  </si>
  <si>
    <t>DEN - MAWM - Missing Item Level Verification PIX</t>
  </si>
  <si>
    <t>| dbxquery query="select pt.warehouse, pt.asn_no asn_number, listagg(po.po_no,' , ') within group (order by pt.asn_no) purchase_orders, pt.pixid, pt.created_dttm
from den_wmsods.pix_trx pt
    left join (select distinct po_no, asn_no from den_wmsods.pix_trx t2 where pix_spec = 'SupplierReceiptId') po on po.asn_no = pt.asn_no
WHERE pt.pix_spec = 'ASN Level'
and pt.asn_type = 'P'
        AND pt.asn_no not in (select asn_no from den_wmsods.pix_trx where pix_spec = 'ITEM_Level')
    and created_dttm &gt;= sysdate -1
group by pt.asn_no, created_dttm, warehouse, pixid;" connection="MAWM_SOA_PRD"</t>
  </si>
  <si>
    <t>2024-05-17T02:49:32-04:00</t>
  </si>
  <si>
    <t>DEN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</si>
  <si>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den_wmsods.pix_trx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den_wmsods.pix_trx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den_wmsods.pix_trx WHERE pix_spec = 'ITEM_Level' GROUP BY  asn_no ) t1 LEFT JOIN  (SELECT asn_no, sum(qty) asn_level_qty FROM den_wmsods.pix_trx pt WHERE pix_spec = 'ASN Level' GROUP BY  asn_no ) t2 ON t2.asn_no = t1.asn_no ) WHERE t1.item_level_qty = t2.asn_level_qty ) ) " connection="MAWM_SOA_PRD"</t>
  </si>
  <si>
    <t>2024-08-15T09:54:55-04:00</t>
  </si>
  <si>
    <t>DFB - MAWM - Missing Item Level Verification PIX</t>
  </si>
  <si>
    <t>| dbxquery query="select pt.warehouse, pt.asn_no asn_number, listagg(po.po_no,' , ') within group (order by pt.asn_no) purchase_orders, pt.pixid, pt.created_dttm
from dfb_wmsods.pix_trx pt
    left join (select distinct po_no, asn_no from dfb_wmsods.pix_trx t2 where pix_spec = 'SupplierReceiptId') po on po.asn_no = pt.asn_no
WHERE pt.pix_spec = 'ASN Level'
and pt.asn_type = 'P'
        AND pt.asn_no NOT IN (select asn_no from dfb_wmsods.pix_trx where pix_spec = 'ITEM_Level')
    and created_dttm &gt;= sysdate -1
group by pt.asn_no, created_dttm, warehouse, pixid;" connection="MAWM_SOA_PRD"</t>
  </si>
  <si>
    <t>2024-05-17T12:58:31-04:00</t>
  </si>
  <si>
    <t>DFB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</si>
  <si>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dfb_wmsods.pix_trx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dfb_wmsods.pix_trx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dfb_wmsods.pix_trx WHERE pix_spec = 'ITEM_Level' GROUP BY  asn_no ) t1 LEFT JOIN  (SELECT asn_no, sum(qty) asn_level_qty FROM dfb_wmsods.pix_trx pt WHERE pix_spec = 'ASN Level' GROUP BY  asn_no ) t2 ON t2.asn_no = t1.asn_no ) WHERE t1.item_level_qty = t2.asn_level_qty ) ) " connection="MAWM_SOA_PRD"</t>
  </si>
  <si>
    <t>2024-08-15T09:56:02-04:00</t>
  </si>
  <si>
    <t>FAR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</si>
  <si>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far_wmsods.pix_trx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far_wmsods.pix_trx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far_wmsods.pix_Trx WHERE pix_spec = 'ITEM_Level' GROUP BY  asn_no ) t1 LEFT JOIN  (SELECT asn_no, sum(qty) asn_level_qty FROM far_wmsods.pix_Trx pt WHERE pix_spec = 'ASN Level' GROUP BY  asn_no ) t2 ON t2.asn_no = t1.asn_no ) WHERE t1.item_level_qty = t2.asn_level_qty ) )" connection="MAWM_SOA_PRD"</t>
  </si>
  <si>
    <t>2024-08-15T09:57:42-04:00</t>
  </si>
  <si>
    <t>FAR - MAWM - Missing Item Level Verification PIX</t>
  </si>
  <si>
    <t>| dbxquery query="select pt.warehouse, pt.asn_no asn_number, listagg(po.po_no,' , ') within group (order by pt.asn_no) purchase_orders, pt.pixid, pt.created_dttm from far_wmsods.pix_trx pt     left join (select distinct po_no, asn_no from far_wmsods.pix_trx t2 where pix_spec = 'SupplierReceiptId') po on po.asn_no = pt.asn_no WHERE pt.pix_spec = 'ASN Level' and pt.asn_type = 'P' AND pt.asn_no NOT IN (select asn_no from far_wmsods.pix_trx where pix_spec = 'ITEM_Level')     and created_dttm &gt;= sysdate -1 group by pt.asn_no, created_dttm, warehouse, pixid;" connection="MAWM_SOA_PRD"</t>
  </si>
  <si>
    <t>2024-05-17T13:01:22-04:00</t>
  </si>
  <si>
    <t>FAR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</si>
  <si>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'FAR'  AND O.STATUS = '8000';" connection="MAPRD_NEW"</t>
  </si>
  <si>
    <t>2024-05-17T15:12:38-04:00</t>
  </si>
  <si>
    <t>GRP - MAWM - Missing Item Level Verification PIX</t>
  </si>
  <si>
    <t>| dbxquery query="select pt.warehouse, pt.asn_no asn_number, listagg(po.po_no,' , ') within group (order by pt.asn_no) purchase_orders, pt.pixid, pt.created_dttm
from grp_wmsods.pix_trx pt
    left join (select distinct po_no, asn_no from grp_wmsods.pix_trx t2 where pix_spec = 'SupplierReceiptId') po on po.asn_no = pt.asn_no
WHERE pt.pix_spec = 'ASN Level'
and pt.asn_type = 'P'
        AND pt.asn_no not in (select asn_no from grp_wmsods.pix_trx where pix_spec = 'ITEM_Level')
    and created_dttm &gt;= sysdate -1
group by pt.asn_no, created_dttm, warehouse, pixid;" connection="MAWM_SOA_PRD"</t>
  </si>
  <si>
    <t>2024-05-17T18:29:14-04:00</t>
  </si>
  <si>
    <t>GRP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</si>
  <si>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'GRP'
 AND O.STATUS = '8000';" connection="MAPRD_NEW"</t>
  </si>
  <si>
    <t>2024-05-17T15:15:59-04:00</t>
  </si>
  <si>
    <t>GRP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</si>
  <si>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'GRP'
 AND O.ORDER_TYPE = 'Standard'
 AND O.MINIMUM_STATUS &lt; '8000'
 AND O.CREATED_TIMESTAMP &lt;= NOW() - INTERVAL 15 MINUTE
 AND O.DESIGNATED_SHIPMENT_ID NOT IN (SELECT DISTINCT SHIPMENT_ID FROM default_shipment.SHP_SHIPMENT S WHERE S.ORG_ID = O.ORG_ID)" connection="MAPRD_NEW"</t>
  </si>
  <si>
    <t>2023-07-06T17:25:29-04:00</t>
  </si>
  <si>
    <t>GRP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</si>
  <si>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grp_wmsods.pix_trx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grp_wmsods.pix_trx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grp_wmsods.pix_trx WHERE pix_spec = 'ITEM_Level' GROUP BY  asn_no ) t1 LEFT JOIN  (SELECT asn_no, sum(qty) asn_level_qty FROM grp_wmsods.pix_trx pt WHERE pix_spec = 'ASN Level' GROUP BY  asn_no ) t2 ON t2.asn_no = t1.asn_no ) WHERE t1.item_level_qty = t2.asn_level_qty ) ) " connection="MAWM_SOA_PRD"</t>
  </si>
  <si>
    <t>2024-08-15T09:59:53-04:00</t>
  </si>
  <si>
    <t>HOU - MAWM - Missing Item Level Verification PIX</t>
  </si>
  <si>
    <t>| dbxquery query="select pt.warehouse, pt.asn_no asn_number, listagg(po.po_no,' , ') within group (order by pt.asn_no) purchase_orders, pt.pixid, pt.created_dttm
from hou_wmsods.pix_trx pt
    left join (select distinct po_no, asn_no from hou_wmsods.pix_trx t2 where pix_spec = 'SupplierReceiptId') po on po.asn_no = pt.asn_no
WHERE pt.pix_spec = 'ASN Level'
and pt.asn_type = 'P'
        AND pt.asn_no NOT IN (select asn_no from hou_wmsods.pix_trx where pix_spec = 'ITEM_Level')
    and created_dttm &gt;= sysdate -1
group by pt.asn_no, created_dttm, warehouse, pixid;" connection="MAWM_SOA_PRD"</t>
  </si>
  <si>
    <t>2024-05-17T22:45:31-04:00</t>
  </si>
  <si>
    <t>HOU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</si>
  <si>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hou_wmsods.pix_trx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hou_wmsods.pix_trx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hou_wmsods.pix_trx WHERE pix_spec = 'ITEM_Level' GROUP BY  asn_no ) t1 LEFT JOIN  (SELECT asn_no, sum(qty) asn_level_qty FROM hou_wmsods.pix_trx pt WHERE pix_spec = 'ASN Level' GROUP BY  asn_no ) t2 ON t2.asn_no = t1.asn_no ) WHERE t1.item_level_qty = t2.asn_level_qty ) ) " connection="MAWM_SOA_PRD"</t>
  </si>
  <si>
    <t>2024-08-15T10:00:54-04:00</t>
  </si>
  <si>
    <t>IND - MAWM - Missing Item Level Verification PIX</t>
  </si>
  <si>
    <t>| dbxquery query="select pt.warehouse, pt.asn_no asn_number, listagg(po.po_no,' , ') within group (order by pt.asn_no) purchase_orders, pt.pixid, pt.created_dttm
from ind_wmsods.pix_trx pt
    left join (select distinct po_no, asn_no from ind_wmsods.pix_trx t2 where pix_spec = 'SupplierReceiptId') po on po.asn_no = pt.asn_no
WHERE pt.pix_spec = 'ASN Level'
and pt.asn_type = 'P'
        AND pt.asn_no NOT IN (select asn_no from ind_wmsods.pix_trx where pix_spec = 'ITEM_Level')
    and created_dttm &gt;= sysdate -1
group by pt.asn_no, created_dttm, warehouse, pixid;" connection="MAWM_SOA_PRD"</t>
  </si>
  <si>
    <t>2024-05-17T22:53:04-04:00</t>
  </si>
  <si>
    <t>IND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</si>
  <si>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ind_wmsods.pix_trx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ind_wmsods.pix_trx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ind_wmsods.pix_trx WHERE pix_spec = 'ITEM_Level' GROUP BY  asn_no ) t1 LEFT JOIN  (SELECT asn_no, sum(qty) asn_level_qty FROM ind_wmsods.pix_trx pt WHERE pix_spec = 'ASN Level' GROUP BY  asn_no ) t2 ON t2.asn_no = t1.asn_no ) WHERE t1.item_level_qty = t2.asn_level_qty ) ) " connection="MAWM_SOA_PRD"</t>
  </si>
  <si>
    <t>2024-08-15T10:06:44-04:00</t>
  </si>
  <si>
    <t>JAC - MAWM - Missing Item Level Verification PIX</t>
  </si>
  <si>
    <t>| dbxquery query="select pt.warehouse, pt.asn_no asn_number, listagg(po.po_no,' , ') within group (order by pt.asn_no) purchase_orders, pt.pixid, pt.created_dttm
from jac_wmsods.pix_trx pt
    left join (select distinct po_no, asn_no from jac_wmsods.pix_trx t2 where pix_spec = 'SupplierReceiptId') po on po.asn_no = pt.asn_no
WHERE pt.pix_spec = 'ASN Level'
and pt.asn_type = 'P'
        AND pt.asn_no not in (select asn_no from jac_wmsods.pix_trx where pix_spec = 'ITEM_Level')
    and created_dttm &gt;= sysdate -1
group by pt.asn_no, created_dttm, warehouse, pixid;" connection="MAWM_SOA_PRD"</t>
  </si>
  <si>
    <t>2024-05-20T11:57:55-04:00</t>
  </si>
  <si>
    <t>JAC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</si>
  <si>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jac_wmsods.pix_trx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jac_wmsods.pix_trx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jac_wmsods.pix_trx WHERE pix_spec = 'ITEM_Level' GROUP BY  asn_no ) t1 LEFT JOIN  (SELECT asn_no, sum(qty) asn_level_qty FROM jac_wmsods.pix_trx pt WHERE pix_spec = 'ASN Level' GROUP BY  asn_no ) t2 ON t2.asn_no = t1.asn_no ) WHERE t1.item_level_qty = t2.asn_level_qty ) ) " connection="MAWM_SOA_PRD"</t>
  </si>
  <si>
    <t>2024-08-15T10:08:04-04:00</t>
  </si>
  <si>
    <t>LAF - MAWM - Missing Item Level Verification PIX</t>
  </si>
  <si>
    <t>| dbxquery query="SELECT pt.warehouse,
 pt.asn_no asn_number,
 listagg(po.po_no,
 ' , ') within group (order by pt.asn_no) purchase_orders, pt.pixid, pt.created_dttm
 FROM laf_wmsods.pix_trx pt
 LEFT JOIN 
 (SELECT DISTINCT po_no,
 asn_no
 FROM laf_wmsods.pix_trx t2
 WHERE pix_spec = 'SupplierReceiptId') po
 ON po.asn_no = pt.asn_no
 WHERE pt.pix_spec = 'ASN Level'
 AND pt.asn_type = 'P'
 AND pt.asn_no NOT IN 
 (SELECT asn_no
 FROM laf_wmsods.pix_trx
 WHERE pix_spec = 'ITEM_Level')
 AND created_dttm &gt;= sysdate -1
 GROUP BY  pt.asn_no, created_dttm, warehouse, pixid;" connection="MAWM_SOA_PRD"</t>
  </si>
  <si>
    <t>2024-05-20T16:32:36-04:00</t>
  </si>
  <si>
    <t>LAF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</si>
  <si>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'LAF'
 AND O.ORDER_TYPE = 'Standard'
 AND O.MINIMUM_STATUS &lt; '8000'
 AND O.CREATED_TIMESTAMP &lt;= NOW() - INTERVAL 15 MINUTE
 AND O.DESIGNATED_SHIPMENT_ID NOT IN (SELECT DISTINCT SHIPMENT_ID FROM default_shipment.SHP_SHIPMENT S WHERE S.ORG_ID = O.ORG_ID)" connection="MAPRD_NEW"</t>
  </si>
  <si>
    <t>2022-11-22T16:05:29-05:00</t>
  </si>
  <si>
    <t>LAF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</si>
  <si>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laf_wmsods.pix_trx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laf_wmsods.pix_trx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laf_wmsods.pix_trx WHERE pix_spec = 'ITEM_Level' GROUP BY  asn_no ) t1 LEFT JOIN  (SELECT asn_no, sum(qty) asn_level_qty FROM laf_wmsods.pix_trx pt WHERE pix_spec = 'ASN Level' GROUP BY  asn_no ) t2 ON t2.asn_no = t1.asn_no ) WHERE t1.item_level_qty = t2.asn_level_qty ) ) " connection="MAWM_SOA_PRD"</t>
  </si>
  <si>
    <t>2024-08-15T10:09:08-04:00</t>
  </si>
  <si>
    <t>LUB - MAWM - Missing Item Level Verification PIX</t>
  </si>
  <si>
    <t>| dbxquery query="select pt.warehouse, pt.asn_no asn_number, listagg(po.po_no,' , ') within group (order by pt.asn_no) purchase_orders, pt.pixid, pt.created_dttm
from lub_wmsods.pix_trx pt
    left join (select distinct po_no, asn_no from lub_wmsods.pix_trx t2 where pix_spec = 'SupplierReceiptId') po on po.asn_no = pt.asn_no
WHERE pt.pix_spec = 'ASN Level'
and pt.asn_type = 'P'
        AND pt.asn_no not in (select asn_no from lub_wmsods.pix_trx where pix_spec = 'ITEM_Level')
    and created_dttm &gt;= sysdate -1
group by pt.asn_no, created_dttm, warehouse, pixid;" connection="MAWM_SOA_PRD"</t>
  </si>
  <si>
    <t>2024-05-20T16:36:55-04:00</t>
  </si>
  <si>
    <t>LUB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</si>
  <si>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lub_wmsods.pix_Trx WHERE pix_spec = 'ITEM_Level' GROUP BY  asn_no ) t1 LEFT JOIN  (SELECT asn_no, sum(qty) asn_level_qty FROM lub_wmsods.pix_Trx pt WHERE pix_spec = 'ASN Level' GROUP BY  asn_no ) t2 ON t2.asn_no = t1.asn_no ) WHERE t1.item_level_qty = t2.asn_level_qty ) )" connection="MAWM_SOA_PRD"</t>
  </si>
  <si>
    <t>2024-08-15T10:10:41-04:00</t>
  </si>
  <si>
    <t>MAWM - DYBD Assignments Not Set To Replenish</t>
  </si>
  <si>
    <t>| dbxquery query="SELECT lia.org_id, lia.location_id, lia.item_id, lia.is_replenishable, lia.current_uom_quantity, lia.created_timestamp, lia.updated_timestamp FROM default_dcinventory.DCI_LOCATION_ITEM_ASSIGNMENT lia JOIN default_dcinventory.DCI_LOCATION dl ON lia.location_id = dl.location_id AND substr(dl.profile_id,1,3) = lia.org_id WHERE dl.pick_allocation_zone_id ='DYBD' AND lia.is_replenishable ='0'; " connection="MAPRD_NEW"</t>
  </si>
  <si>
    <t>2022-04-06T17:15:24-04:00</t>
  </si>
  <si>
    <t>MAWM - LUB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</si>
  <si>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lub_wmsods.pix_trx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lub_wmsods.pix_trx
 WHERE  pix_spec IN ( 'SupplierReceiptId',
 'Inventory Adjustment' )
 ORDER  BY trx_time)fin
 GROUP  BY warehouse,
 asn_no,
 po_no,
 po_line,
 item_no) spl
 ON itlvl.po_no = spl.po_no
 AND itlvl.po_line = spl.po_line
 WHERE  itlvl.qty &lt;&gt; spl.rcv_qty" connection="MAWM_SOA_PRD"</t>
  </si>
  <si>
    <t>2023-11-01T12:08:59-04:00</t>
  </si>
  <si>
    <t>MAWM - Shipped oLPN With Inventory Record</t>
  </si>
  <si>
    <t>| dbxquery query="SELECT OLPN.ORG_iD, OLPN.OLPN_ID, LD.ITEM_iD FROM default_pickpack.PPK_OLPN OLPN LEFT JOIN default_pickpack.PPK_OLPN_DETAIL LD ON LD.OLPN_ID = OLPN.OLPN_ID LEFT JOIN default_dcorder.DCO_ORDER DO ON DO.ORDER_ID = OLPN.ORDER_ID WHERE OLPN.status = '8000' AND DO.minimum_status = '8000' AND OLPN.olpn_id IN  (SELECT DISTINCT INVENTORY_CONTAINER_ID FROM default_dcinventory.DCI_INVENTORY inv WHERE INVENTORY_CONTAINER_TYPE_ID = 'OLPN' AND ITEM_ID = LD.ITEM_ID AND INVENTORY_CONTAINER_ID = OLPN.OLPN_ID AND ORG_ID = OLPN.ORG_ID) " connection="MAPRD_NEW"</t>
  </si>
  <si>
    <t>2022-03-28T13:22:26-04:00</t>
  </si>
  <si>
    <t>MAWM â€“ Cycle Counts In Booking &gt; 2 Hours</t>
  </si>
  <si>
    <t>| dbxquery query="SELECT CNT_RUN.ORG_ID, CNT_STATUS.DESCRIPTION, CNT_RUN.LOCATION_ID, TIMESTAMPDIFF(HOUR, CNT_RUN.UPDATED_TIMESTAMP, NOW()) HOURS_STUCK, CNT_RUN.COUNT_RUN_ID, DATE_FORMAT(CNT_RUN.UPDATED_TIMESTAMP, '%Y-%m-%d %H:%i:%s') LAST_UPDATED_DTTM FROM default_inventory_management.INM_INVENTORY_COUNT_RUN CNT_RUN, default_inventory_management.INM_COUNT_STATUS CNT_STATUS WHERE CNT_RUN.STATUS = CNT_STATUS.STATUS_CODE_ID AND CNT_RUN.STATUS IN (35, 60) AND CNT_RUN.UPDATED_TIMESTAMP &lt; NOW() - INTERVAL 120 MINUTE ORDER BY  CNT_RUN.UPDATED_TIMESTAMP ASC " connection="MAPRD_NEW"</t>
  </si>
  <si>
    <t>2022-03-28T13:20:13-04:00</t>
  </si>
  <si>
    <t>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</si>
  <si>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('ABQ','ATL','ASH','DEN','DFB','LAF','LUB','NEW','OKL','OMA','RNDC')))
 ORDER BY  ou.primary_org_id, ou.user_id, role_org_id;" connection="MAPRD_NEW"</t>
  </si>
  <si>
    <t>2022-06-02T19:42:17-04:00</t>
  </si>
  <si>
    <t>MGH BM Waves for Simulation</t>
  </si>
  <si>
    <t>| dbxquery query="SELECT DISTINCT SWP.WAVE_DESC , S.SHIPMENT_REF_ID AS \"ROUTE\" , L.TRAILER_STOP_SEQ_NBR -1 AS \"STOP\" , AID.TC_ORDER_ID AS \"DO#\" , AID.CARTON_NBR AS OLPN , IC.ITEM_NAME AS SKU , LH.DSP_LOCN, LH.ZONE, LH.AISLE, LH.BAY, LH.LVL , SUBSTR(AID.TASK_GENRTN_REF_NBR, 1, 8) AS \"DATE\" , SUBSTR(AID.TASK_GENRTN_REF_NBR, 1, 12) AS \"PICK WAVE\" , AID.TASK_GENRTN_REF_NBR AS \"PACK WAVE\" , FLOOR(AID.QTY_ALLOC/CS.QUANTITY) AS \"CASES\" , MOD(AID.QTY_ALLOC, CS.QUANTITY) AS \"BOTTLES\" , TRUNC(AID.CREATE_DATE_TIME) AS \"Wave Run DATE\" FROM ALLOC_INVN_DTL AID LEFT JOIN SHIP_WAVE_PARM SWP ON SWP.PICK_WAVE_NBR = SUBSTR(AID.TASK_GENRTN_REF_NBR,1,12) LEFT JOIN LOCN_HDR LH ON LH.LOCN_ID = AID.PULL_LOCN_ID LEFT JOIN ITEM_CBO IC ON IC.ITEM_ID = AID.ITEM_ID LEFT JOIN ITEM_PACKAGE_CBO CS ON CS.ITEM_ID = AID.ITEM_ID AND CS.PACKAGE_UOM_ID = '117' AND CS.MARK_FOR_DELETION = '0' LEFT JOIN LPN L ON L.TC_LPN_ID = AID.CARTON_NBR LEFT JOIN SHIPMENT S ON S.SHIPMENT_ID = L.SHIPMENT_ID WHERE AID.CARTON_NBR IS NOT NULL AND AID.STAT_CODE != '99' AND AID.INVN_NEED_TYPE IN ('2','50','51') AND SWP.WAVE_DESC NOT IN ('CHAIN','WILL CALL (CH)') AND TRUNC(AID.CREATE_DATE_TIME) &gt; sysdate - 1 ORDER BY  13 desc, SUBSTR(AID.TASK_GENRTN_REF_NBR,1,12) ASC " connection="YMC_MGH_PROD"</t>
  </si>
  <si>
    <t>2022-04-07T08:18:27-04:00</t>
  </si>
  <si>
    <t>NEW - MAWM - Missing Item Level Verification PIX</t>
  </si>
  <si>
    <t>| dbxquery query="select pt.warehouse, pt.asn_no asn_number, listagg(po.po_no,' , ') within group (order by pt.asn_no) purchase_orders, pt.pixid, pt.created_dttm
from new_wmsods.pix_trx pt
    left join (select distinct po_no, asn_no from new_wmsods.pix_trx t2 where pix_spec = 'SupplierReceiptId') po on po.asn_no = pt.asn_no
WHERE pt.pix_spec = 'ASN Level'
and pt.asn_type = 'P'
        AND pt.asn_no not in (select asn_no from new_wmsods.pix_trx where pix_spec = 'ITEM_Level')
    and created_dttm &gt;= sysdate -1
group by pt.asn_no, created_dttm, warehouse, pixid;" connection="MAWM_SOA_PRD"</t>
  </si>
  <si>
    <t>2024-05-20T19:05:17-04:00</t>
  </si>
  <si>
    <t>NEW - MAWM - Standard Orders w/ No Designated Shipments Created</t>
  </si>
  <si>
    <t>| dbxquery query="SELECT O.ORG_ID, O.ORIGINAL_ORDER_ID AS \"ORDER\", O.ORDER_TYPE
 ,CONCAT(O.MAXIMUM_STATUS,'-',MAX_STAT.DESCRIPTION)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'NEW'
 AND O.ORDER_TYPE = 'Standard'
 AND O.MINIMUM_STATUS &lt; '8000'
 AND O.CREATED_TIMESTAMP &lt;= NOW() - INTERVAL 15 MINUTE
 AND O.DESIGNATED_SHIPMENT_ID NOT IN (SELECT DISTINCT SHIPMENT_ID FROM default_shipment.SHP_SHIPMENT S WHERE S.ORG_ID = O.ORG_ID)" connection="MAPRD_NEW"</t>
  </si>
  <si>
    <t>2023-03-31T09:19:13-04:00</t>
  </si>
  <si>
    <t>NEW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</si>
  <si>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new_wmsods.pix_trx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new_wmsods.pix_trx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new_wmsods.pix_trx WHERE pix_spec = 'ITEM_Level' GROUP BY  asn_no ) t1 LEFT JOIN  (SELECT asn_no, sum(qty) asn_level_qty FROM new_wmsods.pix_trx pt WHERE pix_spec = 'ASN Level' GROUP BY  asn_no ) t2 ON t2.asn_no = t1.asn_no ) WHERE t1.item_level_qty = t2.asn_level_qty ) ) " connection="MAWM_SOA_PRD"</t>
  </si>
  <si>
    <t>2024-08-15T10:12:13-04:00</t>
  </si>
  <si>
    <t>OKL - MAWM - Missing Item Level Verification PIX</t>
  </si>
  <si>
    <t>| dbxquery query="select pt.warehouse, pt.asn_no asn_number, listagg(po.po_no,' , ') within group (order by pt.asn_no) purchase_orders, pt.pixid, pt.created_dttm
from okl_wmsods.pix_trx pt
    left join (select distinct po_no, asn_no from okl_wmsods.pix_trx t2 where pix_spec = 'SupplierReceiptId') po on po.asn_no = pt.asn_no
WHERE pt.pix_spec = 'ASN Level'
and pt.asn_type = 'P'
        AND pt.asn_no not in (select asn_no from okl_wmsods.pix_trx where pix_spec = 'ITEM_Level')
    and created_dttm &gt;= sysdate -1
group by pt.asn_no, created_dttm, warehouse, pixid;" connection="MAWM_SOA_PRD"</t>
  </si>
  <si>
    <t>2024-05-21T23:54:45-04:00</t>
  </si>
  <si>
    <t>OKL - MAWM - Replenishment Tasks With Multiple Details For Same Item</t>
  </si>
  <si>
    <t>| dbxquery query="SELECT DISTINCT (th.task_id), th.org_id, th.created_timestamp, th.transaction_id, td.item_id, count(td.task_detail_id) FROM default_task.TSK_TASK_DETAIL td JOIN default_dcinventory.DCI_LOCATION dl ON td.working_location_id = dl.location_id AND dl.profile_id ='OKL_Fac_Prof' JOIN default_task.TSK_TASK th ON td.task_id = th.task_id AND th.org_id = td.org_id WHERE th.transaction_type_id ='Pick' AND th.transaction_id LIKE 'Replen Case%' AND th.created_timestamp &gt;= now() - INTERVAL 1 HOUR AND td.status ='8000' GROUP BY  th.task_id,th.org_id,th.created_timestamp,th.transaction_id,td.item_id HAVING count(td.task_detail_id) &gt; 1 " connection="MAPRD_NEW"</t>
  </si>
  <si>
    <t>2022-11-16T19:10:16-05:00</t>
  </si>
  <si>
    <t>OKL - MAWM - Routes With Multiple Wave Numbers</t>
  </si>
  <si>
    <t>|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'OKL'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'OKL' AND (OL.ORIGINAL_ORDER_PLANNING_RUN_ID IN  (SELECT RUN_ID FROM default_dcallocation.DCA_ALLOCATION_RUN WHERE CREATED_TIMESTAMP &gt; NOW() - INTERVAL 36 HOUR) OR OL.ORDER_PLANNING_RUN_ID IN  (SELECT RUN_ID FROM default_dcallocation.DCA_ALLOCATION_RUN WHERE CREATED_TIMESTAMP &gt; NOW() - INTERVAL 36 HOUR) ) ) T GROUP BY  T.ORG_ID, T.EXT_ROUTE_ID HAVING count(DISTINCT WAVE_NBR) &gt; 1 " connection="MAPRD_NEW"</t>
  </si>
  <si>
    <t>2024-04-22T15:01:50-04:00</t>
  </si>
  <si>
    <t>OKL - MAWM - Standard Orders w/ No Designated Shipments Created</t>
  </si>
  <si>
    <t>| dbxquery query="SELECT O.ORG_ID, O.ORIGINAL_ORDER_ID AS \"ORDER\", O.ORDER_TYPE , CONCAT(O.MAXIMUM_STATUS, '-',MAX_STAT.DESCRIPTION) MAX_STATUS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'OKL' AND O.ORDER_TYPE = 'Standard' AND O.MINIMUM_STATUS &lt; '8000' AND O.CREATED_TIMESTAMP &lt;= NOW() - INTERVAL 5 MINUTE AND O.DESIGNATED_SHIPMENT_ID NOT IN  (SELECT DISTINCT SHIPMENT_ID FROM default_shipment.SHP_SHIPMENT S WHERE S.ORG_ID = O.ORG_ID)" connection="MAPRD_NEW"</t>
  </si>
  <si>
    <t>2022-12-28T10:15:58-05:00</t>
  </si>
  <si>
    <t>OKL - MAWM - Users w/ Incorrect User Default Configuration</t>
  </si>
  <si>
    <t>| dbxquery query="SELECT SUBSTR(PROFILE_ID, 1, 3) ORG_ID, USER_ID, TASK_GROUP_DEFAULT_BEHAVIOR_ID FROM default_task.TSK_USER_DEFAULTS WHERE SUBSTR(PROFILE_ID,1,3) = 'OKL' AND ((task_group_default_behavior_id &lt;&gt; 'Select' AND task_group_default_behavior_id &lt;&gt; 'None') OR (task_group_id is null AND task_group_default_behavior_id = 'None'));" connection="MAPRD_NEW"</t>
  </si>
  <si>
    <t>Open the User Defaults UI and set the â€œTask group default behaviorâ€ field to â€˜Selectâ€™ for the user.</t>
  </si>
  <si>
    <t>2024-04-22T15:29:53-04:00</t>
  </si>
  <si>
    <t>OKL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</si>
  <si>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okl_wmsods.pix_trx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okl_wmsods.pix_trx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okl_wmsods.pix_Trx WHERE pix_spec = 'ITEM_Level' GROUP BY  asn_no ) t1 LEFT JOIN  (SELECT asn_no, sum(qty) asn_level_qty FROM okl_wmsods.pix_Trx pt WHERE pix_spec = 'ASN Level' GROUP BY  asn_no ) t2 ON t2.asn_no = t1.asn_no ) WHERE t1.item_level_qty = t2.asn_level_qty ) )" connection="MAWM_SOA_PRD"</t>
  </si>
  <si>
    <t>2024-08-15T10:13:41-04:00</t>
  </si>
  <si>
    <t>OMA - MAWM - Missing Item Level Verification PIX</t>
  </si>
  <si>
    <t>| dbxquery query="select pt.warehouse, pt.asn_no asn_number, listagg(po.po_no,' , ') within group (order by pt.asn_no) purchase_orders, pt.pixid, pt.created_dttm
from oma_wmsods.pix_trx pt
    left join (select distinct po_no, asn_no from oma_wmsods.pix_trx t2 where pix_spec = 'SupplierReceiptId') po on po.asn_no = pt.asn_no
WHERE pt.pix_spec = 'ASN Level'
and pt.asn_type = 'P'
        AND pt.asn_no not in (select asn_no from oma_wmsods.pix_trx where pix_spec = 'ITEM_Level')
    and created_dttm &gt;= sysdate -1
group by pt.asn_no, created_dttm, warehouse, pixid;" connection="MAWM_SOA_PRD"</t>
  </si>
  <si>
    <t>2024-05-22T01:05:52-04:00</t>
  </si>
  <si>
    <t>OMA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</si>
  <si>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oma_wmsods.pix_trx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oma_wmsods.pix_trx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oma_wmsods.pix_trx WHERE pix_spec = 'ITEM_Level' GROUP BY  asn_no ) t1 LEFT JOIN  (SELECT asn_no, sum(qty) asn_level_qty FROM oma_wmsods.pix_trx pt WHERE pix_spec = 'ASN Level' GROUP BY  asn_no ) t2 ON t2.asn_no = t1.asn_no ) WHERE t1.item_level_qty = t2.asn_level_qty ) ) " connection="MAWM_SOA_PRD"</t>
  </si>
  <si>
    <t>2024-08-15T10:15:17-04:00</t>
  </si>
  <si>
    <t>ORL - MAWM - Inventory Balance Report</t>
  </si>
  <si>
    <t>| dbxquery query="SELECT VELOCITY.FACILITY_ID , OHQ.ITEM_ID \"SKU\" , OHQ.DESCRIPTION \"SKU Description\" , OHQ.SUPPLIER_NUMBER AS \"Supplier Number\" , OHQ.COMPANY_NAME AS \"Supplier Name\" , CASE WHEN MSTR.FORECAST_1 IS NULL THEN 0 ELSE MSTR.FORECAST_1 END AS \"Forecast\" , CASE WHEN MSTR.FORECAST_2 IS NULL THEN 0 ELSE MSTR.FORECAST_2 END AS \"Forecast (+1 Month)\" , OHQ.PURCHASE_CODE \"ASW Purchase Code\" , OHQ.EXT_MONITOR_CODE \"ASW Monitor Code\" , CASE WHEN PO_QTY.CASES IS NULL THEN 0 ELSE PO_QTY.CASES END AS \"PO Cases ON Order\" , CASE WHEN VELOCITY.MONTH_TO_DATE_CASES IS NULL THEN 0 ELSE VELOCITY.MONTH_TO_DATE_CASES END AS \"Case Sales (MTD)\" , CASE WHEN OHQ.OSS IS NULL THEN 0 ELSE OHQ.OSS END AS \"OSS Cases\" , CASE WHEN OHQ.DC_ALLOCATABLE IS NULL THEN 0 ELSE OHQ.DC_ALLOCATABLE END AS \"DC Allocatable Cases\" , CASE WHEN OHQ.DC_RCV_DOCK IS NULL THEN 0 ELSE OHQ.DC_RCV_DOCK END AS \"DC Receiving Dock\" , CASE WHEN OHQ.DC_OSS_DOCK IS NULL THEN 0 ELSE OHQ.DC_OSS_DOCK END AS \"DC OSS Dock\" , CASE WHEN OHQ.DC_OTHER_NON_ALLOC IS NULL THEN 0 ELSE OHQ.DC_OTHER_NON_ALLOC END AS \"DC Other Non-Allocatable\" , CASE WHEN OHQ.TOTAL_CASES IS NULL THEN 0 ELSE OHQ.TOTAL_CASES END AS \"Total Cases\" , CASE WHEN VELOCITY.CASES_PER_DAY IS NULL THEN 0 ELSE VELOCITY.CASES_PER_DAY END AS \"Cases Per Day\" , CASE WHEN OHQ.DC_ALLOCATABLE IS NULL THEN 0 ELSE ROUND(OHQ.DC_ALLOCATABLE/VELOCITY.CASES_PER_DAY,3) END AS \"Allocatable Days ON Hand\" , '10' AS \"Desired DOH\" , OHQ.PALLET_QTY \"Pallet Qty\" ,OSS_LOCATIONS FROM  (SELECT ITEM.ITEM_ID, ITEM.DESCRIPTION, ROUND(PLT.QUANTITY/QPC.QUANTITY) PALLET_QTY, ITEM.EXT_MONITOR_CODE, SUBSTR(ITEM.EXT_MTSR_BRAND_CODE, 3, 1) PURCHASE_CODE , ITEM.VENDOR_ID SUPPLIER_NUMBER, VEN.COMPANY_NAME , (SELECT FLOOR(SUM(INVN.ON_HAND/ITEM.EXT_QPC)) FROM default_dcinventory.DCI_INVENTORY INVN WHERE INVN.ORG_ID = SUBSTR(ITEM.PROFILE_ID,1,3) AND ITEM.ITEM_ID = INVN.ITEM_ID ) TOTAL_CASES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'DOCK%' AND LOCATION_ID NOT LIKE 'DCDOCK%' )) DC_RCV_DOCK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LOCATION_ID LIKE 'DCDOCK%' )) DC_OSS_DOCK , (SELECT FLOOR(SUM(INVN.ON_HAND/ITEM.EXT_QPC)) FROM default_dcinventory.DCI_INVENTORY INVN WHERE INVN.ORG_ID = SUBSTR(ITEM.PROFILE_ID,1,3) AND ITEM.ITEM_ID = INVN.ITEM_ID AND INVENTORY_CONTAINER_TYPE_ID = 'ILPN' AND LOCATION_ID IN  (SELECT LOCATION_ID FROM default_dcinventory.DCI_LOCATION LOC WHERE SUBSTR(LOC.PROFILE_ID,1,3) = INVN.ORG_ID AND LOC.STORAGE_UOM_ID = 'LPN' AND LOC.TASK_MOVEMENT_ZONE_ID = 'RSV-JES' )) OSS , (SELECT FLOOR(SUM(INVN.ON_HAND/ITEM.EXT_QPC)) FROM default_dcinventory.DCI_INVENTORY INVN WHERE INVN.ORG_ID = SUBSTR(ITEM.PROFILE_ID,1,3) AND ITEM.ITEM_ID = INVN.ITEM_ID AND INVENTORY_CONTAINER_TYPE_ID = 'ILPN' AND INVN.INVENTORY_CONTAINER_ID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DC_OTHER_NON_ALLOC , (SELECT FLOOR(SUM(INVN.ON_HAND/ITEM.EXT_QPC)) FROM default_dcinventory.DCI_INVENTORY INVN WHERE INVN.ORG_ID = SUBSTR(ITEM.PROFILE_ID,1,3) AND ITEM.ITEM_ID = INVN.ITEM_ID AND INVENTORY_CONTAINER_TYPE_ID = 'ILPN' AND INVN.INVENTORY_CONTAINER_ID NOT IN  (SELECT INVENTORY_CONTAINER_ID FROM default_dcinventory.DCI_CONTAINER_CONDITION CC WHERE CC.ORG_ID = INVN.ORG_ID) AND LOCATION_ID IN  (SELECT LOCATION_ID FROM default_dcinventory.DCI_LOCATION LOC WHERE SUBSTR(LOC.PROFILE_ID,1,3) = INVN.ORG_ID AND LOC.STORAGE_UOM_ID = 'LPN' AND LOC.LOCATION_ID NOT LIKE '%DOCK%' AND LOC.TASK_MOVEMENT_ZONE_ID &lt;&gt; 'RSV-JES' )) DC_ALLOCATABLE , (SELECT GROUP_CONCAT(INVN.LOCATION_ID) FROM default_dcinventory.DCI_INVENTORY INVN WHERE INVN.ORG_ID = SUBSTR(ITEM.PROFILE_ID,1,3) AND ITEM.ITEM_ID = INVN.ITEM_ID AND INVENTORY_CONTAINER_TYPE_ID = 'ILPN' AND INVN.LOCATION_ID IN  (SELECT LOCATION_ID FROM default_dcinventory.DCI_LOCATION LOC WHERE SUBSTR(LOC.PROFILE_ID,1,3) = INVN.ORG_ID AND LOC.STORAGE_UOM_ID = 'LPN' AND LOC.TASK_MOVEMENT_ZONE_ID = 'RSV-JES')) OSS_LOCATIONS FROM default_item_master.ITE_ITEM ITEM LEFT JOIN default_item_master.ITE_ITEM_PACKAGE PLT ON PLT.PROFILE_ID = ITEM.PROFILE_ID AND PLT.ITEM_PK = ITEM.PK AND PLT.UOM_ID = 'Pallets' LEFT JOIN default_item_master.ITE_ITEM_PACKAGE QPC ON QPC.PROFILE_ID = ITEM.PROFILE_ID AND QPC.ITEM_PK = ITEM.PK AND QPC.UOM_ID = 'Cases' LEFT JOIN default_vendor.VEN_VENDOR VEN ON VEN.PROFILE_ID = ITEM.PROFILE_ID AND VEN.VENDOR_ID = ITEM.VENDOR_ID WHERE 1=1 AND ITEM.PROFILE_ID LIKE 'ORL%' AND ITEM.ITEM_ID IN  (SELECT ITEM_ID FROM default_dcinventory.DCI_INVENTORY INVN WHERE INVN.INVENTORY_CONTAINER_TYPE_ID = 'ILPN' AND INVN.LOCATION_ID IN  (SELECT LOCATION_ID FROM default_dcinventory.DCI_LOCATION LOC WHERE SUBSTR(LOC.PROFILE_ID,1,3) = INVN.ORG_ID AND LOC.STORAGE_UOM_ID = 'LPN' AND LOC.TASK_MOVEMENT_ZONE_ID = 'RSV-JES' ) ) ) OHQ LEFT OUTER JOIN  (SELECT ROUND(CASES/DAYS_COUNT, 3) CASES_PER_DAY, DAYS.FACILITY_ID, ITEM_ID, ROUND(MONTH_TO_DATE_CASES, 3) MONTH_TO_DATE_CASES FROM  (SELECT SUM(CASES) CASES , SUM(MONTH_TO_DATE_CASES) MONTH_TO_DATE_CASES, ITEM_ID, FACILITY_ID FROM  (SELECT DATE_FORMAT(OLI.CREATED_TIMESTAMP, '%M'), DATE_FORMAT(NOW(),'%M') ,CASE WHEN (DATE_FORMAT(OLI.CREATED_TIMESTAMP,'%M') = DATE_FORMAT(NOW(),'%M')) AND ITEM.EXT_QPC &gt; 0 AND ITEM.EXT_QPC IS NOT NULL THEN OLI.EXT_ORIGINAL_ORDER_LINE_QUANTITY/ITEM.EXT_QPC END AS MONTH_TO_DATE_CASES ,OLI.FACILITY_ID, O.ORDER_TYPE ,CASE WHEN ITEM.EXT_QPC = 0 OR ITEM.EXT_QPC IS NULL THEN 0 ELSE OLI.EXT_ORIGINAL_ORDER_LINE_QUANTITY/ITEM.EXT_QPC END AS CASES ,OLI.ITEM_ID ,O.ORIGINAL_ORDER_ID, O.MINIMUM_STATUS, O.CREATED_TIMESTAMP FROM default_dcorder.DCO_ORIGINAL_ORDER_LINE OLI LEFT JOIN default_item_master.ITE_ITEM ITEM ON SUBSTR(ITEM.PROFILE_ID,1,3) = OLI.ORG_ID AND OLI.ITEM_ID = ITEM.ITEM_ID LEFT JOIN default_dcorder.DCO_ORIGINAL_ORDER O ON O.ORG_ID = OLI.ORG_ID AND O.PK = OLI.ORIGINAL_ORDER_PK WHERE OLI.ORG_ID = 'ORL' AND OLI.CREATED_TIMESTAMP &gt; NOW() - INTERVAL 90 DAY ) ORDER_TABLE GROUP BY  ITEM_ID, FACILITY_ID ) CASES_ORDERED LEFT JOIN  (SELECT FACILITY_ID, COUNT(DISTINCT(DATE(CREATED_TIMESTAMP)))-1 DAYS_COUNT FROM default_dcorder.DCO_ORIGINAL_ORDER O WHERE ORG_ID = 'ORL' AND ORDER_TYPE = 'Standard' AND CREATED_TIMESTAMP &gt; NOW() - INTERVAL 90 DAY GROUP BY  FACILITY_ID ) DAYS ON CASES_ORDERED.FACILITY_ID = DAYS.FACILITY_ID ) VELOCITY ON OHQ.ITEM_ID = VELOCITY.ITEM_ID LEFT JOIN  (SELECT ITEM_ID, SUM(CASES) CASES FROM  (SELECT ITEM.ITEM_ID, PO.PURCHASE_ORDER_ID, ROUND(POLI.ORDER_QUANTITY/ITEM.EXT_QPC) CASES, PO.PURCHASE_ORDER_STATUS FROM default_receiving.RCV_PURCHASE_ORDER PO LEFT JOIN default_receiving.RCV_PURCHASE_ORDER_LINE POLI ON POLI.ORG_ID = PO.ORG_ID AND PO.PURCHASE_ORDER_ID = POLI.PURCHASE_ORDER_ID LEFT JOIN default_item_master.ITE_ITEM ITEM ON SUBSTR(ITEM.PROFILE_ID,1,3) = POLI.ORG_ID AND POLI.ITEM_ID = ITEM.ITEM_ID WHERE PO.ORG_ID = 'ORL' AND PO.PURCHASE_ORDER_STATUS &lt; 9000 AND POLI.CLOSED = '0' AND POLI.CANCELED = '0' AND POLI.ORDER_QUANTITY &gt; 0 ) PO_CASES GROUP BY  ITEM_ID ) PO_QTY ON OHQ.ITEM_ID = PO_QTY.ITEM_ID LEFT JOIN default_mstr_forecast.MSTR_FORECAST MSTR ON MSTR.HOUSE_DESC = 'ORL' AND MSTR.PRODUCT_ID = OHQ.ITEM_ID ;" connection="MAPRD_NEW"</t>
  </si>
  <si>
    <t>2023-07-22T09:10:38-04:00</t>
  </si>
  <si>
    <t>ORL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</si>
  <si>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orl_wmsods.pix_trx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orl_wmsods.pix_trx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orl_wmsods.pix_trx WHERE pix_spec = 'ITEM_Level' GROUP BY  asn_no ) t1 LEFT JOIN  (SELECT asn_no, sum(qty) asn_level_qty FROM orl_wmsods.pix_trx pt WHERE pix_spec = 'ASN Level' GROUP BY  asn_no ) t2 ON t2.asn_no = t1.asn_no ) WHERE t1.item_level_qty = t2.asn_level_qty ) ) " connection="MAWM_SOA_PRD"</t>
  </si>
  <si>
    <t>2024-08-15T10:16:56-04:00</t>
  </si>
  <si>
    <t>ORL - MAWM - Missing Item Level Verification PIX</t>
  </si>
  <si>
    <t>| dbxquery query="select pt.warehouse, pt.asn_no asn_number, listagg(po.po_no,' , ') within group (order by pt.asn_no) purchase_orders, pt.pixid, pt.created_dttm
from orl_wmsods.pix_trx pt
    left join (select distinct po_no, asn_no from orl_wmsods.pix_trx t2 where pix_spec = 'SupplierReceiptId') po on po.asn_no = pt.asn_no
WHERE pt.pix_spec = 'ASN Level'
and pt.asn_type = 'P'
        AND pt.asn_no not in (select asn_no from orl_wmsods.pix_trx where pix_spec = 'ITEM_Level')
    and created_dttm &gt;= sysdate -1
group by pt.asn_no, created_dttm, warehouse, pixid;" connection="MAWM_SOA_PRD"</t>
  </si>
  <si>
    <t>2024-05-22T00:45:52-04:00</t>
  </si>
  <si>
    <t>RVR - Inactive Items With Inventory</t>
  </si>
  <si>
    <t>| dbxquery query="SELECT   item_name, 
 xxm.Item_Description,
 On_Hand_Qty,
 xxm.cost item_cost,
 On_Hand_Qty * xxm.cost total_cost,
 xxm.Supplier,
 ma_onhnd.Organization_Code,
 xxm.primary_uom,
 CAST(xxm.Inactive_date as DATE),
 xxm.Qty_per_CS
 FROM   apps.XXYH_INACTIVE_ITEMS_MA_OH_V@MHWMS_2_EBS xxm,
 (  SELECT   SUM (On_Hand_Qty) On_Hand_Qty,
 Item_Name,
 Organization_Id,
 Organization_Code
 FROM   (
 SELECT   On_Hand_Qty,
 Item_Name,
 Organization_Id,
 Organization_Code
 FROM   wmsrvr.Xxyh_rvr_Item_On_Hand_V
 )
 WHERE   1 = 1 AND On_Hand_Qty &gt; 0
 GROUP BY   Item_Name, Organization_Id, Organization_Code) ma_onhnd
 WHERE       1 = 1
 AND xxm.Organization_Id = ma_onhnd.Organization_Id
 AND xxm.item = ma_onhnd.item_name
 AND ma_onhnd.ORGANIZATION_CODE = 'RVR'
 ORDER BY   cost DESC, ma_onhnd.Organization_Code, ma_onhnd.item_name" connection="YMC_RVR_PROD"</t>
  </si>
  <si>
    <t>2024-04-12T15:56:55-04:00</t>
  </si>
  <si>
    <t>RVR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</si>
  <si>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connection="YMC_RVR_PROD"</t>
  </si>
  <si>
    <t>2023-02-09T13:47:47-05:00</t>
  </si>
  <si>
    <t>SAA -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</si>
  <si>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saa_wmsods.pix_trx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saa_wmsods.pix_trx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saa_wmsods.pix_trx WHERE pix_spec = 'ITEM_Level' GROUP BY  asn_no ) t1 LEFT JOIN  (SELECT asn_no, sum(qty) asn_level_qty FROM saa_wmsods.pix_trx pt WHERE pix_spec = 'ASN Level' GROUP BY  asn_no ) t2 ON t2.asn_no = t1.asn_no ) WHERE t1.item_level_qty = t2.asn_level_qty ) ) " connection="MAWM_SOA_PRD"</t>
  </si>
  <si>
    <t>2024-08-14T09:37:40-04:00</t>
  </si>
  <si>
    <t>SAA - MAWM - Missing Item Level Verification PIX</t>
  </si>
  <si>
    <t>| dbxquery query="select pt.warehouse, pt.asn_no asn_number, listagg(po.po_no,' , ') within group (order by pt.asn_no) purchase_orders, pt.pixid, pt.created_dttm from saa_wmsods.pix_trx pt     left join (select distinct po_no, asn_no from saa_wmsods.pix_trx t2 where pix_spec = 'SupplierReceiptId') po on po.asn_no = pt.asn_no WHERE pt.pix_spec = 'ASN Level' and pt.asn_type = 'P' AND pt.asn_no not in (select asn_no from saa_wmsods.pix_trx where pix_spec = 'ITEM_Level')     and created_dttm &gt;= sysdate -1 group by pt.asn_no, created_dttm, warehouse, pixid;" connection="MAWM_SOA_PRD"</t>
  </si>
  <si>
    <t>2024-05-22T00:26:12-04:00</t>
  </si>
  <si>
    <t>SAA - MAWM - Shipped oLPN w/ Consolidation Location Assignment</t>
  </si>
  <si>
    <t>|  dbxquery query="select CLIA.ORG_ID, CLIA.LPN_ID, CLIA.LOCATION_ID, CLIA.PK , CLIA.UPDATED_TIMESTAMP, CONCAT(O.STATUS,'-',STAT.DESCRIPTION) OLPN_STATUS  from default_dcconsolidation.SLA_LPN_LOCATION_ASSIGNMENT CLIA   LEFT JOIN default_pickpack.PPK_OLPN O ON O.ORG_ID = CLIA.ORG_ID AND CLIA.LPN_ID = O.OLPN_ID  LEFT JOIN default_pickpack.PPK_OLPN_STATUS STAT ON STAT.OLPN_STATUS_ID = O.STATUS  WHERE CLIA.ORG_ID = 'SAA'  AND O.STATUS = '8000';" connection="MAPRD_NEW"</t>
  </si>
  <si>
    <t>SAA- MAWM - Shipped oLPN w/ Consolidation Location Assignment</t>
  </si>
  <si>
    <t>2024-05-17T15:20:58-04:00</t>
  </si>
  <si>
    <t>SIO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</si>
  <si>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sio_wmsods.pix_trx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sio_wmsods.pix_trx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sio_wmsods.pix_trx WHERE pix_spec = 'ITEM_Level' GROUP BY  asn_no ) t1 LEFT JOIN  (SELECT asn_no, sum(qty) asn_level_qty FROM sio_wmsods.pix_trx pt WHERE pix_spec = 'ASN Level' GROUP BY  asn_no ) t2 ON t2.asn_no = t1.asn_no ) WHERE t1.item_level_qty = t2.asn_level_qty ) ) " connection="MAWM_SOA_PRD"</t>
  </si>
  <si>
    <t>2024-08-15T10:18:03-04:00</t>
  </si>
  <si>
    <t>STAGE - ALL -  MAWM - Multiple Inventory Records for the Same Location/Item</t>
  </si>
  <si>
    <t>| dbxquery query="SELECT ORG_ID, LOCATION_ID, ITEM_ID, COUNT(*) FROM default_dcinventory.DCI_INVENTORY WHERE INVENTORY_CONTAINER_TYPE_ID IN ('LOCATION') AND ORG_ID NOT IN ('NEWQA','NEWSDN') GROUP BY  ORG_ID, LOCATION_ID, ITEM_ID HAVING COUNT(*) &gt; 1;" connection="MASTG_NEW"</t>
  </si>
  <si>
    <t>2024-02-19T10:26:49-05:00</t>
  </si>
  <si>
    <t>STAGE - ALL - MAWM - ASN in In Planning status, details do not have a status</t>
  </si>
  <si>
    <t>| dbxquery query="Select 
 ASN.ORG_ID, 
 ASN.ASN_ID, 
 ASN.CREATED_TIMESTAMP, 
 ASN.ASN_STATUS,
 ASNLINE.ASN_LINE_ID
 From default_receiving.RCV_ASN ASN, 
 default_receiving.RCV_ASN_LINE ASNLINE
 Where ASN.ORG_ID = ASNLINE.ORG_ID and
 ASN.ASN_ID = ASNLINE.ASN_ID and 
 ASN.ASN_STATUS = '0000' AND ASN.ORG_ID NOT IN ('NEWQA','NEWSDN')" connection="MASTG_NEW"</t>
  </si>
  <si>
    <t>2024-02-19T10:27:41-05:00</t>
  </si>
  <si>
    <t>STAGE - ALL - MAWM - Allocated LPNs With No Open Task Details</t>
  </si>
  <si>
    <t>| dbxquery query="select org_id,ilpn_id,item_id,allocated,lpn_status,tds.min_task_status
 from (
 select distinct (dl.org_id),dl.ilpn_id,dci.item_id,dci.allocated,dls.description lpn_status,min(td.status)td_status
 from default_dcinventory.DCI_ILPN dl
 join default_dcinventory.DCI_ILPN_STATUS dls on dl.status = dls.ilpn_status_id
 join default_dcinventory.DCI_INVENTORY dci on dl.ilpn_id = dci.ilpn_id and dci.org_id = dci.org_id
 join default_task.TSK_TASK_DETAIL td on dl.ilpn_id = td.source_container_id 
 where dl.status in ('4000','5000')
 group by dl.org_id,dl.ilpn_id,dci.item_id,dci.allocated,dls.description) lpn
 join 
 (select description min_task_status,task_detail_status_id
 from default_task.TSK_TASK_DETAIL_STATUS)tds on lpn.td_status = tds.task_detail_status_id
 where lpn_status in ('Partially Allocated','Allocated')
 and tds.min_task_status in ('Completed','Consumed')
 order by org_id,ilpn_id
" connection="MASTG_NEW"</t>
  </si>
  <si>
    <t>2024-02-19T10:29:41-05:00</t>
  </si>
  <si>
    <t>STAGE - ALL - MAWM - Allocation in Allocated Status With Closed Task Details</t>
  </si>
  <si>
    <t>| dbxquery query="select org_id,pk,allocation_id,task_id,task_detail_id,type_id,item_id,quantity,source_locn,dest_locn,created_timestamp
from (
SELECT dca.org_id, dca.pk, dca.allocation_id, td.task_id,td.task_detail_id,td.type_id,dca.item_id,dca.quantity,sourc.location_id as source_locn,dest.location_id as dest_locn,td.created_timestamp
FROM default_workrelease.WR_ALLOCATION dca 
JOIN default_task.TSK_TASK_DETAIL td ON dca.org_id = td.org_id AND dca.allocation_id = td.allocation_id 
left join default_dcinventory.DCI_LOCATION dest on dca.to_location_id = dest.location_id and dca.org_id = substr(dest.profile_id,1,3)
left join default_dcinventory.DCI_LOCATION sourc on dca.location_id = sourc.location_id and dca.org_id = substr(sourc.profile_id,1,3)
WHERE dca.type_id in ('REPLENISHMENT','PICK/PACK') AND dca.status_id ='2000.0' AND td.status &gt;= '8000' AND dca.ORG_ID NOT IN ('NEWQA','NEWSDN') 
ORDER BY  dca.org_id)task;" connection="MASTG_NEW"</t>
  </si>
  <si>
    <t>2024-02-19T10:29:59-05:00</t>
  </si>
  <si>
    <t>STAGE - ALL - MAWM - Cancelled oLPN w/ Open Task Details</t>
  </si>
  <si>
    <t>| dbxquery query="SELECT TSK.ORG_ID , TSK.TASK_ID , TSK.STATUS , CONCAT(TSK.STATUS, '-',TS.DESCRIPTION) TASK_HDR_STAT , CONCAT(TD.STATUS,'-',TDS.DESCRIPTION) TASK_DTL_STAT , TD.SOURCE_CONTAINER_ID , TD.TASK_DETAIL_ID , TD.OLPN_ID , CONCAT(OLPN.STATUS,'-',OSTAT.DESCRIPTION) OLPN_STATUS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LEFT JOIN default_pickpack.PPK_OLPN OLPN ON OLPN.OLPN_ID = TD.OLPN_ID AND OLPN.ORG_ID = TD.ORG_ID LEFT JOIN default_pickpack.PPK_OLPN_STATUS OSTAT ON OSTAT.OLPN_STATUS_ID = OLPN.STATUS WHERE 1=1 AND TD.STATUS &lt; 8000 AND OSTAT.OLPN_STATUS_ID = '9000' AND TSK.ORG_ID NOT IN ('NEWQA','NEWSDN') ORDER BY  TSK.TASK_ID, SEQUENCE " connection="MASTG_NEW"</t>
  </si>
  <si>
    <t>2024-02-19T10:30:58-05:00</t>
  </si>
  <si>
    <t>STAGE - ALL - MAWM - Cancelled oLPNs With Inventory Records</t>
  </si>
  <si>
    <t>| dbxquery query="SELECT dci.org_id, inventory_container_id, olp.status, dci.inventory_container_type_id, dci.item_id, dci.on_hand, dci.manufactured_date, dci.inventory_id, dci.process
, dci.updated_timestamp as dci_updated_timestamp, olp.updated_timestamp as olp_updated_timestamp, dci.updated_by
FROM default_dcinventory.DCI_INVENTORY dci 
JOIN default_pickpack.PPK_OLPN olp ON dci.org_id = olp.org_id 
AND dci.inventory_container_id = olp.olpn_id 
WHERE dci.inventory_container_type_id ='OLPN'
AND olp.status ='9000' ORDER BY  dci.org_id" connection="MASTG_NEW"</t>
  </si>
  <si>
    <t>2024-02-15T21:33:27-05:00</t>
  </si>
  <si>
    <t>STAGE - ALL - MAWM - Consumed or Cancelled LPNs with Quantity</t>
  </si>
  <si>
    <t>| dbxquery query="select I.org_id, I.ILPN_ID, I.ITEM_ID, I.on_hand, INVN.STATUS
 from default_dcinventory.DCI_INVENTORY I
 join  default_dcinventory.DCI_ILPN INVN on I.ORG_ID = INVN.ORG_ID and I.iLPN_ID = INVN.ILPN_ID
 where I.on_hand &lt;&gt; 0  and I.ilpn_id is not null and status in ('9000','11000') AND I.ORG_ID NOT IN ('NEWQA','NEWSDN') order by 1, 2 asc;
 " connection="MASTG_NEW"</t>
  </si>
  <si>
    <t>2024-02-19T10:31:17-05:00</t>
  </si>
  <si>
    <t>STAGE - ALL - MAWM - Consumed/Cancelled LPNs with Allocated Quantity</t>
  </si>
  <si>
    <t>| dbxquery query="SELECT dci.org_id, dci.ilpn_id, ls.description, dci.item_id, dci.allocated, dci.on_hand, dci.updated_timestamp FROM default_dcinventory.DCI_INVENTORY dci JOIN default_dcinventory.DCI_ILPN l ON dci.ilpn_id = l.ilpn_id JOIN default_dcinventory.DCI_ILPN_STATUS ls ON l.status = ls.ilpn_status_id WHERE ls.description IN ('CANCELLED','CONSUMED') AND dci.on_hand ='0.0000' AND dci.allocated &gt; 0 AND dci.ORG_ID NOT IN ('NEWQA','NEWSDN') ORDER BY  org_id,ilpn_id; " connection="MASTG_NEW"</t>
  </si>
  <si>
    <t>2024-02-19T10:31:31-05:00</t>
  </si>
  <si>
    <t>STAGE - ALL - MAWM - DYBD Assignments Not Set To Replenish</t>
  </si>
  <si>
    <t>| dbxquery query="select * from default_dcinventory.DCI_LOCATION_ITEM_ASSIGNMENT  where location_id='DYBD' and IS_REPLENISHABLE='0' AND ORG_ID NOT IN ('NEWQA','NEWSDN'); " connection="MASTG_NEW"</t>
  </si>
  <si>
    <t>In the Location Item Assignments UI, find this item assignment and delete the location item assignment. Next time that SKU is on an order line for loose bottles it should allocate from DYBD without issue.</t>
  </si>
  <si>
    <t>2024-02-19T10:41:00-05:00</t>
  </si>
  <si>
    <t>STAGE - ALL - MAWM - DYBD Locations w/ Incorrect Setup</t>
  </si>
  <si>
    <t>| dbxquery query="SELECT PROFILE_ID, LOCATION_ID, PUT_ALLOCATION_ZONE_ID, TRACK_CAPACITY FROM default_dcinventory.DCI_LOCATION WHERE LOCATION_ID LIKE 'DYB%' AND (TRACK_CAPACITY = '1' OR PUT_ALLOCATION_ZONE_ID &lt;&gt; 'DYBD') AND PROFILE_ID NOT IN ('NEWQA_Facility_Profile','NEWSDN_Facility_Profile','NEWTEST_Facility_Profile', 'NEWDEV_Facility_Profile', 'NEWQA_Facility_Profile', 'NEWSDN_Facility_Profile', 'NEWTEST_Facility_Profile'); " connection="MASTG_NEW"</t>
  </si>
  <si>
    <t>2024-02-19T10:41:18-05:00</t>
  </si>
  <si>
    <t>STAGE - ALL - MAWM - Demand Orders Deselected During Waving</t>
  </si>
  <si>
    <t>|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1=1
 AND DE.CREATED_TIMESTAMP &gt;= NOW() - INTERVAL 15 MINUTE
 and (UPPER(PLA.PLANNING_STRATEGY_ID) LIKE 'DEMAND%' OR UPPER(PLA.PLANNING_STRATEGY_ID) LIKE 'WILL%') AND DE.ORG_ID NOT IN ('NEWQA','NEWSDN') 
 and DE.DESELECTED_ORDER_LINES &gt; '0';" connection="MASTG_NEW"</t>
  </si>
  <si>
    <t>2024-02-19T10:42:00-05:00</t>
  </si>
  <si>
    <t>STAGE - ALL - MAWM - Failed Pick List Import</t>
  </si>
  <si>
    <t>| dbxquery query="Select org_id,message_type,trace_id,error_message,created_timestamp, status, repost_count
from default_commonutil.CUT_FAILED_MESSAGE
where queue_name like 'XNT_DCO_%_PickList'
and created_timestamp BETWEEN now() + INTERVAL 5 MINUTE AND  now() + INTERVAL 1 HOUR + INTERVAL 5 MINUTE AND ORG_ID NOT IN ('NEWQA','NEWSDN') 
order by org_id;" connection="MASTG_NEW"</t>
  </si>
  <si>
    <t>2024-02-19T10:42:32-05:00</t>
  </si>
  <si>
    <t>STAGE - ALL - MAWM - Forecast Replen Wave Stuck In Started &gt; 15 Minutes</t>
  </si>
  <si>
    <t>| dbxquery query="SELECT ops.org_id, ops.planning_strategy_id, ops.order_planning_run_id, 
 ops.created_timestamp, ops.run_completion_date_time, ops.created_timestamp, ops.run_completion_date_time, ops.selected_order_lines, 
 st.description FROM default_dcorder.DCO_ORDER_PLAN_RUN_STRATEGY ops JOIN default_dcorder.DCO_PLANNING_RUN_STATUS st ON ops.status = st.planning_run_status_id 
 WHERE ops.planning_strategy_id like 'Forecast%'
 and ops.run_completion_date_time is null
 and ops.created_timestamp &gt;= now() - INTERVAL 15 MINUTE AND ops.ORG_ID NOT IN ('NEWQA','NEWSDN') 
 ORDER BY ops.org_id;" connection="MASTG_NEW"</t>
  </si>
  <si>
    <t>2024-02-19T10:43:08-05:00</t>
  </si>
  <si>
    <t>STAGE - ALL - MAWM - In Packing oLPNs on Closed Tasks</t>
  </si>
  <si>
    <t>| dbxquery query="SELECT org_id, task_id, task_Detail_id, action_id, olpn_id, olpn_status, quantity, completed_quantity, task_dtl_status, task_hdr_status, updated_by FROM  (SELECT td.org_id, td.task_id, th.transaction_id, td.task_detail_id, td.action_id, td.olpn_id, olpn.status olpn_status, td.quantity, td.completed_quantity, td.status task_dtl_status, th.status task_hdr_status, td.updated_by FROM default_task.TSK_TASK_DETAIL td JOIN default_task.TSK_TASK th ON td.org_id = th.org_id AND td.task_id = th.task_id JOIN default_pickpack.PPK_OLPN olpn ON td.org_id = olpn.org_id AND td.olpn_id = olpn.olpn_id WHERE th.transaction_type_id ='Pick' AND olpn.status &lt; 7200 AND th.status &gt; 8000 AND td.ORG_ID NOT IN ('NEWQA','NEWSDN'))tasks; " connection="MASTG_NEW"</t>
  </si>
  <si>
    <t>2024-02-19T10:43:52-05:00</t>
  </si>
  <si>
    <t>STAGE - ALL - MAWM - Inbound Message Queue Failures</t>
  </si>
  <si>
    <t>| dbxquery query="select org_id,message_type,trace_id,error_message,created_timestamp
 ,REPLACE(JSON_EXTRACT(exception_messages, \"$[0].Description\"),'\"','') as Error
 from default_commonutil.CUT_FAILED_MESSAGE
 where  consumer_component ='receiving'
 and queue_name like 'XNT%' AND ORG_ID NOT IN ('NEWQA','NEWSDN') 
 and created_timestamp &gt;= now() - INTERVAL 1 DAY 
 and created_timestamp &lt; now() - INTERVAL 10 MINUTE;" connection="MASTG_NEW"</t>
  </si>
  <si>
    <t>2024-02-19T10:44:05-05:00</t>
  </si>
  <si>
    <t>STAGE - ALL - MAWM - MFG Date Tracked Items w/ Track EXP Flag Not Set</t>
  </si>
  <si>
    <t>| dbxquery query="SELECT LEFT(PROFILE_ID,3) ORG_ID, ITEM_ID, DESCRIPTION, ITEM.TRACK_MANUFACTURING_DATE, TRACK_EXPIRY_DATE, EXT_VINTAGE_TIER  
 FROM default_item_master.ITE_ITEM ITEM
 WHERE TRACK_MANUFACTURING_DATE = '1'
 AND TRACK_EXPIRY_DATE = '0'
 AND EXT_VINTAGE_TIER = '1' AND PROFILE_ID NOT IN ('NEWQA_Org_Profile','NEWSDN_Org_Profile') 
 ORDER BY 1" connection="MASTG_NEW"</t>
  </si>
  <si>
    <t>2023-06-19T11:37:07-04:00</t>
  </si>
  <si>
    <t>STAGE - ALL - MAWM - Missing ASN Details</t>
  </si>
  <si>
    <t>| dbxquery query="SELECT a.org_id, a.asn_id, a.asn_status, a.shipped_lpns, a.received_lpns, a.created_timestamp, a.updated_timestamp, a.updated_by, al.purchase_order_id, al.purchase_order_line_id, al.item_id 
 FROM default_receiving.RCV_ASN a 
 LEFT JOIN default_receiving.RCV_ASN_LINE al ON a.asn_id = al.asn_id AND a.org_id = al.org_id 
 WHERE a.asn_status NOT IN ('0000','9000') AND a.ORG_ID NOT IN ('NEWQA','NEWSDN') 
 AND a.received_lpns &lt;&gt; '0'
 AND al.item_id is null AND a.updated_timestamp &gt;= now() - INTERVAL 1 DAY" connection="MASTG_NEW"</t>
  </si>
  <si>
    <t>2024-02-19T10:44:45-05:00</t>
  </si>
  <si>
    <t>STAGE - ALL - MAWM - Oddball Case Task Group w/ Incorrect Default Enter Task Mode</t>
  </si>
  <si>
    <t>| dbxquery query="SELECT LEFT(PROFILE_ID, 3) ORG, INIT_PROMPT_ID_FOR_ENTER_TASK AS \"Default Enter Task Mode\" FROM default_task.TSK_TASK_GROUP WHERE TASK_GROUP_ID = 'Oddball Case' AND (INIT_PROMPT_ID_FOR_ENTER_TASK &lt;&gt; 'Container' OR INIT_PROMPT_ID_FOR_ENTER_TASK IS NULL) AND PROFILE_ID NOT IN ('NEWQA_Facility_Profile','NEWSDN_Facility_Profile'); " connection="MASTG_NEW"</t>
  </si>
  <si>
    <t>2023-06-15T11:08:30-04:00</t>
  </si>
  <si>
    <t>STAGE - ALL - MAWM - Open Pick Pack Task Details With Shipped</t>
  </si>
  <si>
    <t>| dbxquery query="select td.org_id,td.task_id,td.task_detail_id,td.type_id,concat(td.status)task_dtl_status,td.quantity,td.olpn_id,concat(olpn.status)olpn_status,td.created_timestamp
 from default_pickpack.TSK_TASK_DETAIL td
 join default_pickpack.PPK_OLPN olpn on td.org_id = olpn.org_id and td.olpn_id = olpn.olpn_id
 where td.type_id ='PICK/PACK'
 and olpn.status &gt; 7200
 and td.status &lt; 8000 AND td.ORG_ID NOT IN ('NEWQA','NEWSDN') 
 order by td.org_id;" connection="MASTG_NEW"</t>
  </si>
  <si>
    <t>2024-02-19T10:44:59-05:00</t>
  </si>
  <si>
    <t>STAGE - ALL - MAWM - Outbound Staging Location w/ Incorrect Final Staging Location Flag</t>
  </si>
  <si>
    <t>| dbxquery query="SELECT LEFT(PROFILE_ID,3) ORG
 , LOCATION_TYPE_ID
 , LOCATION_ID
 , CASE WHEN FINAL_STAGING_LOCATION = '0' THEN 'No' ELSE 'Yes' END AS FINAL_STAGING_LOCATION
 FROM default_dcinventory.DCI_LOCATION LOC
 WHERE 1=1
 AND LOCATION_TYPE_ID = 'STAGING' AND PROFILE_ID NOT IN ('NEWQA_Facility_Profile','NEWSDN_Facility_Profile') 
 AND IS_ACTIVE = '1'
 AND FINAL_STAGING_LOCATION &lt;&gt; '1'
 AND LOCATION_ID NOT LIKE '%DOCK%' 
 AND LOCATION_ID NOT LIKE '%RCV%' 
 AND LOCATION_ID NOT LIKE '%RETURN%'
 AND LOCATION_ID NOT LIKE '%ISUZU%'
 AND LOCATION_ID NOT LIKE '%DROP%'
 AND LOCATION_ID NOT LIKE '%VINTAG%'
 ORDER BY 1" connection="MASTG_NEW"</t>
  </si>
  <si>
    <t>2023-06-15T11:08:01-04:00</t>
  </si>
  <si>
    <t>STAGE - ALL - MAWM - Pick List Line Stuck in Allocating</t>
  </si>
  <si>
    <t>| dbxquery query="SELECT DISTINCT (oli.org_id), (oli.order_id), oli.original_order_planning_run_id, ops.planning_strategy_id, ops.status, max(oli.status) FROM default_dcorder.DCO_ORDER_LINE oli JOIN default_dcorder.DCO_ORDER_PLAN_RUN_STRATEGY ops ON oli.org_id = ops.org_id AND oli.original_order_planning_run_id = ops.order_planning_run_id WHERE oli.order_id LIKE 'PICK%' AND oli.status &lt;&gt; 'READY' AND ops.status &gt; 300 AND oli.ORG_ID NOT IN ('NEWQA','NEWSDN') GROUP BY  oli.org_id,oli.order_id,oli.original_order_planning_run_id,ops.planning_strategy_id,ops.status; " connection="MASTG_NEW"</t>
  </si>
  <si>
    <t>2024-02-19T10:45:15-05:00</t>
  </si>
  <si>
    <t>STAGE - ALL - MAWM - PickPack Adjustment Reason Codes to be Removed</t>
  </si>
  <si>
    <t>| dbxquery query="select SUBSTR(PROFILE_ID,1,3) ORG_ID, RC.REASON_CODE_CATEGORY_ID, REASON_CODE_ID, DESCRIPTION
 from default_pickpack.PPK_REASON_CODE RC
 WHERE REASON_CODE_CATEGORY_ID = 'ADJUSTMENTS'
 AND REASON_CODE_ID &lt;&gt; 'CN' AND PROFILE_ID NOT IN ('NEWQA_Facility_Profile','NEWSDN_Facility_Profile') 
 AND PROFILE_ID NOT IN ('RNDC_Fac_Profile','baseNode');" connection="MASTG_NEW"</t>
  </si>
  <si>
    <t>2023-07-26T08:20:25-04:00</t>
  </si>
  <si>
    <t>STAGE - ALL - MAWM - Putaway Task Details Open Not Tied to Task Header</t>
  </si>
  <si>
    <t>| dbxquery query="select org_id,task_id,task_detail_id,type_id,target_location_id,item_id,putwy_task_dtl_status,pickpack_task_dtl_status,quantity,created_timestamp
from (
select ptd.org_id,ptd.task_id,ptd.task_detail_id,ptd.type_id,ptd.target_location_id,ptd.item_id,ptd.status as putwy_task_dtl_status,
ppd.status pickpack_task_dtl_status,ptd.quantity,ptd.created_timestamp
from default_putaway.TSK_TASK_DETAIL ptd
join default_pickpack.TSK_TASK_DETAIL ppd on ptd.org_id = ppd.org_id and ptd.task_detail_id = ppd.task_detail_id
where  ptd.type_id ='PUTAWAY'
and ptd.task_id is null AND ptd.ORG_ID NOT IN ('NEWQA','NEWSDN') 
and ptd.created_timestamp &lt;= now() - INTERVAL 2 DAY
and ppd.status in ('8000','9000') and ptd.status ='1000' and ptd.status &lt;&gt; ppd.status) tasks
order by org_id,task_id;
" connection="MASTG_NEW"</t>
  </si>
  <si>
    <t>2024-02-19T10:39:38-05:00</t>
  </si>
  <si>
    <t>STAGE - ALL - MAWM - Replenishment Wave Stuck in Submitted Status</t>
  </si>
  <si>
    <t>| dbxquery query="select org_id,planning_strategy_id,status,selection_rule_group_id,run_completion_date_time,created_timestamp
 from default_dcorder.DCO_ORDER_PLAN_RUN_STRATEGY
 where planning_strategy_id like '%Replenishment%'
 and status ='300' AND ORG_ID NOT IN ('NEWQA','NEWSDN') 
 and created_timestamp &lt;= now() - INTERVAL 1 HOUR;" connection="MASTG_NEW"</t>
  </si>
  <si>
    <t>2024-02-19T10:39:05-05:00</t>
  </si>
  <si>
    <t>STAGE - ALL - MAWM - Return Putaway Allocations In Ready For Execution Status</t>
  </si>
  <si>
    <t>| dbxquery query="SELECT org_id, inventory_container_id, allocation_id AS AllocationId, concat(pk) AS PK, item_id AS ItemId, to_location_id 
FROM default_dcinventory.DCI_ALLOCATION WHERE generation_code_id ='Inbound Putaway' AND status ='4400.0' AND CREATED_TIMESTAMP &lt; NOW() - INTERVAL 20 MINUTE ORDER BY  org_id; " connection="MASTG_NEW"</t>
  </si>
  <si>
    <t>2024-02-19T10:38:50-05:00</t>
  </si>
  <si>
    <t>STAGE - ALL - MAWM - Ship Qty &gt; Order Qty</t>
  </si>
  <si>
    <t>| inputlookup MA_SOA.csv | table USERNAME | map maxsearches=100 search="
| dbxquery query=\"select warehouse, trx_date, trx_time, invoice_no, item_no, ship_qty, cancel_qty, order_Line_id, order_qty From $USERNAME$.ship_confirm where ship_qty &gt; order_qty and created_Dttm &gt; sysdate  - 1.01 \" connection="MAWM_SOA_STG"  shortnames=true"</t>
  </si>
  <si>
    <t>2024-02-19T10:38:32-05:00</t>
  </si>
  <si>
    <t>STAGE - ALL - MAWM - Shipped oLPN With Inventory Record</t>
  </si>
  <si>
    <t>| dbxquery query="SELECT OLPN.ORG_iD, OLPN.OLPN_ID, OLPN.UPDATED_TIMESTAMP as OLPN_UPDATED_TIMESTAMP, OLPN.SHIPPED_DATE_TIME,  OLPN.UPDATED_BY as OLPN_UPDATED_BY, LD.ITEM_iD, INV.ON_HAND, INV.manufactured_date, INV.INVENTORY_ID, INV.CREATED_BY, INV.CREATED_TIMESTAMP, INV.UPDATED_BY as INV_UPDATED_BY, INV.UPDATED_TIMESTAMP as INV_UPDATED_TIMESTAMP, INV.LAST_LOCATED_DATE_TIME, INV.PROCESS FROM default_pickpack.PPK_OLPN OLPN
LEFT JOIN default_pickpack.PPK_OLPN_DETAIL LD ON LD.OLPN_ID = OLPN.OLPN_ID 
LEFT JOIN default_dcorder.DCO_ORDER DO ON DO.ORDER_ID = OLPN.ORDER_ID
LEFT JOIN default_dcinventory.DCI_INVENTORY INV ON OLPN.OLPN_ID = INV.INVENTORY_CONTAINER_ID
WHERE OLPN.status = '8000' AND DO.minimum_status = '8000'
AND INV.ORG_ID = OLPN.ORG_ID and INV.ITEM_ID = LD.ITEM_ID;
 " connection="MASTG_NEW"</t>
  </si>
  <si>
    <t>2024-02-19T10:38:18-05:00</t>
  </si>
  <si>
    <t>STAGE - ALL - MAWM - Slotting LIA Records Not Unassigned But Not Removed</t>
  </si>
  <si>
    <t>| dbxquery query="select sla.org_id,sla.location_id,sla.item_id,sla.pk,sla.sku_assigned,sla.current_uom_quantity,sla.updated_timestamp, inv.to_be_filled as TBF, inv.allocated as TBP 
from default_slotting.SLO_LOCATION_ITEM_ASSIGNMENT sla
left join default_dcinventory.DCI_INVENTORY inv ON inv.org_id = sla.org_id AND sla.location_id = inv.location_id
where sla.sku_assigned ='0' AND sla.ORG_ID NOT IN ('NEWQA','NEWSDN') 
and sla.current_uom_quantity ='0'
order by org_id,location_id;" connection="MASTG_NEW"</t>
  </si>
  <si>
    <t>2024-02-19T10:38:04-05:00</t>
  </si>
  <si>
    <t>STAGE - ALL - MAWM - Slotting Location Item Assignment Records Not Removed</t>
  </si>
  <si>
    <t>| dbxquery query="select sla.org_id
    , sla.location_id SLOTTING_LOCATION_ID
    , loc.storage_uom_id AS DCI_STORAGE_UOM
    , sla.sku_assigned
    , sla.storage_uom_id AS SLOTTING_STORAGE_UOM
    , sla.item_id
    , sla.pk SLOTTING_LIA_PK
    , lia.location_id as DCI_LOCATION_ID
    , lia.item_id as DCI_ITEM_ID
    , lia.pk as DCI_LIA_PK
    , inv.to_be_filled as TBF
    , inv.allocated as TBP 
from default_slotting.SLO_LOCATION_ITEM_ASSIGNMENT sla
left join default_dcinventory.DCI_LOCATION_ITEM_ASSIGNMENT lia on lia.org_id = sla.org_id and lia.assignment_id = sla.assignment_id
left join default_dcinventory.DCI_INVENTORY inv ON inv.org_id = sla.org_id AND sla.location_id = inv.location_id and inv.item_id = sla.item_id
left join default_dcinventory.DCI_LOCATION loc on sla.org_id = substr(loc.profile_id,1,3) and sla.location_id = loc.location_id and loc.sku_dedication_type_id = 'PERMANENT'
where loc.storage_uom_id in ('UNIT','PACK') AND sla.ORG_ID NOT IN ('NEWQA','NEWSDN') 
and loc.eligible_for_slotting = '1'
and lia.location_id is null
order by sla.org_id,sla.location_id;" connection="MASTG_NEW"</t>
  </si>
  <si>
    <t>2024-02-19T10:37:46-05:00</t>
  </si>
  <si>
    <t>STAGE - ALL - MAWM - Slotting Moves Per House</t>
  </si>
  <si>
    <t>| dbxquery query="select slot.org_id,slot.process_type_id,7dayslot.7dayslotting_runs,7dayslot.7dayitem_moves,30dayslot.30dayslotting_runs,30dayslot.30dayitem_moves
from
(select distinct (org_id),process_type_id
from default_slotting.SLO_PROCESS_MANAGER
where process_type_id in ('RE_SLOT','UN_SLOT','MANUAL_RE_SLOT') AND ORG_ID NOT IN ('NEWQA','NEWSDN'))slot
left join
(select distinct (spm.org_id),spm.process_type_id,count(distinct spm.process_manager_id)7dayslotting_runs,count(slm.pk)7dayitem_moves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7 DAY AND spm.ORG_ID NOT IN ('NEWQA','NEWSDN')
group by spm.org_id,spm.process_type_id
order by spm.org_id)7dayslot on slot.org_id = 7dayslot.org_id and 7dayslot.process_type_id = slot.process_type_id
left join 
(select distinct (spm.org_id),spm.process_type_id,count(distinct spm.process_manager_id)30dayslotting_runs,count(slm.pk)30dayitem_moves
from default_slotting.SLO_PROCESS_MANAGER spm
join default_slotting.SLO_MOVE slm on spm.process_manager_id = slm.run_id and spm.org_id = slm.org_id and slm.move_status_id ='4000'
where spm.process_type_id in ('RE_SLOT','UN_SLOT','MANUAL_RE_SLOT')
and spm.created_timestamp &gt;= now() - INTERVAL 30 DAY AND spm.ORG_ID NOT IN ('NEWQA','NEWSDN')
group by spm.org_id,spm.process_type_id
order by spm.org_id)30dayslot on slot.org_id = 30dayslot.org_id and 30dayslot.process_type_id = slot.process_type_id  
order by org_id; " connection="MASTG_NEW"</t>
  </si>
  <si>
    <t>2023-09-08T16:12:09-04:00</t>
  </si>
  <si>
    <t>STAGE - ALL - MAWM - Slotting Process in Queued Status &gt; 10 Minutes</t>
  </si>
  <si>
    <t>| dbxquery query="select ORG_ID, PROCESS_MANAGER_ID, PM.PK , CONCAT(PM.PROCESS_STATUS_ID,'-',STATUS.DESCRIPTION) PPROCESS_STATUS , PM.STRATEGY_ID, PM.PROCESS_START_TIME 
 from default_slotting.SLO_PROCESS_MANAGER PM
 LEFT JOIN default_slotting.SLO_PROCESS_STATUS STATUS ON STATUS.PROCESS_STATUS_ID = PM.PROCESS_STATUS_ID
 WHERE PM.PROCESS_STATUS_ID IN ('1000') AND PM.ORG_ID NOT IN ('NEWQA','NEWSDN') 
 AND PROCESS_START_TIME &lt;= NOW() - INTERVAL 10 MINUTE" connection="MASTG_NEW"</t>
  </si>
  <si>
    <t>2024-02-19T10:37:10-05:00</t>
  </si>
  <si>
    <t>STAGE - ALL - MAWM - Supplier Receipt Id with PO Number = 0</t>
  </si>
  <si>
    <t>| inputlookup MA_SOA.csv | table USERNAME | map maxsearches=100 search="
| dbxquery query=\"select pix_spec, pixid, trx_date, trx_time, user_id, item_No, qty, asn_no, po_no, po_line, warehouse 
 From $USERNAME$.pix_trx 
 where po_no = '0'  and pix_spec = 'SupplierReceiptId' and created_Dttm &gt; sysdate - 1
 order by created_dttm desc \" connection="MAWM_SOA_STG"   shortnames=true"</t>
  </si>
  <si>
    <t>2024-02-19T10:36:44-05:00</t>
  </si>
  <si>
    <t>STAGE - ALL - MAWM - Task Details Completed With Open Pick Pack Task Details</t>
  </si>
  <si>
    <t>| dbxquery query="SELECT org_id, task_id, taskdtl_status, type_id, target_location_id, item_id, quantity, pickpack_status, created_timestamp, updated_timestamp FROM  (SELECT td.org_id, td.task_id AS task_id, td.type_id, td.status AS taskdtl_status, td.target_location_id, td.item_id, td.quantity, td.created_timestamp, td.updated_timestamp, ptd.status AS pickpack_status FROM default_task.TSK_TASK_DETAIL td JOIN default_pickpack.TSK_TASK_DETAIL ptd ON td.org_id = ptd.org_id AND td.task_detail_id = ptd.task_detail_id WHERE td.type_id IN ('PICK/PACK','REPLENISHMENT') AND td.status &gt;='8000' AND ptd.status ='1000' AND td.ORG_ID NOT IN ('NEWQA','NEWSDN'))task ORDER BY  org_id,task_id; " connection="MASTG_NEW"</t>
  </si>
  <si>
    <t>2024-02-19T10:36:10-05:00</t>
  </si>
  <si>
    <t>STAGE - ALL - MAWM - Users Missing System Task Pool Eligibilities</t>
  </si>
  <si>
    <t>| dbxquery query="SELECT ORG.DEFAULT_ORGANIZATION, ORG.USER_ID 
 FROM default_organization.ORG_USER_DEFAULTS ORG
 LEFT JOIN default_organization.ORG_USER OU ON OU.USER_ID = ORG.USER_ID AND OU.IS_ACTIVE = '1'
 WHERE ORG.USER_ID NOT IN (SELECT USER_ID FROM default_task.TSK_USER_TASK_POOL_ELGBLTY T WHERE ORG.DEFAULT_ORGANIZATION = SUBSTR(T.PROFILE_ID,1,3) and TASK_POOL_ID = 'SystemTaskPool') 
 AND DEFAULT_ORGANIZATION IS NOT NULL AND ORG.DEFAULT_ORGANIZATION NOT IN ('NEWQA','NEWSDN') 
 ORDER BY 1" connection="MASTG_NEW"</t>
  </si>
  <si>
    <t>2023-06-15T11:05:19-04:00</t>
  </si>
  <si>
    <t>STAGE - ALL - MAWM â€“ Cycle Counts In Booking &gt; 2 Hours</t>
  </si>
  <si>
    <t>| dbxquery query="SELECT CNT_RUN.ORG_ID
, CNT_STATUS.DESCRIPTION
, CNT_RUN.LOCATION_ID
, TIMESTAMPDIFF(HOUR, CNT_RUN.UPDATED_TIMESTAMP, NOW()) HOURS_STUCK
, CNT_RUN.COUNT_RUN_ID
, DATE_FORMAT(CNT_RUN.UPDATED_TIMESTAMP,'%Y-%m-%d %H:%i:%s') LAST_UPDATED_DTTM 
, CNT_RUN.TASK_ID
, CASE WHEN TSK.STATUS IS NULL THEN 'NO'
    WHEN TSK.STATUS &gt;= '8000' THEN 'NO' 
    ELSE 'YES' END AS TASK_OPEN
, CONCAT(TSK.STATUS,'-',TS.DESCRIPTION) TASK_STATUS
,CASE WHEN LOC_CNT.CYCLE_COUNT_PENDING = '0' THEN 'false' else 'true' end as CYCLE_COUNT_PENDING
FROM default_inventory_management.INM_INVENTORY_COUNT_RUN CNT_RUN
JOIN default_inventory_management.INM_COUNT_STATUS CNT_STATUS ON CNT_RUN.STATUS = CNT_STATUS.STATUS_CODE_ID 
LEFT JOIN default_dcinventory.DCI_LOCATION_COUNT_INFO LOC_CNT ON LOC_CNT.ORG_ID = CNT_RUN.ORG_ID AND LOC_CNT.LOCATION_ID = CNT_RUN.LOCATION_ID
LEFT JOIN default_task.TSK_TASK TSK ON TSK.ORG_ID = CNT_RUN.ORG_ID AND TSK.TASK_ID = CNT_RUN.TASK_ID
LEFT JOIN default_task.TSK_TASK_STATUS TS ON TS.TASK_STATUS_ID = TSK.STATUS
WHERE 1=1
AND CNT_RUN.STATUS IN (10,20,35,60)  AND CNT_RUN.ORG_ID NOT IN ('NEWQA','NEWSDN') 
AND CNT_RUN.UPDATED_TIMESTAMP &lt; NOW()-INTERVAL 120 MINUTE 
ORDER BY CNT_RUN.ORG_ID, CNT_RUN.LOCATION_ID, CNT_RUN.UPDATED_TIMESTAMP DESC" connection="MASTG_NEW"</t>
  </si>
  <si>
    <t>2024-02-19T10:33:53-05:00</t>
  </si>
  <si>
    <t>STAGE - ALL - MAWM â€“ Inventory Records with Pack Quantity Populated</t>
  </si>
  <si>
    <t>| dbxquery query="select org_id, CREATED_TIMESTAMP, LOCATION_ID, ITEM_ID, INVENTORY_CONTAINER_ID, PACK_UOM_QUANTITY, ON_HAND from default_dcinventory.DCI_INVENTORY WHERE  INVENTORY_CONTAINER_TYPE_ID='LOCATION' and PACK_UOM_QUANTITY is not null  AND ORG_ID NOT IN ('NEWQA','NEWSDN') ;" connection="MASTG_NEW"</t>
  </si>
  <si>
    <t>2024-02-19T10:34:04-05:00</t>
  </si>
  <si>
    <t>STAGE - ALL - MAWM â€“ MHE, Robot, or SuperUser Incorrectly Configured</t>
  </si>
  <si>
    <t>| dbxquery query="SELECT ou.primary_org_id AS primary_org_id,
 ou.user_id AS user_id,
 ou.identity_type_id AS identity_type_id,
 ou.user_type_id AS user_type_id,
 ou.is_active AS is_active,
 ou.userlocation_c AS userlocation_c,
 ur.role_org_id AS role_org_id,
 ur.role_id AS role_id,
 ou.created_timestamp AS ou_created_timestamp,
 ou.created_by AS ou_created_by,
 ou.updated_timestamp AS ou_updated_timestamp,
 ou.updated_by AS ou_updated_by,
 ur.created_by AS ur_created_by,
 ur.created_timestamp AS ur_created_timestamp,
 ur.updated_by AS ur_updated_by,
 ur.updated_timestamp AS ur_updated_timestamp
 FROM default_organization.ORG_USER_ROLE ur
 RIGHT JOIN default_organization.ORG_USER ou
 ON ou.user_id = ur.user_id
 WHERE (ou.user_id LIKE '%robot%'
 OR ou.user_id LIKE '%superuser%'
 OR ou.user_id LIKE '%mhe%')  AND ou.primary_org_id NOT IN ('NEWQA','NEWSDN') 
 AND ((is_active &lt;&gt; 1
 OR userlocation_c &lt; 1
 OR role_id is null)
 OR ou.user_id NOT IN 
 (SELECT user_id
 FROM default_organization.ORG_USER_ROLE
 WHERE role_id LIKE '%superuser%'))
 OR (ou.user_id LIKE '%mhe%'
 AND ur.user_id NOT IN 
 (SELECT user_id
 FROM default_organization.ORG_USER_ROLE
 WHERE role_id NOT IN ('ABQ','ATL','ASH','DEN','DFB','GRP','LAF','LUB','NEW','OKL','OMA','RNDC','COL','SAA','ELP','POR','WSD','TAM','LIV','HOU','IND','JAC','FAR','ORL')))
 ORDER BY  ou.primary_org_id, ou.user_id, role_org_id;" connection="MAPRD_NEW"</t>
  </si>
  <si>
    <t>2024-02-19T10:31:51-05:00</t>
  </si>
  <si>
    <t>STAGE - ALL MAWM - Inventory Adjustments Missing Reason Code</t>
  </si>
  <si>
    <t>| dbxquery query="SELECT org_id, source_event_name, pix_specification_id, source_transaction_type, reason_code_id, created_timestamp, location_id, inventory_container_id,item_id, quantity, adjusted_type, created_by, pk 
FROM default_pix.PIX_PIX_ENTRY WHERE pix_specification_id ='Inventory Adjustment' AND reason_code_id ='' AND ORG_ID NOT IN ('NEWQA','NEWSDN', 'NEWDEV') AND created_timestamp &gt;= now() - INTERVAL 1 DAY;" connection="MASTG_NEW"</t>
  </si>
  <si>
    <t>2024-02-21T11:10:43-05:00</t>
  </si>
  <si>
    <t>STAGE - ALL MAWM - Outstanding LIA Records on LPN Storage Locations</t>
  </si>
  <si>
    <t>| dbxquery query="select lia.org_id,lia.location_id,lia.item_id,lia.current_uom_quantity,lia.directed_uom_quantity,dci.on_hand,lia.pk,dca.allocation_id,dca.status,lia.process,dci.process \"DCI_PROCESS\"
 from default_dcinventory.DCI_LOCATION_ITEM_ASSIGNMENT lia
 left join default_dcinventory.DCI_INVENTORY dci on lia.org_id = dci.org_id and lia.location_id = dci.location_id and lia.item_id = dci.item_id
 join default_dcinventory.DCI_LOCATION dl on lia.org_id = substr(dl.profile_id,1,3) and lia.location_id = dl.location_id
 left join default_dcinventory.DCI_ALLOCATION dca on lia.org_id = dca.org_id and lia.location_id = dca.to_location_id and lia.item_id = dca.to_location_id
 where dl.storage_uom_id ='LPN'  AND lia.ORG_ID NOT IN ('NEWQA','NEWSDN') 
 and dci.on_hand is null
 order by lia.org_id,lia.location_id;" connection="MASTG_NEW"</t>
  </si>
  <si>
    <t>2024-02-21T11:10:34-05:00</t>
  </si>
  <si>
    <t>STAGE - ALL MAWM â€“ oLPNs Not Loaded by House</t>
  </si>
  <si>
    <t>| dbxquery query="SELECT DISTINCT (org_id), count(olpn_id) FROM default_pickpack.PPK_OLPN WHERE order_pipeline_id = 'RNDC_Standard_Order_Pipeline' AND status &lt; '7200' and org_id not in ('OMA','NEWQA','NEWSDN')  GROUP BY  org_id
union
SELECT DISTINCT (org_id), count(olpn_id) FROM default_pickpack.PPK_OLPN WHERE order_pipeline_id = 'RNDC_Standard_Order_Pipeline' AND status &lt; '7200'
and updated_timestamp &lt;= now() - INTERVAL 8 HOUR and org_id in ('OMA')  AND ORG_ID NOT IN ('NEWQA','NEWSDN') GROUP BY  org_id;
" connection="MASTG_NEW"</t>
  </si>
  <si>
    <t>2023-06-15T11:03:31-04:00</t>
  </si>
  <si>
    <t>STAGE - ALL â€“ MAWM â€“ Cluster Locations with Virtual Location Count &gt; Max Items</t>
  </si>
  <si>
    <t>| dbxquery query="SELECT * FROM (
 SELECT
 SLIA.ORG_ID
 , LOC.LOCATION_ID
 , LOC.PICK_ALLOCATION_ZONE_ID
 , CASE WHEN EXT_EX63_MULTI_SKU_ASSIGNMENT = '1' THEN 'true' else 'false' end as MULTI_SKU_ASSIGNMENT
 , LOC.MAX_ITEMS
 , COUNT(DISTINCT SLIA.PK) VIRTUAL_LOC_COUNT
 FROM default_slotting.SLO_LOCATION_ITEM_ASSIGNMENT SLIA
 LEFT JOIN default_dcinventory.DCI_LOCATION LOC ON  SUBSTR(LOC.PROFILE_ID,1,3) = SLIA.ORG_ID AND LOC.LOCATION_ID = LEFT(SLIA.LOCATION_ID,LENGTH(SLIA.LOCATION_ID)-1)
 WHERE 1=1
 AND SLIA.STORAGE_UOM_ID = 'PACK' AND SLIA.ORG_ID NOT IN ('NEWQA','NEWSDN') 
 AND LOC.EXT_EX63_MULTI_SKU_ASSIGNMENT = '1'
 AND SLIA.LOCATION_ID NOT IN (SELECT LOCATION_ID FROM default_dcinventory.DCI_LOCATION LOC2 WHERE SUBSTR(LOC2.PROFILE_ID,1,3) = SLIA.ORG_ID )
 GROUP BY SLIA.ORG_ID, LOC.LOCATION_ID, LOC.PICK_ALLOCATION_ZONE_ID, EXT_EX63_MULTI_SKU_ASSIGNMENT, LOC.MAX_ITEMS, LEFT(SLIA.LOCATION_ID,LENGTH(SLIA.LOCATION_ID)-1)
 ) T WHERE VIRTUAL_LOC_COUNT &gt; MAX_ITEMS" connection="MASTG_NEW"</t>
  </si>
  <si>
    <t>2023-06-26T13:46:17-04:00</t>
  </si>
  <si>
    <t>STAGE - ALL â€“ MAWM â€“ DYBD Assignments &gt; 1 Day</t>
  </si>
  <si>
    <t>| dbxquery query="SELECT LIA.ORG_ID, LIA.LOCATION_ID, DCI.INVENTORY_ID, LIA.ITEM_ID, DCI.ON_HAND , DCI.TO_BE_FILLED , DCI.ALLOCATED, LIA.CREATED_TIMESTAMP, LIA.UPDATED_TIMESTAMP FROM default_dcinventory.DCI_LOCATION_ITEM_ASSIGNMENT LIA JOIN default_dcinventory.DCI_INVENTORY DCI ON LIA.LOCATION_ID = DCI.LOCATION_ID AND DCI.ORG_ID = LIA.ORG_ID AND DCI.ITEM_ID = LIA.ITEM_ID WHERE LIA.LOCATION_ID IN ('DYBD', 'DYB1') AND LIA.UPDATED_TIMESTAMP &lt;= NOW() - INTERVAL 1 DAY AND DCI.ALLOCATED ='0' AND DCI.ON_HAND ='0'  AND LIA.ORG_ID NOT IN ('NEWQA','NEWSDN') " connection="MASTG_NEW"</t>
  </si>
  <si>
    <t>2023-06-15T11:04:02-04:00</t>
  </si>
  <si>
    <t>STAGE - ALL â€“ MAWM â€“ Missing Zones in Zones UI</t>
  </si>
  <si>
    <t>| dbxquery query="With A as
 ((Select distinct substr(LOC.profile_id,1,3) \"WHSE\", pick_execution_zone_id \"MISSING_ZONE\", 'PICK EXECUTION ZONE' as ZONE
 From default_dcinventory.DCI_LOCATION LOC
 where pick_execution_zone_id not in (Select distinct zone_id  from default_dcinventory.DCI_ZONE Z where Z.PROFILE_ID = LOC.PROFILE_ID and ZONE_TYPE_ID = 'PICK_EXECUTION') and LOC.LOCATION_TYPE_ID = 'STORAGE' and LOC.IS_ACTIVE = '1' AND LOC.profile_id NOT IN ('NEWQA_Facility_Profile','NEWSDN_Facility_Profile') )
 UNION ALL
 (Select distinct substr(LOC.profile_id,1,3) \"WHSE\", assignment_zone_id \"MISSING_ZONE\", 'PICK ASSIGNMENT ZONE' as ZONE
 From default_dcinventory.DCI_LOCATION LOC
 where  assignment_zone_id not in (Select distinct zone_id  from default_dcinventory.DCI_ZONE Z where Z.PROFILE_ID = LOC.PROFILE_ID and ZONE_TYPE_ID = 'ASSIGNMENT') and LOC.LOCATION_TYPE_ID = 'STORAGE' and LOC.IS_ACTIVE = '1' AND LOC.profile_id NOT IN ('NEWQA_Facility_Profile','NEWSDN_Facility_Profile') )
 UNION ALL
 (Select distinct substr(LOC.profile_id,1,3) \"WHSE\", PUT_ALLOCATION_zone_id \"MISSING_ZONE\", 'PUT ALLOCATION ZONE' as ZONE
 From default_dcinventory.DCI_LOCATION LOC
 where PUT_ALLOCATION_zone_id not in (Select distinct zone_id  from default_dcinventory.DCI_ZONE Z where Z.PROFILE_ID = LOC.PROFILE_ID and ZONE_TYPE_ID = 'PUT_ALLOCATION') and LOC.LOCATION_TYPE_ID = 'STORAGE' and LOC.IS_ACTIVE = '1' AND LOC.profile_id NOT IN ('NEWQA_Facility_Profile','NEWSDN_Facility_Profile') )
 UNION ALL
 (Select distinct substr(LOC.profile_id,1,3) \"WHSE\", PICK_ALLOCATION_zone_id \"MISSING_ZONE\", 'PICK ALLOCATION ZONE' as ZONE
 From default_dcinventory.DCI_LOCATION LOC
 where PICK_ALLOCATION_zone_id not in (Select distinct zone_id  from default_dcinventory.DCI_ZONE Z where Z.PROFILE_ID = LOC.PROFILE_ID and ZONE_TYPE_ID = 'PICK_ALLOCATION') and LOC.LOCATION_TYPE_ID = 'STORAGE' and LOC.IS_ACTIVE = '1' AND LOC.profile_id NOT IN ('NEWQA_Facility_Profile','NEWSDN_Facility_Profile') )
 UNION ALL
 (Select distinct substr(LOC.profile_id,1,3) \"WHSE\", TASK_MOVEMENT_zone_id \"MISSING_ZONE\", 'TASK MOVEMENT ZONE' as ZONE
 From default_dcinventory.DCI_LOCATION LOC
 where TASK_MOVEMENT_zone_id not in (Select distinct zone_id  from default_dcinventory.DCI_ZONE Z where Z.PROFILE_ID = LOC.PROFILE_ID and ZONE_TYPE_ID = 'TASK_MOVEMENT') and LOC.LOCATION_TYPE_ID = 'STORAGE' and LOC.IS_ACTIVE = '1' AND LOC.profile_id NOT IN ('NEWQA_Facility_Profile','NEWSDN_Facility_Profile') )
 )
 Select WHSE, ZONE, MISSING_ZONE from A
 where MISSING_ZONE is not null
 order by WHSE;
 " connection="MASTG_NEW"</t>
  </si>
  <si>
    <t>2024-02-21T11:12:30-05:00</t>
  </si>
  <si>
    <t>STAGE - ALL â€“ MAWM â€“ Slotting Move Groups in Exported Status</t>
  </si>
  <si>
    <t>| dbxquery query="select ORG_ID, MV.GROUP_ID, MV.RUN_ID , CONCAT(MV.MOVE_STATUS_ID,'-',MS.DESCRIPTION) MOVE_STATUS, MV.UPDATED_TIMESTAMP, MV.PK
 from default_slotting.SLO_MOVE MV
 LEFT JOIN default_slotting.SLO_MOVE_STATUS MS ON MV.MOVE_STATUS_ID = MS.MOVE_STATUS_ID
 WHERE 1=1
 AND MV.MOVE_STATUS_ID = '3000' AND ORG_ID NOT IN ('NEWQA','NEWSDN') 
 AND MV.UPDATED_TIMESTAMP &lt;= NOW() - INTERVAL 30 MINUTE
 ORDER BY UPDATED_TIMESTAMP DESC
 " connection="MASTG_NEW"</t>
  </si>
  <si>
    <t>2024-02-21T11:12:42-05:00</t>
  </si>
  <si>
    <t>STAGE - ALL â€“ MAWM â€“ Split Carton Cubed Past Capacity</t>
  </si>
  <si>
    <t>| dbxquery query="WITH T AS  (SELECT OLPN.ORG_ID , OLPN.LPN_TYPE, OLPN.OLPN_ID, OLPN.TOTAL_LPN_QTY, OLPN.UPDATED_TIMESTAMP , OD.OLPN_DETAIL_ID, OLPN.OLPN_CREATION_CODE_ID , CONCAT(OLPN.STATUS, '-',STAT.DESCRIPTION) STATUS , OLPN.ORDER_PLANNING_RUN_ID, OLPN.ORDER_TYPE , OD.PICKED_QUANTITY, OD.INITIAL_QUANTITY, OD.ORIGINAL_ORDER_LINE_ID, OD.ITEM_ID, OD.UNIT_VOLUME, OLPN.CONTAINER_TYPE_ID FROM default_pickpack.PPK_OLPN OLPN LEFT JOIN default_pickpack.PPK_OLPN_STATUS STAT ON STAT.OLPN_STATUS_ID = OLPN.STATUS LEFT JOIN default_pickpack.PPK_OLPN_DETAIL OD ON OD.ORG_ID = OLPN.ORG_ID AND OD.OLPN_PK = OLPN.PK WHERE 1=1 AND OLPN.CONTAINER_TYPE_ID = 'CTN' AND OD.UNIT_VOLUME * OD.INITIAL_QUANTITY &gt; 12  AND OLPN.ORG_ID NOT IN ('NEWQA','NEWSDN') ) SELECT DISTINCT ORG_ID, OLPN_ID, TOTAL_LPN_QTY, INITIAL_QUANTITY, ITEM_ID, UNIT_VOLUME , ROUND(INITIAL_QUANTITY * UNIT_VOLUME) AS OLPN_VOLUME, CONTAINER_TYPE_ID , UPDATED_TIMESTAMP FROM T WHERE UPDATED_TIMESTAMP &gt;= NOW() - INTERVAL 2 HOUR; " connection="MASTG_NEW"</t>
  </si>
  <si>
    <t>2024-02-21T11:12:52-05:00</t>
  </si>
  <si>
    <t>TCY - On-Hold Items With Inventory</t>
  </si>
  <si>
    <t>| dbxquery query="with org_id as (
select distinct
   case when lh.whse = 'CHI' then '102'
        when lh.whse = 'MGH' then '103'
        when lh.whse = 'AUB' then '463'
        when lh.whse = 'POR' then '464'
        when lh.whse = 'TCY' then '563'
        when lh.whse = 'RVR' then '583'
        else null
    end as org
from locn_hdr lh
),
t as (
select ic.item_name, ic.description, ic.ref_field4 qpc, (select distinct whse from locn_hdr) whse 
    ,oi.inventory_item_status_code as orcl_status
    ,iw.monetary_value unit_cost, bp.description vendor
    ,sum(nvl(wmi.on_hand_qty,0)) as on_hand_qty
from item_cbo ic
  left join wm_inventory wmi on wmi.item_id = ic.item_id
  left join apps.mtl_system_items_b@mhwms_2_ebs oi on oi.segment1 = ic.item_name
  left join item_wms iw on iw.item_id = wmi.item_id
  left join business_partner bp on bp.bp_id = iw.vendor_master_id
where 1=1 
    and oi.organization_id = (select org from org_id)
    and ic.mark_for_deletion = 0
    and oi.inventory_item_status_code = 'On-Hold'
group by ic.item_name, ic.description, oi.inventory_item_status_code, iw.monetary_value, ic.ref_field4, bp.description
having sum(nvl(wmi.on_hand_qty,0)) &gt; 0
)
select whse, item_name, qpc,  description, vendor, orcl_status, on_hand_qty, round(unit_cost,2) unit_cost, round((unit_cost*on_hand_qty),2) total_cost
from t" connection="YMC_TCY_PROD"</t>
  </si>
  <si>
    <t>2023-03-23T10:10:53-04:00</t>
  </si>
  <si>
    <t>WSD - MAWM - Missing Item Level Verification PIX</t>
  </si>
  <si>
    <t>| dbxquery query="select pt.warehouse, pt.asn_no asn_number, listagg(po.po_no,' , ') within group (order by pt.asn_no) purchase_orders, pt.pixid, pt.created_dttm
from wsd_wmsods.pix_trx pt
    left join (select distinct po_no, asn_no from wsd_wmsods.pix_trx t2 where pix_spec = 'SupplierReceiptId') po on po.asn_no = pt.asn_no
WHERE pt.pix_spec = 'ASN Level'
and pt.asn_type = 'P'
        AND pt.asn_no not in (select asn_no from wsd_wmsods.pix_trx where pix_spec = 'ITEM_Level')
    and created_dttm &gt;= sysdate -1
group by pt.asn_no, created_dttm, warehouse, pixid;" connection="MAWM_SOA_PRD"</t>
  </si>
  <si>
    <t>2024-05-22T00:09:56-04:00</t>
  </si>
  <si>
    <t>WSD â€“ MAWM - Item Level Receipts With 0 Quantity</t>
  </si>
  <si>
    <t>| 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wsd_wmsods.pix_trx WHERE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wsd_wmsods.pix_trx WHERE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wsd_wmsods.pix_trx WHERE pix_spec = 'ITEM_Level' GROUP BY  asn_no ) t1 LEFT JOIN  (SELECT asn_no, sum(qty) asn_level_qty FROM wsd_wmsods.pix_trx pt WHERE pix_spec = 'ASN Level' GROUP BY  asn_no ) t2 ON t2.asn_no = t1.asn_no ) WHERE t1.item_level_qty = t2.asn_level_qty ) ) " connection="MAWM_SOA_PRD"</t>
  </si>
  <si>
    <t>2024-08-15T10:20:11-04:00</t>
  </si>
  <si>
    <t>YMC_PROD - RVR - Mix Shipment XD DO</t>
  </si>
  <si>
    <t>| dbxquery query="SELECT XD.TC_SHIPMENT_ID, T.SHIPMENT_STATUS, SHIPMENT_CREATED, SHIPMENT_CREATED_SOURCE, DO, DO_STATUS, CUST_ZONE FROM  (SELECT DISTINCT (L1.TC_SHIPMENT_ID) FROM  (SELECT TC_SHIPMENT_ID, REF_FIELD_1 \"CROSS_DOCK\" FROM ORDERS WHERE REF_FIELD_1 = 'XD' )L1 JOIN  (SELECT TC_SHIPMENT_ID, REF_FIELD_1 \"NOT_CROSS_DOCK\" FROM ORDERS WHERE tc_shipment_id NOT LIKE 'CS%' AND (REF_FIELD_1 &lt;&gt; 'XD' OR REF_FIELD_1 is null) )L2 ON L1.TC_SHIPMENT_ID = L2.TC_SHIPMENT_ID WHERE CROSS_DOCK = 'XD' AND (NOT_CROSS_DOCK &lt;&gt; 'XD' OR NOT_CROSS_DOCK is null) ) XD JOIN  (SELECT S.TC_SHIPMENT_ID , SS.DESCRIPTION AS shipment_statUS , S.CREATED_DTTM Shipment_created , S.CREATED_SOURCE SHIPMENT_CREATED_SOURCE , O.TC_ORDER_ID DO , O.PURCHASE_ORDER_NUMBER sales_order , DS2.DESCRIPTION DO_STATUS , O.REF_FIELD_1 CUST_ZONE , O.REF_FIELD_7 Account_num , O.D_FACILITY_ALIAS_ID , O.D_NAME , O.D_CITY FROM ORDERS O LEFT JOIN DO_STATUS DS2 ON DS2.ORDER_STATUS = O.DO_STATUS LEFT JOIN SHIPMENT S ON S.TC_SHIPMENT_ID = O.REF_SHIPMENT_NBR OR S.SHIPMENT_ID = O.SHIPMENT_ID LEFT JOIN SHIPMENT_STATUS SS ON SS.SHIPMENT_STATUS = S.SHIPMENT_STATUS WHERE 1=1 AND o.ref_field_1 = 'XD' ) T ON T.TC_SHIPMENT_ID = XD.TC_SHIPMENT_ID " connection="YMC_RVR_PROD"</t>
  </si>
  <si>
    <t>2024-04-12T15:55:24-04:00</t>
  </si>
  <si>
    <t>YMC_PROD - RVR -Open Orders in WM &gt; 2 Weeks</t>
  </si>
  <si>
    <t>| dbxquery query="select orders.tc_order_Id, shipment.tc_shipment_id, orders.created_dttm, orders.last_updated_dttm,
 SUBSTR((REGEXP_REPLACE(SHIPMENT.SHIPMENT_REF_ID, '[^0-9]+', '')||'0000'),1,4) AS ROUTE, stop.stop_seq,
 substr(REGEXP_REPLACE(ORDERS.D_NAME,'[^'||chr(1)||'-'||chr(127)||']',''),1,50) AS CUSTOMER_NAME,
 do_status.description, orders.do_status,
 orders.ref_field_1\"CUSTOMER_ZONE\", orders.ref_field_9\"ORDER_NOTES\", orders.ref_field_10\"INVOICE_SENT_?\", ORDERS.O_FACILITY_ALIAS_ID, orders.is_cancelled
 from orders orders join do_status on orders.do_status = do_status.order_status
 left outer join shipment shipment on shipment.shipment_id = orders.shipment_id
 left outer join stop stop on stop.shipment_id = shipment.shipment_id and Orders.D_FACILITY_ID = STOP.FACILITY_ID
 where orders.do_STATUS between 110 and 189 and orders.created_Dttm &lt; sysdate - 14 
 and ORDERS.O_FACILITY_ALIAS_ID = 'RVR'
 order by orders.created_dttm" connection="YMC_RVR_PROD"</t>
  </si>
  <si>
    <t>2024-04-12T15:56:32-04:00</t>
  </si>
  <si>
    <t>YMC_PROD - RVR DOs in Released Status containing Deleted Item(s)</t>
  </si>
  <si>
    <t>| dbxquery query="SELECT  O.O_FACILITY_ALIAS_ID \"FACILITY\", O.TC_ORDER_ID \"INVOICE\", O.DO_STATUS, OLI.DO_DTL_STATUS, OLI.ORDER_QTY, OLI.ORIG_ORDER_QTY, O.CREATED_DTTM, O.CREATED_SOURCE, 
 IC.ITEM_NAME, IC.DESCRIPTION, IC.MARK_FOR_DELETION, OLI.LINE_ITEM_ID, WI.ON_HAND_QTY/IC.REF_field4 \"CASE QTY\", WI.INVENTORY_TYPE, LH.LOCN_BRCD
 FROM ORDERS O
 JOIN ORDER_LINE_ITEM OLI ON O.ORDER_ID = OLI.ORDER_ID
 JOIN ITEM_CBO IC ON OLI.ITEM_ID = IC.ITEM_ID
 LEFT JOIN WM_INVENTORY WI ON WI.ITEM_ID = IC.ITEM_ID
 JOIN LOCN_HDR LH ON WI.LOCATION_ID = LH.LOCN_ID
 WHERE O.HAS_IMPORT_ERROR = '1' 
 AND OLI.HAS_ERRORS = '1'
AND O.CREATED_DTTM &gt; SYSDATE - 1
 AND O.DO_STATUS = '110'
AND IC.MARK_FOR_DELETION = '1'
 ORDER BY O.TC_ORDER_ID, OLI.LINE_ITEM_ID ASC" connection="YMC_RVR_PROD"
 | table FACILITY, INVOICE, DO_STATUS, DO_DTL_STATUS,ORDER_QTY, ORIG_ORDER_QTY, CREATED_DTTM, CREATED_SOURCE, 
 ITEM_NAME, DESCRIPTION, MARK_FOR_DELETION, LINE_ITEM_ID, "CASE QTY", INVENTORY_TYPE, LOCN_BRCD</t>
  </si>
  <si>
    <t>DOs in Released Status containing Deleted Item(s)</t>
  </si>
  <si>
    <t>2024-04-12T15:55:45-04:00</t>
  </si>
  <si>
    <t>YMC_PROD - RVR Items Created in Past 24 Hours</t>
  </si>
  <si>
    <t>| dbxquery query="select distinct \"Items_Created_in_Past_24_Hours\".\"ITEM_NAME\" \"Item\", \"Items_Created_in_Past_24_Hours\".\"DESCRIPTION\" \"Item_Description\", \"Items_Created_in_Past_24_Hours\".\"AUDIT_CREATED_DTTM\" \"Create_Date_Time\", \"Items_Created_in_Past_24_Hours\".\"PUTWY_TYPE\" \"Putwy_Type\"
 from (Select Cbo.Item_Name, Cbo.Description, Cbo.Audit_Created_Dttm, Facility.Putwy_Type , wms.unit_price, wms.retail_price From Item_Cbo Cbo Join Item_Facility_Mapping_Wms Facility On Cbo.Item_Id = Facility.Item_Id
 Join Item_Wms Wms On Cbo.Item_Id = Wms.Item_Id 
 Where Cbo.Audit_Created_Dttm &gt; Sysdate - 1) \"Items_Created_in_Past_24_Hours\"" connection="YMC_RVR_PROD"</t>
  </si>
  <si>
    <t>2024-04-12T15:57:32-04:00</t>
  </si>
  <si>
    <t>YMC_PROD - RVR LPNs on DOCK with 0 in Reserve</t>
  </si>
  <si>
    <t>| dbxquery query="SELECT DISTINCT \"T\".\"LOCN_BRCD\" \"Location\" , \"T\".\"Item Description\" \"Item_Description\" , \"T\".\"TC_LPN_ID\" \"LPN\" , \"T\".\"ITEM_NAME\" \"Item_Name\" , \"T\".\"CREATED_DTTM\" \"Created_Date_Time\" 
    , Round(\"T\".\"LPNQTY\", 2) \"LPN_Cases\" , \"T\".\"CASE_PICK_LOC_CASES\" \"Case_Pick_Loc_Cases\" ,
    \"T\".\"CASES_ORDERED\" 
    FROM  (SELECT main.lpnqty, main.created_Dttm, main.on_hand_qty, main.tc_lpn_id, main.item_name, main.locn_brcd, main.\"Item Description\", cp.case_pick_loc_cases, ord.CASES_ORDERED 
    FROM  (SELECT sum(LPNQty) lpnqty, created_dttm, Sum(On_Hand_Qty) On_Hand_Qty, Tc_Lpn_Id, item_Name, Locn_Brcd, \"Item Description\" 
    From (SELECT stage.LPNQty/stage.qpc lpnqty, created_dttm, Tc_Lpn_Id, stage.Item_Name, stage.locn_brcd, description \"Item Description\", CASE WHEN inv2.on_hand_qty is NULL THEN 0 ELSE inv2.on_hand_qty END on_hand_qty 
    FROM  (SELECT package.quantity qpc, inv.on_hand_qty LPNQty, lpn.created_dttm, Lpn.Tc_Lpn_Id , Dtl.Item_Id, Cbo.Item_Name, hdr.locn_brcd, cbo.description 
    FROM Lpn Lpn 
        LEFT JOIN Lpn_Detail Dtl ON Lpn.Lpn_Id = Dtl.Lpn_Id 
        LEFT JOIN wm_inventory inv ON lpn.tc_lpn_id = inv.tc_lpn_id AND dtl.item_id = inv.item_id 
        LEFT JOIN Resv_Locn_Hdr Locn ON Lpn.Curr_Sub_Locn_Id = Locn.Locn_Id 
        LEFT JOIN locn_hdr hdr ON locn.locn_id = hdr.locn_id JOIN Item_Cbo Cbo ON Dtl.Item_Id = Cbo.Item_Id 
        left outer JOIN item_package_cbo package ON cbo.item_id = package.item_id AND package.is_std = 1 AND package.mark_for_deletion = 0 AND package.package_uom_id = '117' 
    WHERE Locn.Inbd_Staging_Flag = 'Y' AND Lpn.Inbound_Outbound_Indicator = 'I' 
AND HDR.LOCN_ID NOT IN (SELECT LOCN_ID FROM LOCN_HDR WHERE LOCN_BRCD  IN ('R0199','R0299','R0399','R0499','Q0101','RCD0101') OR LOCN_BRCD LIKE '%FLEX%')
AND HDR.LOCN_ID NOT IN (SELECT LOCN_ID FROM RESV_LOCN_HDR WHERE INVN_LOCK_CODE = 'RP')) Stage 
        Left Outer JOIN  (SELECT Item_Id, Sum(On_Hand_Qty) On_Hand_Qty 
                            FROM Wm_Inventory Inv 
                            JOIN Resv_Locn_Hdr Loc 
                            ON Inv.Location_Id = Loc.Locn_Id 
                            WHERE Locn_Class = 'R' AND (inbd_staging_flag is null OR inbd_staging_flag = 'N') 
                            GROUP BY  Item_Id) Inv2 ON Stage.Item_Id = Inv2.Item_Id) 
            GROUP BY  Tc_Lpn_Id, Item_Name, Locn_Brcd, \"Item Description\", Created_Dttm 
            HAVING Sum(On_Hand_Qty) = 0)main 
                left outer JOIN  (SELECT round(suM(inv.on_hand_qty / package.quantity), 2) case_pick_loc_cases, cbo.item_name 
                                    FROM wm_inventory inv JOIN item_cbo cbo ON inv.item_id = cbo.item_id 
                                    JOIN item_package_cbo package ON cbo.item_id = package.item_id AND package.is_std = 1 AND package.mark_for_deletion = 0 AND package.package_uom_id = '117' 
                                    WHERE inv.locn_class = 'C' GROUP BY  cbo.item_name)cp ON main.item_name = cp.item_name 
                LEFT OUTER JOIN (SELECT ITEM_NAME, ROUND(OLI.ORDER_QTY / PACKAGE.QUANTITY )CASES_ORDERED 
                                FROM ORDER_LINE_ITEM OLI LEFT JOIN item_package_cbo package ON OLI.item_id = package.item_id AND package.is_std = 1 AND package.mark_for_deletion = 0 AND package.package_uom_id = '117' 
                                WHERE DO_DTL_STATUS = '110' AND OLI.ORDER_ID IN  (SELECT ORDER_ID FROM ORDERS WHERE DO_sTATUS = '110') ) ORD ON MAIN.ITEM_NAME = ORD.ITEM_NAME ) \"T\";"  connection="YMC_RVR_PROD"</t>
  </si>
  <si>
    <t>2024-04-12T15:57:06-04:00</t>
  </si>
  <si>
    <t>YMC_PROD - RVR Long Running Waves</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</si>
  <si>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NOT IN ('89', '90', '99')
 AND SWP.CREATE_DATE_TIME &lt;= SYSDATE - 25/(60*24)
 AND SWP.CREATE_DATE_TIME &gt;= SYSDATE - 35/(60*24) 
 ORDER BY SWP.SHIP_WAVE_NBR DESC
 ;" connection="YMC_RVR_PROD"</t>
  </si>
  <si>
    <t>2024-04-12T15:56:08-04:00</t>
  </si>
  <si>
    <t>YMC_PROD - RVR NULL REASON CODE</t>
  </si>
  <si>
    <t>| dbxquery query="SELECT
 DISTINCT PT.TRAN_TYPE||'-'|| PT.TRAN_CODE||'-'||PT.ACTN_CODE AS PIX_CODE, PTC.PIX_DESC
 ,LH.DSP_LOCN AS LAST_KNOWN_LOCN
 ,INVN_ADJMT_TYPE, FLOOR(INVN_ADJMT_QTY/IC.REF_FIELD4) AS CS
 ,MOD(INVN_ADJMT_QTY,IC.REF_FIELD4) AS BT
 ,PT.CASE_NBR
 ,PT.CREATE_DATE_TIME AS DTTM
 ,IC.ITEM_NAME
 ,IT.CODE_DESC AS INVENTORY_TYPE
 ,LH.LOCN_CLASS
 ,UU.USER_FIRST_NAME || ' ' || UU.USER_LAST_NAME AS EMPL
 FROM PIX_TRAN PT
 JOIN ITEM_CBO IC ON IC.ITEM_ID = PT.ITEM_ID
 JOIN PIX_TRAN_CODE PTC ON PTC.TRAN_TYPE = PT.TRAN_TYPE AND PTC.TRAN_CODE = PT.TRAN_CODE AND PTC.ACTN_CODE = NVL(PT.ACTN_CODE,'*')
 LEFT OUTER JOIN LPN L ON L.TC_LPN_ID = PT.CASE_NBR
 LEFT OUTER JOIN LOCN_HDR LH ON LH.LOCN_ID = NVL(L.CURR_SUB_LOCN_ID,L.PREV_SUB_LOCN_ID) OR PT.REF_FIELD_1 = LH.LOCN_ID
 LEFT OUTER JOIN UCL_USER UU ON UU.USER_NAME = PT.USER_ID
 LEFT OUTER JOIN SYS_CODE IT ON IT.REC_TYPE = 'B' AND IT.CODE_TYPE = '064' AND IT.CODE_ID = PT.INVN_TYPE
 WHERE PT.TRAN_TYPE||PT.TRAN_CODE||PT.ACTN_CODE in ('3000114','3000109') AND PT.CREATE_DATE_TIME &gt; SYSDATE - 1 and pt.rsn_code is null
 order by pt.create_Date_Time desc
 " connection="YMC_RVR_PROD"</t>
  </si>
  <si>
    <t>2024-04-12T15:57:59-04:00</t>
  </si>
  <si>
    <t>YMC_PROD - RVR Status 10 LPNs with no PP or RT Lock Code</t>
  </si>
  <si>
    <t>| dbxquery query="select \"T\".\"INVENTORY_LOCK_CODE\" \"LPN_Lock_Code\", 
 \"T\".\"LPN_FACILITY_STATUS\" \"LPN_Status_Code\", 
 \"T\".\"LAST_UPDATED_DTTM\" \"Modified_Date_Time\", 
 \"T\".\"C_FACILITY_ALIAS_ID\" \"Whse\", 
 \"T\".\"USER\" \"User_ID\", 
 \"T\".\"TC_LPN_ID\" \"LPN\", 
 \"T\".\"PREV_SUB_LOCN_ID\" \"PREV_SUB_LOCN_ID\", 
 \"T\".\"DSP_LOCN\" \"Previous_Location\", 
 \"T\".\"ITEM_NAME\" \"Item\", 
 \"T\".\"DESCRIPTION\" \"Item_Description\"
 from (Select
 Locn.DSP_LOCN, Lpn.Tc_Lpn_Id,  
 Lpn.Prev_Sub_Locn_Id, 
 cbo.item_name, 
 cbo.description,  
 UU.USER_FIRST_NAME ||' '||UU.USER_LAST_NAME \"USER\", 
 Lpn.C_Facility_Alias_Id, 
 Lpn.Last_Updated_Dttm, 
 Lpn.Lpn_Facility_Status, 
 Inventory_Lock_Code
 From Lpn Lpn 
 Join Lpn_Lock Lpn_Lock On Lpn.Tc_Lpn_Id = Lpn_Lock.Tc_Lpn_Id 
 join lpn_detail ld on lpn.lpn_id = ld.lpn_id 
 join item_wms wms on ld.item_id = wms.item_id 
 join item_cbo cbo on ld.item_id = cbo.item_id
 left outer join locn_hdr locn on lpn.Prev_Sub_Locn_Id = locn.locn_id
 join ucl_user uu on Lpn.Last_Updated_Source = uu.user_name
 Where lpn.Lpn_Facility_Status = '10' and (inventory_lock_code is null or inventory_lock_code not in ('PP','RT'))) \"T\"" connection="YMC_RVR_PROD"</t>
  </si>
  <si>
    <t>This alert shows all LPNs in Status 10 (In Inventory Not Putaway) that do not have a Pending Putaway or Returns lock code.</t>
  </si>
  <si>
    <t>2024-04-12T15:58:08-04:00</t>
  </si>
  <si>
    <t>YMC_PROD - RVR Wave Abort</t>
  </si>
  <si>
    <t>| dbxquery query="SELECT 
 SWP.WHSE
 ,SWP.SHIP_WAVE_NBR AS WAVE
 ,SWP.WAVE_DESC AS \"WAVE DESC\"
 ,SWP.STAT_CODE || '-' || SC.CODE_DESC AS \"WAVE STATUS\"
 ,UU.USER_NAME || '-' || UU.USER_FIRST_NAME || ' ' || UU.USER_LAST_NAME AS \"WAVE RAN BY\"
 ,SWP.CREATE_DATE_TIME AS \"WAVE START TIME\"
 ,SYSDATE-SWP.CREATE_DATE_TIME AS \"TIME SINCE WAVE RAN\"
 FROM SHIP_WAVE_PARM SWP
 JOIN SYS_CODE SC ON SC.REC_TYPE = 'S' AND SC.CODE_TYPE = '275' AND SC.CODE_ID = SWP.STAT_CODE
 JOIN UCL_USER UU ON UU.USER_NAME = SWP.USER_ID
 WHERE SWP.SHIP_WAVE_NBR IS NOT NULL
 AND SWP.STAT_CODE IN ('10', '89')
 AND SWP.CREATE_DATE_TIME &gt;= SYSDATE - 20/(60*24)
 ORDER BY SWP.SHIP_WAVE_NBR DESC
 ;" connection="YMC_RVR_PROD"</t>
  </si>
  <si>
    <t>wave in aborted or suspended status</t>
  </si>
  <si>
    <t>2024-04-12T15:56:22-04:00</t>
  </si>
  <si>
    <t>YMC_PROD TCY - Combo Shorted</t>
  </si>
  <si>
    <t>| dbxquery query="with t as (
 select tc_lpn_id olpn, o.tc_order_id do, ld.tc_order_line_id order_line, oli.ppack_qty required_qty
 , aid.qty_pulld pulled_qty, aid.alloc_uom_qty, l.lpn_facility_status
 , fac.description olpn_status, oli.ppack_grp_code combo_code, ic.description, ic.item_name ITEM, ipc.quantity qpc
 , round(sum(oli.ppack_qty)over(partition by oli.order_id,ppack_grp_code),2) total_combo_order_qty
 , round(sum(aid.qty_pulld)over(partition by oli.order_id,ppack_grp_code),2) total_combo_pulled_qty 
 from lpn_detail ld
 left join lpn l on l.lpn_id =  ld.lpn_id
 left join orders o on o.order_id = l.order_id
 left join order_line_item oli on oli.line_item_id = ld.distribution_order_dtl_id
 left join lpn_facility_status fac on fac.lpn_facility_status = l.lpn_facility_status and fac.inbound_outbound_indicator = 'O'
 left join item_cbo ic on ic.item_id = oli.item_id
 left join item_package_cbo ipc on ipc.item_id = ic.item_id and ipc.is_std ='1' and ipc.mark_for_deletion = '0' and ipc.package_uom_id = '117'
 left join alloc_invn_dtl aid on aid.carton_seq_nbr = ld.lpn_detail_id and aid.item_id = ld.item_id
 where 1=1
 and o.do_status &lt; 190
 and oli.ppack_grp_code is not null
 and l.created_dttm &gt; sysdate -1
 and l.wave_nbr in (select wave_nbr from wave_parm where wave_stat_code = '50')
 and l.last_updated_dttm &gt; sysdate - 2/24
 )
 select olpn, do \"DO#\", order_line \"LINE#\",combo_code \"COMBO CODE\", required_qty \"REQUIRED QTY\", pulled_qty \"PULLED QTY\", olpn_status \"OLPN STATUS\", item, description, qpc, total_combo_order_qty \"COMBO QTY ORDERED\" , total_combo_pulled_qty \"COMBO QTY PULLED\"
 from t 
 where 1=1 
 and lpn_facility_status &gt;= 20 
 and lpn_facility_status &lt; 90
 and pulled_qty &lt; required_qty
 and do||order_line not in (select do||order_line from t where lpn_facility_status  &lt; 20)" connection="YMC_TCY_PROD"</t>
  </si>
  <si>
    <t>DB</t>
  </si>
  <si>
    <r>
      <rPr>
        <b/>
        <sz val="11"/>
        <color rgb="FFC00000"/>
        <rFont val="Aptos Narrow"/>
        <scheme val="minor"/>
      </rPr>
      <t>File Check</t>
    </r>
    <r>
      <rPr>
        <sz val="11"/>
        <color rgb="FF000000"/>
        <rFont val="Aptos Narrow"/>
        <scheme val="minor"/>
      </rPr>
      <t xml:space="preserve"> </t>
    </r>
  </si>
  <si>
    <t>OnPrem</t>
  </si>
  <si>
    <t>DB Query</t>
  </si>
  <si>
    <t>MySQL/Cloud</t>
  </si>
  <si>
    <t>| dbxquery query="select DISTINCT INV.ORG_ID, LOC.LOCATION_ID, INV.ITEM_ID, INV.ON_HAND, INV.INVENTORY_ID, INV.CREATED_BY, INV.UPDATED_BY, INV.LAST_LOCATED_DATE_TIME, INV.PROCESS, INV.UPDATED_TIMESTAMP
FROM default_dcinventory.DCI_LOCATION LOC
LEFT JOIN default_dcinventory.DCI_INVENTORY INV on INV.LOCATION_ID = LOC.LOCATION_ID AND SUBSTR(LOC.PROFILE_ID,1,3) = INV.ORG_ID
WHERE LOC.STORAGE_UOM_ID = 'LPN' 
AND (INV.INVENTORY_CONTAINER_TYPE_ID = 'LOCATION' AND INV.ON_HAND &gt; 0)
 " connection="MAPRD_NEW" 
|rename ORG_ID AS "ORG ID", LOCATION_ID AS "LOCATION ID", ITEM_ID AS "ITEM ID", ON_HAND AS "ON HAND", INVENTORY_ID AS "INVENTORY ID", CREATED_BY AS "CREATED BY", UPDATED_BY AS "UPDATED BY", LAST_LOCATED_DATE_TIME AS "LAST LOCATED DATE TIME", UPDATED_TIMESTAMP AS "UPDATED TIMESTAMP"
|table "ORG ID", "LOCATION ID", "ITEM ID", "ON HAND", "INVENTORY ID", "CREATED BY", "UPDATED BY", "LAST LOCATED DATE TIME", PROCESS, "UPDATED TIMESTAMP"</t>
  </si>
  <si>
    <t>MySQL</t>
  </si>
  <si>
    <t xml:space="preserve"> dbxquery query="select INV.ORG_ID, L.STATUS, L.PARENT_LPN_ID as PALLET, INV.ON_HAND AS PLT_QTY, INV.ALLOCATED AS PLT_ALLOCATED_QTY ,INV.TO_BE_FILLED AS PLT_TBF, INV.LOCATION_ID AS PLT_LOCATION, L.ILPN_ID AS CHILD_LPN , INV.ITEM_ID
from default_dcinventory.DCI_INVENTORY INV
LEFT JOIN default_dcinventory.DCI_ILPN L ON L.PARENT_LPN_ID = INV.ILPN_ID AND L.ORG_ID = INV.ORG_ID
where L.PARENT_LPN_ID  IN (SELECT ILPN_ID FROM default_dcinventory.DCI_INVENTORY)
and L.PARENT_LPN_ID IN (SELECT ILPN_ID FROM default_dcinventory.DCI_ILPN where status not in ('9000','11000')
);" connection="MAPRD_NEW"</t>
  </si>
  <si>
    <t>AUB - MISSING WM_INVENTORY RECORD</t>
  </si>
  <si>
    <t>Oracle/OnPrem</t>
  </si>
  <si>
    <t>dbxquery query="SELECT
 PLD.PICK_LOCN_DTL_ID,
 LH.DSP_LOCN,
 IC.ITEM_NAME,
 PLD.INVN_TYPE 
 FROM
 WMSAUB.PICK_LOCN_DTL PLD 
 LEFT JOIN
 WMSAUB.LOCN_HDR LH 
 ON LH.LOCN_ID = PLD.LOCN_ID 
 LEFT JOIN
 WMSAUB.ITEM_CBO IC 
 ON IC.ITEM_ID = PLD.ITEM_ID 
 LEFT JOIN
 WMSAUB.WM_INVENTORY WI 
 ON WI.LOCATION_ID = PLD.LOCN_ID 
 AND WI.ITEM_ID = PLD.ITEM_ID 
 AND WI.INVENTORY_TYPE = PLD.INVN_TYPE 
 WHERE
 WI.WM_INVENTORY_ID IS NULL AND PLD.LAST_WAVE_NBR NOT IN ( SELECT MAX(SHIP_WAVE_NBR) FROM WMSAUB.SHIP_WAVE_PARM ) " connection="YMC_PROD"</t>
  </si>
  <si>
    <t>DEN - MAWM - Inventory Adjustment PIX Missing Reason Code</t>
  </si>
  <si>
    <t xml:space="preserve"> 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'DEN'" connection="MAPRD_NEW"
 | rename ORG_ID as "Org ID", CREATED_TIMESTAMP as "Created Timestamp", ITEM_ID as "Item ID", QUANTITY as "Quantity", REASON_CODE_ID as "Reason Code ID", SYNC_BATCH_ID as "Sync Batch ID", PIX_SPECIFICATION_ID as "PIX Specification ID", STATUS AS "Status", CREATED_BY as "Created By"
 | table "Org ID", "Created Timestamp", "Item ID", "Quantity", "Reason Code ID", "Sync Batch ID", "PIX Specification ID", "Status", "Created By"</t>
  </si>
  <si>
    <t>DEN - MAWM - Locations w/ Inventory for Items not Assigned</t>
  </si>
  <si>
    <t>MySQL/OnPrem</t>
  </si>
  <si>
    <t>dbxquery query="select INVN.ORG_ID, INVN.LOCATION_ID, LOC.PICK_ALLOCATION_ZONE_ID,COUNT(DISTINCT(INVN.ITEM_ID)) ITEMS,
(case when INVN.LOCATION_ID IN (SELECT INVN_2.LOCATION_ID FROM default_dcinventory.DCI_INVENTORY INVN_2 WHERE INVN.LOCATION_ID = INVN_2.LOCATION_ID AND INVN.ORG_ID = INVN_2.ORG_ID AND INVN_2.TO_BE_FILLED &gt; 0) THEN 'TBF' ELSE null END) TBF,
(case when INVN.LOCATION_ID IN (SELECT INVN_2.LOCATION_ID FROM default_dcinventory.DCI_INVENTORY INVN_2 WHERE INVN.LOCATION_ID = INVN_2.LOCATION_ID AND INVN.ORG_ID = INVN_2.ORG_ID AND INVN_2.ALLOCATED &gt; 0) THEN 'TBP' ELSE null END) TBP
from default_dcinventory.DCI_INVENTORY INVN
left join default_dcinventory.DCI_LOCATION LOC on LOC.LOCATION_ID = INVN.LOCATION_ID AND INVN.ORG_ID = SUBSTR(LOC.PROFILE_ID,1,3)
left join default_dcinventory.DCI_ILPN ILPN ON ILPN.ORG_ID = INVN.ORG_ID AND ILPN.ILPN_ID = INVN.ILPN_ID
where (LOC.STORAGE_UOM_ID = 'LPN' AND LOC.MAX_ITEMS = 1 AND LOC.LOCATION_TYPE_ID = 'STORAGE' AND LOC.PICK_ALLOCATION_ZONE_ID IS NOT NULL) and INVN.ITEM_ID NOT IN (select ASSIGN.Item_id
from default_dcinventory.DCI_LOCATION_ITEM_ASSIGNMENT ASSIGN WHERE ASSIGN.LOCATION_ID = INVN.LOCATION_ID AND INVN.ORG_ID = ASSIGN.ORG_ID)
and INVN.LOCATION_ID NOT IN ('SLOT01','RETURN','DEFECT')
AND LOC.PROFILE_ID = 'DEN_Fac_Prof' AND ILPN.SINGLE_ITEM_LPN = '1'
GROUP BY INVN.ORG_ID, INVN.LOCATION_ID, LOC.PICK_ALLOCATION_ZONE_ID
HAVING COUNT(DISTINCT(INVN.ITEM_ID)) &gt; 0
Order by INVN.LOCATION_ID" connection="MAPRD_NEW"
  |rename ITEMS as Items, LOCATION_ID as "Location ID", PICK_ALLOCATION_ZONE_ID as "Pick Allocation Zone ID", TBF as "To Be Filled", TBP as "To Be Picked"
 |table Item, "Location ID", "Pick Allocation Zone ID", "To Be Filled", "To Be Picked"</t>
  </si>
  <si>
    <t>DEN - MAWM - Temporary Reserve Locations w/ Assignments, but no Inventory</t>
  </si>
  <si>
    <t>dbxquery query="SELECT ASSIGN.ORG_ID, ASSIGN.LOCATION_ID, ASSIGN.ITEM_ID, ASSIGN.ASSIGNMENT_ID 
FROM default_dcinventory.DCI_LOCATION_ITEM_ASSIGNMENT ASSIGN 
LEFT JOIN default_dcinventory.DCI_LOCATION LOC ON LOC.LOCATION_ID = ASSIGN.LOCATION_ID  AND SUBSTR(LOC.PROFILE_ID,1,3) = ASSIGN.ORG_ID
WHERE ASSIGN.LOCATION_ID NOT IN  
    (
        SELECT DISTINCT INVN1.LOCATION_ID 
        FROM default_dcinventory.DCI_INVENTORY INVN1 
        WHERE INVN1.LOCATION_ID IS NOT NULL
    ) 
AND ASSIGN.LOCATION_ID NOT IN  
    (
        SELECT DISTINCT INVN2.INVENTORY_CONTAINER_ID 
        FROM default_dcinventory.DCI_INVENTORY INVN2
        WHERE INVN2.INVENTORY_CONTAINER_TYPE_ID = 'LOCATION'
    ) 
AND LOC.STORAGE_UOM_ID = 'LPN' 
AND LOC.SKU_DEDICATION_TYPE_ID = 'TEMPORARY' 
AND LOC.LOCATION_TYPE_ID = 'STORAGE' 
AND ASSIGN.ORG_ID = 'DEN'" connection="MAPRD_NEW"
| rename ORG_ID AS "Org ID", ASSIGNMENT_ID AS "Assignment ID", ITEM_ID AS "Item ID", "LOCATION_ID" AS "Location ID"
| table "Org ID", "Assignment ID", "Item ID", "Location ID"</t>
  </si>
  <si>
    <t>DEN - MAWM - Temporary Reserve Locations w/ Inventory, but no Assignments</t>
  </si>
  <si>
    <t>dbxquery query="select DISTINCT INVN.ORG_ID, INVN.LOCATION_ID, COUNT(DISTINCT(INVN.ITEM_ID)) COUNT 
 from default_dcinventory.DCI_INVENTORY INVN
 left join default_dcinventory.DCI_LOCATION LOC on LOC.LOCATION_ID = INVN.LOCATION_ID AND SUBSTR(LOC.PROFILE_ID,1,3)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 'DEN_Fac_Prof'
 group by INVN.ORG_ID, INVN.LOCATION_ID
 ORDER BY COUNT(DISTINCT(INVN.ITEM_ID)) DESC" connection="MAPRD_NEW" |rename ORG_ID AS "Org ID", COUNT as Count, LOCATION_ID AS "Location ID"
 |table "Org ID", "Location ID", Count</t>
  </si>
  <si>
    <t xml:space="preserve">File Check </t>
  </si>
  <si>
    <t>DFB - MAWM - Inventory Adjustment PIX Missing Reason Code</t>
  </si>
  <si>
    <t>DFB - MAWM - Temporary Reserve Locations w/ Inventory, but no Assignments</t>
  </si>
  <si>
    <t>LAF - MAWM - Inventory Adjustment PIX Missing Reason Code</t>
  </si>
  <si>
    <t>LAF - MAWM - Locations w/ Inventory for Items not Assigned</t>
  </si>
  <si>
    <t>LUB - MAWM - Inventory Adjustment PIX Missing Reason Code</t>
  </si>
  <si>
    <t>LUB - MAWM - Locations w/ Inventory for Items not Assigned</t>
  </si>
  <si>
    <t>LUB - MAWM - Temporary Reserve Locations w/ Assignments, but no Inventory</t>
  </si>
  <si>
    <t>LUB - MAWM - Temporary Reserve Locations w/ Inventory, but no Assignments</t>
  </si>
  <si>
    <t>WMS - ASH Aged Inventory</t>
  </si>
  <si>
    <t>WMS - Aged Inventory</t>
  </si>
  <si>
    <t>WMS - CORP Aged Inventory</t>
  </si>
  <si>
    <t>WMS - InventorySync failed due to WMS factory</t>
  </si>
  <si>
    <t>Check source log for Warehouse</t>
  </si>
  <si>
    <t xml:space="preserve">Log Check </t>
  </si>
  <si>
    <t>WMS â€“ RNDC WEST AUB - Orders with Null Inventory Type</t>
  </si>
  <si>
    <t>| dbxquery query="SELECT  (SELECT DISTINCT whse FROM locn_hdr) whse, tc_order_id, do_Status, delivery_end_Dttm, created_dttm FROM orders WHERE order_id IN  (SELECT order_id FROM order_line_item WHERE invn_type is null) AND do_status = '110' " connection="YMC_AUB_PROD"</t>
  </si>
  <si>
    <t>WMS â€“ RNDC WEST CHI- Orders with Null Inventory Type</t>
  </si>
  <si>
    <t>WMS â€“ RNDC WEST POR - Orders with Null Inventory Type</t>
  </si>
  <si>
    <t>YMC_QA - CHI - MISSING WM_INVENTORY RECORD</t>
  </si>
  <si>
    <t>CHI - MISSING WM_INVENTORY RECORD</t>
  </si>
  <si>
    <t>ABQ - MAWM - Inventory Adjustment PIX Missing Reason Code</t>
  </si>
  <si>
    <t>ABQ - MAWM - Locations w/ Inventory for Items not Assigned</t>
  </si>
  <si>
    <t>ABQ - MAWM - Temporary Reserve Locations w/ Assignments, but no Inventory</t>
  </si>
  <si>
    <t>ABQ - MAWM - Temporary Reserve Locations w/ Inventory, but no Assignments</t>
  </si>
  <si>
    <t>ALL -  MAWM - Multiple Inventory Records for the Same Location/Item</t>
  </si>
  <si>
    <t>ALL - MAWM - Cancelled oLPNs With Inventory Records</t>
  </si>
  <si>
    <t>Oracle/Cloud</t>
  </si>
  <si>
    <t>ALL - MAWM - Shipped oLPN With Inventory Record</t>
  </si>
  <si>
    <t>ALL - MAWM â€“ Inventory Records with Pack Quantity Populated</t>
  </si>
  <si>
    <t>ALL MAWM - Inventory Adjustments Missing Reason Code</t>
  </si>
  <si>
    <t>MAWM - Inventory Adjustments Missing Reason Code</t>
  </si>
  <si>
    <t>ASH - MAWM - Inventory Adjustment PIX Missing Reason Code</t>
  </si>
  <si>
    <t>ASH - MAWM - Locations w/ Inventory for Items not Assigned</t>
  </si>
  <si>
    <t>ASH - MAWM - Temporary Reserve Locations w/ Assignments, but no Inventory</t>
  </si>
  <si>
    <t>ASH - MAWM - Temporary Reserve Locations w/ Inventory, but no Assignments</t>
  </si>
  <si>
    <t>ATL - MAWM - Inventory Adjustment PIX Missing Reason Code</t>
  </si>
  <si>
    <t>ATL - MAWM - Locations w/ Inventory for Items not Assigned</t>
  </si>
  <si>
    <t>ATL - MAWM - Temporary Reserve Locations w/ Assignments, but no Inventory</t>
  </si>
  <si>
    <t>ATL - MAWM - Temporary Reserve Locations w/ Inventory, but no Assignments</t>
  </si>
  <si>
    <t>COL - MAWM - Inventory Adjustment PIX Missing Reason Code</t>
  </si>
  <si>
    <t>COL - MAWM - Locations w/ Inventory for Items not Assigned</t>
  </si>
  <si>
    <t>COL - MAWM - Temporary Reserve Locations w/ Assignments, but no Inventory</t>
  </si>
  <si>
    <t>COL - MAWM - Temporary Reserve Locations w/ Inventory, but no Assignments</t>
  </si>
  <si>
    <t>DFB - Inventory Adjustments Greater than $750 in the Last 24 Hours</t>
  </si>
  <si>
    <t>DFB - MAWM - Locations w/ Inventory for Items not Assigned</t>
  </si>
  <si>
    <t>DFB - MAWM - Temporary Reserve Locations w/ Assignments, but no Inventory</t>
  </si>
  <si>
    <t>FAR - MAWM - Inventory Adjustment PIX Missing Reason Code</t>
  </si>
  <si>
    <t>FAR - MAWM - Locations w/ Inventory for Items not Assigned</t>
  </si>
  <si>
    <t>FAR - MAWM - Temporary Reserve Locations w/ Assignments, but no Inventory</t>
  </si>
  <si>
    <t>FAR - MAWM - Temporary Reserve Locations w/ Inventory, but no Assignments</t>
  </si>
  <si>
    <t>GRP - MAWM - Inventory Adjustment PIX Missing Reason Code</t>
  </si>
  <si>
    <t>GRP - MAWM - Locations w/ Inventory for Items not Assigned</t>
  </si>
  <si>
    <t>GRP - MAWM - Temporary Reserve Locations w/ Assignments, but no Inventory</t>
  </si>
  <si>
    <t>GRP - MAWM - Temporary Reserve Locations w/ Inventory, but no Assignments</t>
  </si>
  <si>
    <t>HOU - MAWM - Inventory Adjustment PIX Missing Reason Code</t>
  </si>
  <si>
    <t>HOU - MAWM - Locations w/ Inventory for Items not Assigned</t>
  </si>
  <si>
    <t>HOU - MAWM - Temporary Reserve Locations w/ Assignments, but no Inventory</t>
  </si>
  <si>
    <t>HOU - MAWM - Temporary Reserve Locations w/ Inventory, but no Assignments</t>
  </si>
  <si>
    <t>JES â€“ MAWM â€“ Inventory Balance Report</t>
  </si>
  <si>
    <t>HOU â€“ MAWM â€“ Inventory Balance Report</t>
  </si>
  <si>
    <t>IND - MAWM - Inventory Adjustment PIX Missing Reason Code</t>
  </si>
  <si>
    <t>IND - MAWM - Locations w/ Inventory for Items not Assigned</t>
  </si>
  <si>
    <t>IND - MAWM - Temporary Reserve Locations w/ Assignments, but no Inventory</t>
  </si>
  <si>
    <t>IND - MAWM - Temporary Reserve Locations w/ Inventory, but no Assignments</t>
  </si>
  <si>
    <t>JAC - MAWM - Inventory Adjustment PIX Missing Reason Code</t>
  </si>
  <si>
    <t>JAC - MAWM - Locations w/ Inventory for Items not Assigned</t>
  </si>
  <si>
    <t>JAC - MAWM - Temporary Reserve Locations w/ Assignments, but no Inventory</t>
  </si>
  <si>
    <t>JAC - MAWM - Temporary Reserve Locations w/ Inventory, but no Assignments</t>
  </si>
  <si>
    <t>LAF - MAWM - Temporary Reserve Locations w/ Assignments, but no Inventory</t>
  </si>
  <si>
    <t>LAF - MAWM - Temporary Reserve Locations w/ Inventory, but no Assignments</t>
  </si>
  <si>
    <t>NEW - MAWM - Inventory Adjustment PIX Missing Reason Code</t>
  </si>
  <si>
    <t>NEW - MAWM - Locations w/ Inventory for Items not Assigned</t>
  </si>
  <si>
    <t>NEW - MAWM - Temporary Reserve Locations w/ Assignments, but no Inventory</t>
  </si>
  <si>
    <t>NEW - MAWM - Temporary Reserve Locations w/ Inventory, but no Assignments</t>
  </si>
  <si>
    <t>OKL - MAWM - Inventory Adjustment PIX Missing Reason Code</t>
  </si>
  <si>
    <t>OKL - MAWM - Locations w/ Inventory for Items not Assigned</t>
  </si>
  <si>
    <t>OKL - MAWM - Temporary Reserve Locations w/ Assignments, but no Inventory</t>
  </si>
  <si>
    <t>OKL - MAWM - Temporary Reserve Locations w/ Inventory, but no Assignments</t>
  </si>
  <si>
    <t>OMA - MAWM - Inventory Adjustment PIX Missing Reason Code</t>
  </si>
  <si>
    <t>OMA - MAWM - Locations w/ Inventory for Items not Assigned</t>
  </si>
  <si>
    <t>OMA - MAWM - Temporary Reserve Locations w/ Assignments, but no Inventory</t>
  </si>
  <si>
    <t>OMA - MAWM - Temporary Reserve Locations w/ Inventory, but no Assignments</t>
  </si>
  <si>
    <t>ORL - MAWM - Inventory Adjustment PIX Missing Reason Code</t>
  </si>
  <si>
    <t>ORL - MAWM - Locations w/ Inventory for Items not Assigned</t>
  </si>
  <si>
    <t>ORL - MAWM - Temporary Reserve Locations w/ Assignments, but no Inventory</t>
  </si>
  <si>
    <t>ORL - MAWM - Temporary Reserve Locations w/ Inventory, but no Assignments</t>
  </si>
  <si>
    <t>SAA - MAWM - Inventory Adjustment PIX Missing Reason Code</t>
  </si>
  <si>
    <t>SAA - MAWM - Locations w/ Inventory for Items not Assigned</t>
  </si>
  <si>
    <t>SAA - MAWM - Temporary Reserve Locations w/ Assignments, but no Inventory</t>
  </si>
  <si>
    <t>SAA - MAWM - Temporary Reserve Locations w/ Inventory, but no Assignments</t>
  </si>
  <si>
    <t>TCY - Inactive Items With Inventory</t>
  </si>
  <si>
    <t>POR - MAWM - Inactive/Blocked/On-Hold Items With Inventory</t>
  </si>
  <si>
    <t>MAWM - Routes With Multiple Wave Numbers</t>
  </si>
  <si>
    <t>| dbxquery query="SELECT T.ORG_ID, T.EXT_ROUTE_ID,  COUNT(DISTINCT T.WAVE_NBR) WAVE_NBR FROM (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'ASH' and O.pipeline_id ='RNDC_Standard_Order_Pipeline'
JOIN default_dcorder.DCO_ORDER_PLAN_RUN_STRATEGY PLA ON
(case when OL.ORIGINAL_ORDER_PLANNING_RUN_ID is null then OL.ORDER_PLANNING_RUN_ID else OL.ORIGINAL_ORDER_PLANNING_RUN_ID end) = PLA.order_planning_run_id
WHERE 1=1
AND UPPER(PLA.PLANNING_STRATEGY_ID) LIKE '%STANDARD%' and PLA.status &lt;&gt; '900'
AND OL.STATUS IN ('CREATED','READY','WORKINPROGRESS','WORKCOMPLETED','ALLOCATED','FAILED','PACKING','PACKED','STAGED','MANIFESTED')
AND OL.ORIGINAL_ORDER_ID IN (SELECT ORIGINAL_ORDER_ID FROM default_dcorder.DCO_ORDER WHERE ORDER_TYPE = 'Standard')
AND OL.ORG_ID = 'ASH'
AND  (OL.ORIGINAL_ORDER_PLANNING_RUN_ID IN (SELECT RUN_ID FROM default_dcallocation.DCA_ALLOCATION_RUN WHERE CREATED_TIMESTAMP &gt; NOW() - INTERVAL 18 HOUR)
OR OL.ORDER_PLANNING_RUN_ID  IN (SELECT RUN_ID FROM default_dcallocation.DCA_ALLOCATION_RUN WHERE CREATED_TIMESTAMP &gt; NOW() - INTERVAL 18 HOUR)
)
) T
GROUP BY T.ORG_ID, T.EXT_ROUTE_ID
having count(DISTINCT WAVE_NBR) &gt; 1" connection="MAPRD_NEW"</t>
  </si>
  <si>
    <t>WMS â€“ RNDC WEST RVR- Orders with Null Inventory Type</t>
  </si>
  <si>
    <t>WMS â€“ RNDC WEST TCY - Orders with Null Inventory Type</t>
  </si>
  <si>
    <t>WSD - MAWM - Inventory Adjustment PIX Missing Reason Code</t>
  </si>
  <si>
    <t>WSD - MAWM - Locations w/ Inventory for Items not Assigned</t>
  </si>
  <si>
    <t>WSD - MAWM - Temporary Reserve Locations w/ Assignments, but no Inventory</t>
  </si>
  <si>
    <t>WSD - MAWM - Temporary Reserve Locations w/ Inventory, but no Assignments</t>
  </si>
  <si>
    <t>PEN €“ MAWM â€“ Inventory Balance Report</t>
  </si>
  <si>
    <t>PEN â€“ MAWM â€“ Inventory Balance Report</t>
  </si>
  <si>
    <t xml:space="preserve">Script </t>
  </si>
  <si>
    <t>No of Houses</t>
  </si>
  <si>
    <t>Houses</t>
  </si>
  <si>
    <t>MAWM - Inventory Adjustment PIX Missing Reason Code</t>
  </si>
  <si>
    <t>Cloud: ABQ, ASH, ATL, COL, DEN, DFB, FAR, GRP, HOU, IND, JAC, LAF, LUB, NEW, OKL, OMA, ORL, SAA, WSD</t>
  </si>
  <si>
    <t>MAWM - Locations w/ Inventory for Items not Assigned</t>
  </si>
  <si>
    <t>MAWM - Temporary Reserve Locations w/ Assignments, but no Inventory</t>
  </si>
  <si>
    <t>Cloud: ABQ, ASH, ATL, COL, DEN, DFB, FAR, GRP, HOU, IND, JAC, LAF, LUB, NEW, OKL, OMA, SAA, WSD; On-Prem: JES, TAM, SIO, ROM, OAH, MAU, LOU, LIV, KAP, ARK, ELP, ORL, CCR, PEN, AUB, POR</t>
  </si>
  <si>
    <t>MAWM - Temporary Reserve Locations w/ Inventory, but no Assignments</t>
  </si>
  <si>
    <t>Cloud: ABQ, ASH, ATL, COL, DEN, DFB, FAR, GRP, HOU, IND, JAC, LAF, LUB, NEW, OKL, OMA OnPrem: SIO, OAU, ROM, MAU, LOU, LIV, KAU, KAP, JES, HAW, ELP, TAM, CCR, AUB, CCR, WSD, SAA, POR, PEN, ORL, ARK</t>
  </si>
  <si>
    <t>ALL</t>
  </si>
  <si>
    <t>Orders with Null Inventory Type</t>
  </si>
  <si>
    <t>OnPrem: AUB, POR</t>
  </si>
  <si>
    <t>Inventory Balance Report</t>
  </si>
  <si>
    <t>OnPrem: JES, PEN</t>
  </si>
  <si>
    <t>AUB, WSD, TAM, POR, LOU, JES, ELP</t>
  </si>
  <si>
    <t>Number of Instances</t>
  </si>
  <si>
    <t>Average Events per Instance</t>
  </si>
  <si>
    <t>Number of Operating Hours</t>
  </si>
  <si>
    <t>Daily Total Events</t>
  </si>
  <si>
    <t>Blank = NO</t>
  </si>
  <si>
    <t>Script</t>
  </si>
  <si>
    <t>Site</t>
  </si>
  <si>
    <t>Desired CRON</t>
  </si>
  <si>
    <t>Cron Expansion</t>
  </si>
  <si>
    <t>Daily Frequency</t>
  </si>
  <si>
    <t>Hourly Frequency</t>
  </si>
  <si>
    <t>Tempo Requirement
Time Interval, Duration/Interval</t>
  </si>
  <si>
    <t>Prioritized</t>
  </si>
  <si>
    <t xml:space="preserve">02 10 * * 1-5 </t>
  </si>
  <si>
    <t>At 10:02 on every day-of-week from Monday through Friday</t>
  </si>
  <si>
    <t>Apps</t>
  </si>
  <si>
    <t xml:space="preserve">0 9 * * 1-5 </t>
  </si>
  <si>
    <t>At 09:00 AM, Monday through Friday</t>
  </si>
  <si>
    <t xml:space="preserve">04 8 * * 1-5 </t>
  </si>
  <si>
    <t>At 08:04 AM, Monday through Friday</t>
  </si>
  <si>
    <t xml:space="preserve">02 8 * * 1-5 </t>
  </si>
  <si>
    <t>At 08:02 AM, Monday through Friday</t>
  </si>
  <si>
    <t xml:space="preserve">0 8 * * 1-5 </t>
  </si>
  <si>
    <t>At 08:00 AM, Monday through Friday</t>
  </si>
  <si>
    <t xml:space="preserve">13 8 * * 1-5 </t>
  </si>
  <si>
    <t>At 08:13 AM, Monday through Friday</t>
  </si>
  <si>
    <t xml:space="preserve">08 8 * * 1-5 </t>
  </si>
  <si>
    <t>At 08:08 AM, Monday through Friday</t>
  </si>
  <si>
    <t xml:space="preserve">0 10 * * 1-5 </t>
  </si>
  <si>
    <t>At 10:00 AM, Monday through Friday</t>
  </si>
  <si>
    <t xml:space="preserve">06 8 * * 1-5 </t>
  </si>
  <si>
    <t>At 08:06 AM, Monday through Friday</t>
  </si>
  <si>
    <t xml:space="preserve">15 8 * * 1-5 </t>
  </si>
  <si>
    <t>At 08:15 AM, Monday through Friday</t>
  </si>
  <si>
    <t xml:space="preserve">00 5 * * 1-5 </t>
  </si>
  <si>
    <t>At 05:00 AM, Monday through Friday</t>
  </si>
  <si>
    <t xml:space="preserve">12 8 * * 1-5 </t>
  </si>
  <si>
    <t>At 08:12 AM, Monday through Friday</t>
  </si>
  <si>
    <t xml:space="preserve">10 8 * * 1-5 </t>
  </si>
  <si>
    <t>At 08:10 AM, Monday through Friday</t>
  </si>
  <si>
    <t xml:space="preserve">02 9 * * 1-5 </t>
  </si>
  <si>
    <t>At 09:02 AM, Monday through Friday</t>
  </si>
  <si>
    <t xml:space="preserve">04 9 * * 1-5 </t>
  </si>
  <si>
    <t>At 09:04 AM, Monday through Friday</t>
  </si>
  <si>
    <t xml:space="preserve">14 8 * * 1-5 </t>
  </si>
  <si>
    <t>At 08:14 AM, Monday through Friday</t>
  </si>
  <si>
    <t xml:space="preserve">20 8 * * 1-5 </t>
  </si>
  <si>
    <t>At 08:20 AM, Monday through Friday</t>
  </si>
  <si>
    <t xml:space="preserve">30 12 * * 0 </t>
  </si>
  <si>
    <t>Run the task every Sunday at 12:30 PM.</t>
  </si>
  <si>
    <t>It can be execute early 30 ins or delayed 15 min : 12:30 - 2:45</t>
  </si>
  <si>
    <t xml:space="preserve">30 11 * * 0 </t>
  </si>
  <si>
    <t>At 11:30 AM, only on Sunday</t>
  </si>
  <si>
    <t xml:space="preserve">45 13 * * 0 </t>
  </si>
  <si>
    <t>At 01:45 PM, only on Sunday</t>
  </si>
  <si>
    <t xml:space="preserve">15 13 * * 0 </t>
  </si>
  <si>
    <t>At 01:15 PM, only on Sunday</t>
  </si>
  <si>
    <t xml:space="preserve">01 14 * * 0 </t>
  </si>
  <si>
    <t>At 02:01 PM, only on Sunday</t>
  </si>
  <si>
    <t xml:space="preserve">00 14 * * 0 </t>
  </si>
  <si>
    <t>At 02:00 PM, only on Sunday</t>
  </si>
  <si>
    <t xml:space="preserve">30 13 * * 0 </t>
  </si>
  <si>
    <t>At 01:30 PM, only on Sunday</t>
  </si>
  <si>
    <t xml:space="preserve">10 12 * * 0 </t>
  </si>
  <si>
    <t>At 12:10 PM, only on Sunday</t>
  </si>
  <si>
    <t xml:space="preserve">45 14 * * 0 </t>
  </si>
  <si>
    <t>At 02:45 PM, only on Sunday</t>
  </si>
  <si>
    <t xml:space="preserve">50 11 * * 0 </t>
  </si>
  <si>
    <t>At 11:50 AM, only on Sunday</t>
  </si>
  <si>
    <t xml:space="preserve">25 12 * * 0 </t>
  </si>
  <si>
    <t>At 12:25 PM, only on Sunday</t>
  </si>
  <si>
    <t xml:space="preserve">20 11 * * 0 </t>
  </si>
  <si>
    <t>At 11:20 AM, only on Sunday</t>
  </si>
  <si>
    <t xml:space="preserve">20 12 * * 0 </t>
  </si>
  <si>
    <t>Run the task every Sunday at 12:20 PM.</t>
  </si>
  <si>
    <t xml:space="preserve">15 11 * * 0 </t>
  </si>
  <si>
    <t>At 11:15 AM, only on Sunday</t>
  </si>
  <si>
    <t xml:space="preserve">00 13 * * 0 </t>
  </si>
  <si>
    <t>At 01:00 PM, only on Sunday</t>
  </si>
  <si>
    <t xml:space="preserve">47 13 * * 0 </t>
  </si>
  <si>
    <t>At 01:47 PM, only on Sunday</t>
  </si>
  <si>
    <t xml:space="preserve">48 13 * * 0 </t>
  </si>
  <si>
    <t>At 01:48 PM, only on Sunday</t>
  </si>
  <si>
    <t xml:space="preserve">00 12 * * 0 </t>
  </si>
  <si>
    <t>At 12:00 PM, only on Sunday</t>
  </si>
  <si>
    <t xml:space="preserve">30 14 * * 0 </t>
  </si>
  <si>
    <t>At 02:30 PM, only on Sunday</t>
  </si>
  <si>
    <t xml:space="preserve">46 13 * * 0 </t>
  </si>
  <si>
    <t>At 01:46 PM, only on Sunday</t>
  </si>
  <si>
    <t xml:space="preserve">40 11 * * 0 </t>
  </si>
  <si>
    <t>At 11:40 AM, only on Sunday</t>
  </si>
  <si>
    <t xml:space="preserve">15 12 * * 0 </t>
  </si>
  <si>
    <t>At 12:15 PM, only on Sunday</t>
  </si>
  <si>
    <t xml:space="preserve">00 11 * * 0 </t>
  </si>
  <si>
    <t>At 11:00 AM, only on Sunday</t>
  </si>
  <si>
    <t xml:space="preserve">0 7 * * 0 </t>
  </si>
  <si>
    <t>Run the task every Sunday at 7:00 AM.</t>
  </si>
  <si>
    <t xml:space="preserve">0 6 * * 0 </t>
  </si>
  <si>
    <t>At 06:00 AM, only on Sunday</t>
  </si>
  <si>
    <t xml:space="preserve">0 5 * * 0 </t>
  </si>
  <si>
    <t>At 05:00 AM, only on Sunday</t>
  </si>
  <si>
    <t xml:space="preserve">0 6 * * 1 </t>
  </si>
  <si>
    <t>At 06:00 AM, only on Monday</t>
  </si>
  <si>
    <t>At 07:00 AM, only on Sunday</t>
  </si>
  <si>
    <t xml:space="preserve">8 10-18 * * * </t>
  </si>
  <si>
    <t>Run the task every day, every month, from 10 AM to 6 PM, at exactly 8 minutes past the hour.</t>
  </si>
  <si>
    <t xml:space="preserve">14 9-17 * * * </t>
  </si>
  <si>
    <t>Run the task every day, every month, from 9 AM to 5 PM, at exactly 14 minutes past each hour.</t>
  </si>
  <si>
    <t xml:space="preserve">2 8-16 * * * </t>
  </si>
  <si>
    <t xml:space="preserve">0 8-16 * * * </t>
  </si>
  <si>
    <t xml:space="preserve">30 11-19 * * * </t>
  </si>
  <si>
    <t xml:space="preserve">28 10-18 * * * </t>
  </si>
  <si>
    <t xml:space="preserve">20 8-16 * * * </t>
  </si>
  <si>
    <t xml:space="preserve">10 10-18 * * * </t>
  </si>
  <si>
    <t xml:space="preserve">4 8-16 * * * </t>
  </si>
  <si>
    <t xml:space="preserve">32 9-17 * * * </t>
  </si>
  <si>
    <t xml:space="preserve">24 9-17 * * * </t>
  </si>
  <si>
    <t xml:space="preserve">25 9-17 * * * </t>
  </si>
  <si>
    <t xml:space="preserve">22 8-16 * * * </t>
  </si>
  <si>
    <t xml:space="preserve">30 8-16 * * * </t>
  </si>
  <si>
    <t xml:space="preserve">28 8-16 * * * </t>
  </si>
  <si>
    <t xml:space="preserve">12 9-17 * * * </t>
  </si>
  <si>
    <t xml:space="preserve">18 9-17 * * * </t>
  </si>
  <si>
    <t xml:space="preserve">6 9-17 * * * </t>
  </si>
  <si>
    <t xml:space="preserve">26 9-17 * * * </t>
  </si>
  <si>
    <t xml:space="preserve">29 8-16 * * * </t>
  </si>
  <si>
    <t xml:space="preserve">30 9-17 * * * </t>
  </si>
  <si>
    <t xml:space="preserve">10 6 * * 1-5 </t>
  </si>
  <si>
    <t>Run the task at 6:10 AM, every Monday through Friday.</t>
  </si>
  <si>
    <t xml:space="preserve">0 5 * * 1-5 </t>
  </si>
  <si>
    <t xml:space="preserve">00 4 * * 1-5 </t>
  </si>
  <si>
    <t xml:space="preserve">0 7 * * 1-5 </t>
  </si>
  <si>
    <t xml:space="preserve">45 4 * * 1-5 </t>
  </si>
  <si>
    <t xml:space="preserve">10 7 * * 1-5 </t>
  </si>
  <si>
    <t xml:space="preserve">20 4 * * 1-5 </t>
  </si>
  <si>
    <t xml:space="preserve">0 6 * * 1-5 </t>
  </si>
  <si>
    <t xml:space="preserve">10 4 * * 1-5 </t>
  </si>
  <si>
    <t xml:space="preserve">40 5 * * 1-5 </t>
  </si>
  <si>
    <t xml:space="preserve">42 5 * * 1-5 </t>
  </si>
  <si>
    <t xml:space="preserve">30 4 * * 1-5 </t>
  </si>
  <si>
    <t xml:space="preserve">42 4 * * 1-5 </t>
  </si>
  <si>
    <t xml:space="preserve">10 5 * * 1-5 </t>
  </si>
  <si>
    <t xml:space="preserve">30 5 * * 1-5 </t>
  </si>
  <si>
    <t xml:space="preserve">20 5 * * 1-5 </t>
  </si>
  <si>
    <t xml:space="preserve">50 5 * * 1-5 </t>
  </si>
  <si>
    <t xml:space="preserve">41 4 * * 1-5 </t>
  </si>
  <si>
    <t xml:space="preserve">55 5 * * 1-5 </t>
  </si>
  <si>
    <t xml:space="preserve">40 4 * * 1-5 </t>
  </si>
  <si>
    <t xml:space="preserve">20 10-19 * * * </t>
  </si>
  <si>
    <t>Run the task every day, from 10:20 AM to 7:20 PM, once per hour.</t>
  </si>
  <si>
    <t xml:space="preserve">25 9-18 * * * </t>
  </si>
  <si>
    <t xml:space="preserve">5 8-17 * * * </t>
  </si>
  <si>
    <t xml:space="preserve">10 8-17 * * * </t>
  </si>
  <si>
    <t xml:space="preserve">50 8-17 * * * </t>
  </si>
  <si>
    <t xml:space="preserve">45 8-17 * * * </t>
  </si>
  <si>
    <t xml:space="preserve">15 10-19 * * * </t>
  </si>
  <si>
    <t xml:space="preserve">40 8-17 * * * </t>
  </si>
  <si>
    <t xml:space="preserve">58 8-17 * * * </t>
  </si>
  <si>
    <t xml:space="preserve">48 8-17 * * * </t>
  </si>
  <si>
    <t xml:space="preserve">49 8-17 * * * </t>
  </si>
  <si>
    <t xml:space="preserve">46 8-17 * * * </t>
  </si>
  <si>
    <t xml:space="preserve">54 8-17 * * * </t>
  </si>
  <si>
    <t xml:space="preserve">52 8-17 * * * </t>
  </si>
  <si>
    <t xml:space="preserve">30 9-18 * * * </t>
  </si>
  <si>
    <t xml:space="preserve">0 9-18 * * * </t>
  </si>
  <si>
    <t xml:space="preserve">35 9-18 * * * </t>
  </si>
  <si>
    <t xml:space="preserve">53 8-17 * * * </t>
  </si>
  <si>
    <t xml:space="preserve">#####54 8-17 * * * </t>
  </si>
  <si>
    <t xml:space="preserve">56 8-17 * * * </t>
  </si>
  <si>
    <t xml:space="preserve">16 10-19 * * * </t>
  </si>
  <si>
    <t xml:space="preserve">21 9-18 * * * </t>
  </si>
  <si>
    <t xml:space="preserve">1 8-17 * * * </t>
  </si>
  <si>
    <t xml:space="preserve">06 8-17 * * * </t>
  </si>
  <si>
    <t xml:space="preserve">41 8-17 * * * </t>
  </si>
  <si>
    <t xml:space="preserve">36 8-17 * * * </t>
  </si>
  <si>
    <t xml:space="preserve">11 10-19 * * * </t>
  </si>
  <si>
    <t xml:space="preserve">39 8-17 * * * </t>
  </si>
  <si>
    <t xml:space="preserve">37 8-17 * * * </t>
  </si>
  <si>
    <t xml:space="preserve">43 8-17 * * * </t>
  </si>
  <si>
    <t xml:space="preserve">26 9-18 * * * </t>
  </si>
  <si>
    <t xml:space="preserve">5 9-18 * * * </t>
  </si>
  <si>
    <t xml:space="preserve">31 9-18 * * * </t>
  </si>
  <si>
    <t xml:space="preserve">42 8-17 * * * </t>
  </si>
  <si>
    <t xml:space="preserve">#####48 8-17 * * * </t>
  </si>
  <si>
    <t xml:space="preserve">44 8-17 * * * </t>
  </si>
  <si>
    <t xml:space="preserve">12 16 * * * </t>
  </si>
  <si>
    <t>Run the task every day at 4:12 PM.</t>
  </si>
  <si>
    <t xml:space="preserve">03 16 * * * </t>
  </si>
  <si>
    <t xml:space="preserve">0 16 * * * </t>
  </si>
  <si>
    <t xml:space="preserve">18 16 * * * </t>
  </si>
  <si>
    <t xml:space="preserve">34 16 * * * </t>
  </si>
  <si>
    <t xml:space="preserve">32 16 * * * </t>
  </si>
  <si>
    <t xml:space="preserve">27 16 * * * </t>
  </si>
  <si>
    <t xml:space="preserve">09 16 * * * </t>
  </si>
  <si>
    <t xml:space="preserve">21 16 * * * </t>
  </si>
  <si>
    <t xml:space="preserve">36 16 * * * </t>
  </si>
  <si>
    <t xml:space="preserve">30 16 * * * </t>
  </si>
  <si>
    <t xml:space="preserve">31 16 * * * </t>
  </si>
  <si>
    <t xml:space="preserve">06 16 * * * </t>
  </si>
  <si>
    <t xml:space="preserve">24 16 * * * </t>
  </si>
  <si>
    <t xml:space="preserve">15 16 * * * </t>
  </si>
  <si>
    <t xml:space="preserve">33 16 * * * </t>
  </si>
  <si>
    <t xml:space="preserve">#50 9 * * * </t>
  </si>
  <si>
    <t xml:space="preserve">10 9-17 * * * </t>
  </si>
  <si>
    <t xml:space="preserve">10 8-16 * * * </t>
  </si>
  <si>
    <t xml:space="preserve">####10 * * * * </t>
  </si>
  <si>
    <t>00,15,30,45 17,18 * * 1-5</t>
  </si>
  <si>
    <t>00 19 * * 1-5</t>
  </si>
  <si>
    <t>00 00 * * 1-6</t>
  </si>
  <si>
    <t>FTP - /splunk/FTP  - ALPHA, ASW,ASWGCP, DWH, gaw_testing,roadnet, SOA</t>
  </si>
  <si>
    <t>Time to get this File path sorted out and put in a place</t>
  </si>
  <si>
    <t>Reports and Dashboards  - Peter mentioned this is not required</t>
  </si>
  <si>
    <t>Enabled/disabled</t>
  </si>
  <si>
    <t>DB Alert Name</t>
  </si>
  <si>
    <t>sql</t>
  </si>
  <si>
    <t>Connection</t>
  </si>
  <si>
    <t>Databse Type</t>
  </si>
  <si>
    <t>Actual Name</t>
  </si>
  <si>
    <t>Email Attachment</t>
  </si>
  <si>
    <t>Email Subject</t>
  </si>
  <si>
    <t>Email Body</t>
  </si>
  <si>
    <t>Email Receipient</t>
  </si>
  <si>
    <t>Enabled</t>
  </si>
  <si>
    <t>dbxquery query="SELECT warehouse, invoice_no, item_no, ship_qty, prc_status, created_dttm, messageid FROM ark_wmsods.ship_confirm WHERE prc_status = 10 AND created_dttm &lt; sysdate - 60/1440 ORDER BY  created_dttm desc" connection="MAWM_SOA_PRD"</t>
  </si>
  <si>
    <t>jdbc:mysql://10.248.248.195:3306/information_schema</t>
  </si>
  <si>
    <t xml:space="preserve"> ARK - MAWM - Orders not Process in Host &gt; 15 Minutes </t>
  </si>
  <si>
    <t>Link To Alert
Link to Results
Inline Table</t>
  </si>
  <si>
    <t>Splunk Alert: $name$</t>
  </si>
  <si>
    <t>Please Contact Host System to see why orders are not processing.</t>
  </si>
  <si>
    <t>WMSInternal@RNDC-USA.COM, WMSMSPSupport@RNDC-USA.COM, Kim.Crawford@rndc-usa.com, Joe.Thompson@rndc-usa.com</t>
  </si>
  <si>
    <r>
      <rPr>
        <sz val="11"/>
        <color rgb="FF00B0F0"/>
        <rFont val="Aptos Narrow (Body)"/>
      </rPr>
      <t xml:space="preserve"> POR - MAWM - Orders not Process in Host &gt; 15 Minutes </t>
    </r>
    <r>
      <rPr>
        <sz val="11"/>
        <color theme="1"/>
        <rFont val="Aptos Narrow (Body)"/>
      </rPr>
      <t>has connection string of "MAPRD_NEW" in Splunk query, while others use MAWM_SOA_PRD. Differences in WHERE conditions of Splunk query, warehouse = 'POR', and prc_status = 10 conditions may or may not be used.</t>
    </r>
  </si>
  <si>
    <t>dbxquery query="SELECT
 OO.ORG_ID,
 OO.CREATED_TIMESTAMP,
 OO.BILLING_ACCOUNT_NUMBER,
 OO.ORIGINAL_ORDER_ID,
 OO.ORDER_TYPE,
 OO.MAXIMUM_STATUS,
 STATUS.DESCRIPTION,
 OO.CANCELLED,
 OO.BILL_TO_NAME,
 OO.EXT_ROUTE_ID,
 OO.EXT_SHIPMENT_STOP_NUMBER
 FROM
 default_dcorder.DCO_ORIGINAL_ORDER OO
 JOIN default_dcorder.DCO_ORDER_STATUS STATUS ON OO.MAXIMUM_STATUS = STATUS.ORDER_STATUS_ID
 WHERE
 1=1
 AND (OO.MAXIMUM_STATUS = '0000' or OO.MAXIMUM_STATUS = '0000')
 AND OO.CREATED_TIMESTAMP &lt;= DATE_SUB(now(), INTERVAL '10' MINUTE);
 " connection="MAPRD_NEW"
  |rename ORG_ID as "Org ID", CREATED_TIMESTAMP AS "Created Timestamp", BILLING_ACCOUNT_NUMBER AS "Billing Acct #", ORIGINAL_ORDER_ID AS "Original Order ID", ORDER_TYPE AS "Order Type", MAXIMUM_STATUS AS "Maximum Status", DESCRIPTION AS "Description", CANCELLED AS "Cancelled", BILL_TO_NAME AS "Bill-to Name", EXT_ROUTE_ID AS "Ext Route ID", EXT_SHIPMENT_STOP_NUMBER AS "Ext Shipment Stop #"
 |table "Org ID", "Created Timestamp", "Billing Acct #", "Original Order ID", "Order Type", "Maximum Status", "Description", "Cancelled", "Bill-to Name", "Ext Route ID", "Ext Shipment Stop #"</t>
  </si>
  <si>
    <t>MAPRD_NEW</t>
  </si>
  <si>
    <t xml:space="preserve"> ALL - MAWM - Orders Stuck in Created Status &gt; 15 Minutes </t>
  </si>
  <si>
    <t>The alert condition for '$name$' was triggered.
***MSP TO CLEAN UP***
Note: Manhattan Case 8199748 is created.
Description: 
1. Go to System Management&gt;Tranlog Summary&gt;XNT_DCO_OriginalOrders 
2. Type in the Order Number for the Order Stuck in Created Status
3. Pull the JSON for the order and Put it in this API, but do not run Yet
            {{app_host}}/dcorder/api/dcorder/originalOrder/save
4. Delete the Original Order Using this API, Replace XXX with the House, and update the Order_Id
            {{app_host}}/dcorder/api/dcorder/originalOrder/bulkDelete
                {
    "Data": [
        {
            "OrderId": "123123",
            "OriginFacilityId": "XXX"
        }
    ]
}
5. Delete the Order Using this API, Replace XXX with the House, and update the Order_Id
                {{app_host}}/dcorder/api/dcorder/order/bulkDelete
                {
    "Data": [
        {
            "OriginalOrderId": "123123",
            "OriginFacilityId": "XXX"
        }
    ]
}
6. Reimport the Order using the JSON from Step 3</t>
  </si>
  <si>
    <t>wmsinternal@RNDC-USA.COM, WMSConsultant@rndc-usa.com, Mcurtis@manh.com, WMSMSPSupport@RNDC-USA.COM,DL_MANH_RNDC_MAWM_PSO@manh.com,DL_RNDC_MAWM_CSO@manh.com</t>
  </si>
  <si>
    <t xml:space="preserve"> | dbxquery query="SELECT DE.org_id,
       DE.order_id,
       O.ext_route_id,
       DE.order_planning_run_id,
       DE.deselected_orders,
       DE.deselected_order_lines,
       DE.updated_by,
       DE.created_timestamp
FROM   default_dcorder.dco_plan_run_deselect_count DE
       join default_dcorder.dco_order_plan_run_strategy PLA
         ON DE.order_planning_run_id = PLA.order_planning_run_id
            AND PLA.org_id = DE.org_id
       left join default_dcorder.dco_order O
              ON O.order_id = DE.order_id
                 AND O.org_id = DE.org_id
WHERE  1 = 1
       AND DE.created_timestamp &gt;= Now() - interval 15 minute
       AND Upper(PLA.planning_strategy_id) LIKE 'STANDARD%'
       AND DE.deselected_order_lines &gt; '0'
       AND DE.org_id = 'OAH'" 
connection="MAPRD_NEW"</t>
  </si>
  <si>
    <t xml:space="preserve"> OAH - MAWM - Standard Orders Deselected During Waving </t>
  </si>
  <si>
    <t>The alert condition for '$name$' was triggered.</t>
  </si>
  <si>
    <t>TO: Teppi.Waxman@RNDC-USA.COM, stanley.monis@rndc-usa.com, SeoFoo.Dang@RNDC-USA.COM, Vincent.Labasan@RNDC-USA.COM, Amorsolo.Angco@rndc-usa.com, Wallace.Moniz@RNDC-USA.COM, Reoben.Aquino@RNDC-USA.COM, ashlyn.javier@rndc-usa.com CC: wmsinternal@rndc-usa.com, wmsconsultant@rndc-usa.com, WMSMSPSupport@RNDC-USA.COM</t>
  </si>
  <si>
    <t xml:space="preserve">These 3 groups of warehouses under this alert SELECT different columns and differ between each other, though connection string is identical
(DFB - MAWM - Standard Orders Deselected During Waving and 
IND - MAWM - Standard Orders Deselected During Waving) ; (
PEN - MAWM - Standard Orders Deselected During Waving); and (all remaining enabled alerts) </t>
  </si>
  <si>
    <t xml:space="preserve"> | dbxquery query="SELECT DISTINCT O.org_id,
                O.original_order_id,
                O.order_type,
                Concat(O.maximum_status, '-', MAX_STAT.description) MAX_STATUS,
                Concat(O.minimum_status, '-', MIN_STAT.description) MIN_STATUS,
                O.designated_shipment_id                            SHIPMENT,
                O.created_timestamp,
                OLI.assigned_shipment_id
FROM   default_dcorder.dco_original_order O
       left join default_dcorder.dco_order_status MAX_STAT
              ON MAX_STAT.order_status_id = O.maximum_status
       left join default_dcorder.dco_order_status MIN_STAT
              ON MIN_STAT.order_status_id = O.maximum_status
       left join default_dcorder.dco_order_line OLI
              ON O.original_order_id = OLI.original_order_id
                 AND O.org_id = OLI.org_id
WHERE  1 = 1
       AND O.org_id = 'POR'
       AND O.order_type = 'Standard'
       AND O.minimum_status &lt; '7800'
       AND OLI.status NOT IN ( 'CANCELLED' )
       AND O.created_timestamp &lt;= Now() - interval 15 minute
       AND ( O.designated_shipment_id NOT IN (SELECT DISTINCT shipment_id
                                              FROM
             default_shipment.shp_shipment S
                                              WHERE  S.org_id = O.org_id)
              OR OLI.assigned_shipment_id IS NULL );  
connection="MAPRD_NEW"</t>
  </si>
  <si>
    <t>POR - MAWM - Standard Orders w/ No Designated or Assigned Shipments Created</t>
  </si>
  <si>
    <t>The alert condition for '$name$' was triggered.
***MSP TO CLEAN UP***
The helpdesk should be called to rectify the problem as soon as possible.  If the helpdesk is not called, then there is a chance that the orders will not make the truck.  It is also imperative to call immediately and hold processing in sortation vendor (Shiraz/IndaGO/Dematic/CSD) in order to make sure you plan the original route number and new route numbers back-to-back as it makes it easier to load the truck.  866-RNDC-HLP (866-763-2457) Note: Manhattan Case 7428226 is opened for this</t>
  </si>
  <si>
    <t>TO: bryce.meyer@rndc-usa.com, Michael.Ferdinand@Penske.com, abel.paucardelacruz@rndc-usa.com, Sara.Farrington@Penske.com, Matthew.Chavez@Penske.com,Jesse.Butler@Penske.com, Brian.Bontemps@penske.com CC: wmsinternal@RNDC-USA.COM, WMSMSPSupport@RNDC-USA.COM, DL_MANH_RNDC_MAWM_PSO@manh.com, DL_RNDC_MAWM_CSO@manh.com</t>
  </si>
  <si>
    <t xml:space="preserve"> | dbxquery query="SELECT    o.org_id,
          o.original_order_id AS "ORDER",
          o.order_type ,
                    Concat(o.maximum_status,'-',max_stat.description) max_status ,
                    Concat(o.minimum_status,'-',min_stat.description) min_status ,
          o.designated_shipment_id                                    shipment,
          o.created_timestamp
FROM      default_dcorder.dco_original_order O
LEFT JOIN default_dcorder.dco_order_status MAX_STAT
ON        max_stat.order_status_id = o.maximum_status
LEFT JOIN default_dcorder.dco_order_status MIN_STAT
ON        min_stat.order_status_id = o.maximum_status
WHERE     1=1
AND       o.org_id = 'IND'
AND       o.order_type = 'Standard'
AND       o.minimum_status &lt; '8000'
AND       o.created_timestamp &lt;= Now()  - interval 15 minute
AND       o.designated_shipment_id NOT IN
                                           (
                                           SELECT DISTINCT shipment_id
                                           FROM            default_shipment.shp_shipment s
                                           WHERE           s.org_id = o.org_id)" connection="MAPRD_NEW"</t>
  </si>
  <si>
    <t>IND - MAWM - Standard Orders w/ No Designated Shipments Created</t>
  </si>
  <si>
    <t>The alert condition for '$name$' was triggered.
***MSP TO CLEAN UP***
Call the WMS Support Number. Without shipments, it is very hard to wave</t>
  </si>
  <si>
    <t>to: Stanley.FitzwaterJr@rndc-usa.com, Leroy.Chambers@RNDC-USA.COM, Erik.Romero@rndc-usa.com, Michael.Clifton@RNDC-USA.COM, Raymond.Craig@RNDC-USA.COM, Patrick.Heath@rndc-usa.com, Russell.Mangel@rndc-usa.com cc: wmsinternal@rndc-usa.com, wmsconsultant@rndc-usa.com, WMSMSPSupport@RNDC-USA.COM</t>
  </si>
  <si>
    <t xml:space="preserve">| dbxquery query=" SELECT Substr(profile_id, 1, 3) WHSE ,
       static_route_id ,
       ext_threshold THRESHOLD_VALUE
FROM   default_routing.rtg_static_route
WHERE  ext_threshold IS NULL
AND    profile_id = 'POR_Org_Profile" 
connection="MAPRD_NEW" </t>
  </si>
  <si>
    <t xml:space="preserve">
POR - MAWM - Static Route Missing Threshold Value</t>
  </si>
  <si>
    <t>The alert condition for '$name$' was triggered.
***MSP TO CLEAN UP*** Configure the necessary values in the Static Route UI</t>
  </si>
  <si>
    <t>wmsinternal@RNDC-USA.COM, WMSMSPSupport@RNDC-USA.COM</t>
  </si>
  <si>
    <t xml:space="preserve"> | dbxquery query="SELECT *
FROM   (SELECT 'IND' AS WHSE,
               CASE
                 WHEN Count(*) = '0' THEN 'MISSING DFLT STATIC ROUTE VALUE'
                 ELSE 'OK'
               END   AS STATUS
        FROM   (SELECT static_route_id,
                       profile_id
                FROM   default_routing.rtg_static_route
                WHERE  static_route_id = 'DFLT'
                       AND profile_id = 'WSD_Org_Profile')A)B
WHERE  status &lt;&gt; 'OK'"
connection="MAPRD_NEW"</t>
  </si>
  <si>
    <t>ORL - MAWM - Static Route UI Missing DFLT Value</t>
  </si>
  <si>
    <t>The alert condition for '$name$' was triggered.
***MSP TO CLEAN UP***
Configure the necessary values in the Static Route UI</t>
  </si>
  <si>
    <t>To: Garry.Martinez@rndc-usa.com, Kenny.Keenan@rndc-usa.com, STEPHEN.KING@RNDC-USA.COM CC: wmsinternal@rndc-usa.com, wmsconsultant@rndc-usa.com, WMSMSPSupport@RNDC-USA.COM</t>
  </si>
  <si>
    <t>sourcetype=alpha_adj | eval file_date=strftime(now(), "%Y-%m-%d") | eval mySource="/splunk/FTP/Alpha/adj/atl_adjtrx_" + file_date + ".txt" | where match(source, mySource) | eval Item=substr(_raw,1,8), Reason_Code=substr(_raw,19,2), Status=substr(_raw,46,1), CreateDate=substr(_raw,23,8),  Created_Date_Time=strftime(_time, "%Y%m%d"), House="ATL" | eval search_date=strftime(relative_time(now(), "-35d@d"),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</si>
  <si>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mySource="/splunk/FTP/Alpha/adj/atl_adjtrx_" + file_date + ".txt"</t>
  </si>
  <si>
    <t>Unable to find Database and Database type in Splunk DB Connect</t>
  </si>
  <si>
    <t xml:space="preserve"> WMS - ATL Alpha Open Adjustments &gt; 35 days </t>
  </si>
  <si>
    <t>The alert condition for '$name$' was triggered.
Serves as a notification to complete research on pending adjustments as the Corporate Limit is no greater than 45 days outstanding.</t>
  </si>
  <si>
    <t>to: wmsinternal@RNDC-USA.COM,  Jennifer.Arrington@NATDISTCO.COM,Juan.gutierrez@rndc-usa.com,Raymond.Tuff@RNDC-USA.COM,eduardo.gutierrez@rndc-usa.com CC: Jennifer.arrington@natdistco.com</t>
  </si>
  <si>
    <t>sourcetype=alpha_adj | eval file_date=strftime(now(), "%Y-%m-%d") | eval mySource="/splunk/FTP/Alpha/adj/laf_adjtrx_" + file_date + ".txt" | where match(source, mySource) | eval Item=substr(_raw,1,8), Reason_Code=substr(_raw,19,2), Status=substr(_raw,46,1), CreateDate=substr(_raw,23,8),  Created_Date_Time=strftime(_time, "%Y%m%d"), House="LAF" | eval search_date=strftime(relative_time(now(), "-40d@d"),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</si>
  <si>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mySource="/splunk/FTP/Alpha/adj/laf_adjtrx_" + file_date + ".txt"</t>
  </si>
  <si>
    <t xml:space="preserve"> WMS - LAF Alpha Open Adjustments &gt; 40 days </t>
  </si>
  <si>
    <t>wmsinternal@RNDC-USA.COM, Pat.Maggiore@RNDC-USA.COM, Andrew.Landry@RNDC-USA.COM</t>
  </si>
  <si>
    <t>sourcetype=alphaasn White!=9 latest=-2d@d earliest=0 |
eval file_date=strftime(now(), "%Y-%m-%d")   |
eval mySource="/splunk/FTP/Alpha/asn/jes_asnhdr_" + file_date + ".txt"  |
where match(source, mySource)|
search |
eval Date=_time | convert timeformat="%Y-%m-%d" ctime(Date) |
table source,ASN,White,Date |
rex field=source mode=sed "s/\/splunk\/FTP\/Alpha\/asn\/jes_*(.+)/JES/g" | 
rex field=White mode=sed "s/[0]/Open_ASN/g" | 
rex field=White mode=sed "s/[1]/Header_Values_Errors/g" |
rex field=White mode=sed "s/[2]/Line_Item_Errors/g" |
rename source AS "House", White AS "Status" | sort House</t>
  </si>
  <si>
    <t>mySource="/splunk/FTP/Alpha/asn/jes_asnhdr_" + file_date + ".txt"</t>
  </si>
  <si>
    <t xml:space="preserve"> WMS - JES Alpha Open/Error ASN </t>
  </si>
  <si>
    <t>Link to Results
Inline Table
Attach PDF</t>
  </si>
  <si>
    <t>The alert condition for '$name$' was triggered.
Check menu 33, Option 21 to view the error.  Refer to the WMS Documentation - (HT.3 ASN ERRORS - https://rndc.app.box.com/file/278361144795).  If an ASN errors out in Alpha upon verification the product will not be received in Alpha until the error is fixed.  Contact Purchasing to resolve.</t>
  </si>
  <si>
    <t>wmsinternal@RNDC-USA.COM,Brian.Puhalla@RNDC-USA.COM,Tony.Derin@RNDC-USA.COM, rodney.finney@rndc-usa.com, luke.katafiasz@rndc-usa.com</t>
  </si>
  <si>
    <t>Connection mySource file prefix changes according to locale, for example the WMS - JAC Alpha Open/Error ASN alert would have mySource="/splunk/FTP/Alpha/asn/jac_asnhdr_" + file_date + ".txt" instead of mySource="/splunk/FTP/Alpha/asn/jes_asnhdr_" + file_date + ".txt"
The command to replace the source field also varies by locale.</t>
  </si>
  <si>
    <t xml:space="preserve"> | dbxquery query="SELECT T.org_id,
       T.ext_route_id,
       Count(DISTINCT T.wave_nbr) WAVE_NBR
FROM   (SELECT OL.org_id,
               OL.original_order_id,
               OL.designated_shipment_id,
               O.ext_route_id,
               OL.original_order_line_id,
               OL.status_change_date_time,
               PLA.created_timestamp,
               OL.original_order_planning_run_id,
               OL.order_planning_run_id,
               CASE
                 WHEN OL.original_order_planning_run_id IS NULL THEN
                 OL.order_planning_run_id
                 ELSE OL.original_order_planning_run_id
               END AS WAVE_NBR,
               OL.status
        FROM   default_dcorder.dco_order_line OL
               join default_dcorder.dco_order O
                 ON OL.order_id = O.order_id
                    AND O.org_id = 'WSD'
                    AND O.pipeline_id = 'RNDC_Standard_Order_Pipeline'
               join default_dcorder.dco_order_plan_run_strategy PLA
                 ON ( CASE
                        WHEN OL.original_order_planning_run_id IS NULL THEN
                        OL.order_planning_run_id
                        ELSE OL.original_order_planning_run_id
                      END ) = PLA.order_planning_run_id
        WHERE  1 = 1
               AND Upper(PLA.planning_strategy_id) LIKE '%STANDARD%'
               AND PLA.status &lt;&gt; '900'
               AND OL.status IN ( 'CREATED', 'READY', 'WORKINPROGRESS',
                                  'WORKCOMPLETED'
                                  ,
                                  'ALLOCATED', 'FAILED', 'PACKING', 'PACKED',
                                  'STAGED', 'MANIFESTED' )
               AND OL.original_order_id IN (SELECT original_order_id
                                            FROM   default_dcorder.dco_order
                                            WHERE  order_type = 'Standard')
               AND OL.org_id = 'WSD'
               AND ( OL.original_order_planning_run_id IN (SELECT run_id
                                                           FROM
                           default_dcallocation.dca_allocation_run
                                                           WHERE
                           created_timestamp &gt; Now() - interval 8 hour)
                      OR OL.order_planning_run_id IN (SELECT run_id
                                                      FROM
                         default_dcallocation.dca_allocation_run
                                                      WHERE
                         created_timestamp &gt; Now() -
                         interval 8 hour) )) T
GROUP  BY T.org_id,
          T.ext_route_id
HAVING Count(DISTINCT wave_nbr) &gt; 1 "
connection="MAPRD_NEW</t>
  </si>
  <si>
    <t xml:space="preserve"> WSD - MAWM - Routes With Multiple Wave Numbers </t>
  </si>
  <si>
    <t>Link To Alert
Link to Results
Inline Table
Attach CSV</t>
  </si>
  <si>
    <t>The alert condition for '$name$' was triggered.
***MSP TO CLEAN UP***
Description:
A user has waved this route across two different wave numbers. Sortation software is not able to process a route correctly that is waved across two different WMS wave numbers.  Cases will be missing if the IT Service Desk is not called.  Please stop what you are doing immediately and call the Service Desk to correct this condition.  
Phone: 866-RNDC-HLP (866-763-2457)</t>
  </si>
  <si>
    <t>to: demetrius.dever@rndc-usa.com, Michael.Clark@RNDC-USA.com,clarence.hall@rndc-usa.com,brian.bowen@rndc-usa.com,barbara.jackson@rndc-usa.com,rodney.williams@rndc-usa.com cc: wmsinternal@rndc-usa.com, wmsconsultant@rndc-usa.com, WMSMSPSupport@RNDC-USA.COM</t>
  </si>
  <si>
    <t xml:space="preserve"> TAM - MAWM - Routes With Multiple Wave Numbers and  WMS-LIVRoutes With Multiple Wave Numbers have very different scripts compared to other locales</t>
  </si>
  <si>
    <t>Unable to find Alert</t>
  </si>
  <si>
    <t>dbxquery query="SELECT warehouse, pix_spec, trx_date, trx_time, seq_number , po_no, asn_no, item_no, pixid, reason_code, max(qty) bottles, count(*) FROM pix_Trx WHERE warehouse = 'AUB' AND seq_number is NOT null AND created_dttm &gt;sysdate - 1 GROUP BY  pix_spec, trx_date, trx_time, seq_number, item_no, pixid, warehouse, reason_code, po_no, asn_no HAVING count(*) &gt; 1;" connection="YMC_AUB_PROD"</t>
  </si>
  <si>
    <t>YMC_AUB_PROD</t>
  </si>
  <si>
    <t>jdbc:oracle:thin:@irex01-scan.youngsmarket.com:1521/MHWMPAS1</t>
  </si>
  <si>
    <t>AUB - MAWM - Duplicate PIX's in Middleware WMS</t>
  </si>
  <si>
    <t>dbxquery query="SELECT warehouse, invoice_no, order_line_id, item_no, max(ship_qty) bottles, trx_date, trx_time, listagg(messageid, ' ; ') within group (order by invoice_no) message_ids FROM PEN_wmsods.ship_confirm WHERE invoice_no IN  (SELECT DISTINCT invoice_no FROM  (SELECT warehouse, invoice_no, item_no, max(ship_qty) bottles, trx_date, trx_time, order_line_id, count(*) FROM PEN_wmsods.ship_confirm WHERE created_dttm &gt; sysdate -1 GROUP BY  warehouse, invoice_no, item_no, trx_date, trx_time, order_line_id HAVING count(*) &gt; 1 ) ) GROUP BY  warehouse, invoice_no, item_no, trx_date, trx_time, order_line_id ORDER BY  2, abs(order_line_id) " connection="MAWM_SOA_PRD"</t>
  </si>
  <si>
    <t>jdbc:oracle:thin:@at4ex01-scan1.corp.rndc-usa.com:1521/pwmsods_svc1</t>
  </si>
  <si>
    <t>PEN - MAWM - Duplicate Ship Confirm</t>
  </si>
  <si>
    <t>wmsinternal@RNDC-USA.COM, WMSMSPSupport@RNDC-USA.COM, DL_MANH_RNDC_MAWM_PSO@manh.com, DL_RNDC_MAWM_CSO@manh.com, wmsconsultant@rndc-usa.com</t>
  </si>
  <si>
    <t>No other locales</t>
  </si>
  <si>
    <t>dbxquery query="SELECT PE.ORG_ID, PE.CREATED_TIMESTAMP, PE.ITEM_ID, 
     CASE WHEN PE.ADJUSTED_TYPE = 'SUBTRACT' THEN -PE.QUANTITY 
         WHEN PE.ADJUSTED_TYPE = 'ADD' THEN PE.QUANTITY 
         END AS QUANTITY
    , PE.REASON_CODE_ID ,PE.SYNC_BATCH_ID,  PE.PIX_SPECIFICATION_ID, CONCAT(PE.STATUS_ID,'-',PS.DESCRIPTION) STATUS, PE.CREATED_BY 
FROM default_pix.PIX_PIX_ENTRY  PE
LEFT JOIN default_pix.PIX_PIX_STATUS PS ON PS.STATUS_ID = PE.STATUS_ID
WHERE PE.PIX_SPECIFICATION_ID = 'Inventory Adjustment' 
AND PE.CREATED_TIMESTAMP between  NOW() + INTERVAL 15 minute  and now() + interval 1455 minute 
AND REASON_CODE_ID IS NULL 
AND PE.ORG_ID = 'PEN'" connection="MAPRD_NEW"</t>
  </si>
  <si>
    <t xml:space="preserve"> PEN - MAWM - Inventory Adjustment PIX Missing Reason Code </t>
  </si>
  <si>
    <t>Ryan.Metz@rndc-usa.com, John.Hall@rndc-usa.com, Anthony.Coleman@rndc-usa.com, Dazzle.Keyser@rndc-usa.com, Douglas.Garner@rndc-usa.com</t>
  </si>
  <si>
    <t>All warehouse referring to the same MySQL  server for this alert</t>
  </si>
  <si>
    <t>dbxquery query="SELECT itlvl.warehouse, itlvl.pix_spec, itlvl.asn_no, itlvl.po_no, itlvl.po_line, itlvl.item_no, itlvl.qty, spl.rcv_qty, ( 'update pix_Trx set qty =' || ' ' || spl.rcv_qty || ',' || 'prc_status = 10, prc_time = null , prc_date = null, trx_time= ' || '''' || 121821.657 || '''' || ' ' || 'where pix_spec =' || '''' || 'ITEM_Level' || '''' || ' ' || 'and asn_no =' || '''' || itlvl.asn_no || '''' || ' ' || 'and po_no=' || '''' || itlvl.po_no || '''' || ' ' || 'and item_no =' || '''' || itlvl.item_no || '''' || 'and qty = 0' || ';' )\"UPDATE\" FROM  (SELECT DISTINCT ( warehouse ), pix_spec, asn_no, po_no, po_line, item_no, Sum(qty) AS qty FROM pix_trx WHERE 1=1 AND WAREHOUSE = 'POR' AND pix_spec = 'ITEM_Level' GROUP BY  warehouse, pix_spec, asn_no, po_no, po_line, item_no HAVING Sum(qty) = 0 ORDER BY  asn_no, po_no, po_line)itlvl JOIN  (SELECT DISTINCT( warehouse ), asn_no, po_no, po_line, item_no, Sum(abs_qty) AS \"RCV_QTY\" FROM  (SELECT warehouse, pix_spec, asn_no, po_no, po_line, item_no, CASE WHEN add_sub = 'A' THEN ( qty * 1 ) WHEN add_sub = 'S' THEN ( qty *- 1 ) END AS \"ABS_QTY\" FROM pix_trx WHERE 1=1 AND WAREHOUSE = 'POR' AND pix_spec IN ( 'SupplierReceiptId','Inventory Adjustment') ORDER BY  trx_time) fin GROUP BY  warehouse, asn_no, po_no, po_line, item_no ) spl ON itlvl.po_no = spl.po_no AND itlvl.po_line = spl.po_line AND itlvl.asn_no = spl.asn_no WHERE itlvl.qty &lt;&gt; spl.rcv_qty AND itlvl.asn_no NOT IN  (SELECT DISTINCT asn_no FROM  (SELECT t1.asn_no, t1.item_level_qty, t2.asn_level_qty FROM (  (SELECT asn_no, sum(qty) item_level_qty FROM pix_Trx WHERE 1=1 AND WAREHOUSE = 'POR' AND pix_spec = 'ITEM_Level' GROUP BY  asn_no ) t1 LEFT JOIN  (SELECT asn_no, sum(qty) asn_level_qty FROM pix_Trx pt WHERE 1=1 AND WAREHOUSE = 'POR' AND pix_spec = 'ASN Level' GROUP BY  asn_no ) t2 ON t2.asn_no = t1.asn_no ) WHERE t1.item_level_qty = t2.asn_level_qty ) )" connection="MAPRD_NEW"</t>
  </si>
  <si>
    <t>POR - MAWM - Item Level Receipts With 0 Quantity</t>
  </si>
  <si>
    <t>wmsconsultant@rndc-usa.com, WMSMSPSupport@RNDC-USA.COM, DL_MANH_RNDC_MAWM_PSO@manh.com, DL_RNDC_MAWM_CSO@manh.com, wmsinternal@RNDC-USA.COM</t>
  </si>
  <si>
    <t>****There is another locale with different details, see legend 1 below</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</si>
  <si>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'ARK'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'ARK' AND DOP.UPDATED_TIMESTAMP &lt;= DATE_SUB(now(), INTERVAL '5' MINUTE))P
 ORDER BY P.CREATED_TIMESTAMP DESC" connection="MAPRD_NEW"</t>
  </si>
  <si>
    <t xml:space="preserve"> ARK - MAWM - Long Running or Aborted Waves </t>
  </si>
  <si>
    <r>
      <rPr>
        <sz val="11"/>
        <color rgb="FFFF0000"/>
        <rFont val="Aptos Narrow (Body)"/>
      </rPr>
      <t xml:space="preserve">to: </t>
    </r>
    <r>
      <rPr>
        <sz val="11"/>
        <color theme="1"/>
        <rFont val="Aptos Narrow"/>
        <family val="2"/>
        <scheme val="minor"/>
      </rPr>
      <t xml:space="preserve">Kim.Crawford@rndc-usa.com, Joe.Thompson@rndc-usa.com, Joshua.Edens@rndc-usa.com </t>
    </r>
    <r>
      <rPr>
        <sz val="11"/>
        <color rgb="FFFF0000"/>
        <rFont val="Aptos Narrow (Body)"/>
      </rPr>
      <t xml:space="preserve">CC </t>
    </r>
    <r>
      <rPr>
        <sz val="11"/>
        <color theme="1"/>
        <rFont val="Aptos Narrow"/>
        <family val="2"/>
        <scheme val="minor"/>
      </rPr>
      <t>WMSInternal@rndc-usa.com, WMSMSPSupport@rndc-usa.com, WMSConsultant@rndc-usa.com, DL_MANH_RNDC_MAWM_PSO@manh.com, DL_RNDC_MAWM_CSO@manh.com</t>
    </r>
  </si>
  <si>
    <t>****There are many other locals with different details, see legend 2 below. Only 1 out of 11 enabled alerts under this category is listed in the Legend. When comparing 2 alerts, DB-related details are identical, but significant differences for email-related details exist.</t>
  </si>
  <si>
    <t>| dbxquery query="select pt.warehouse, pt.asn_no asn_number, listagg(po.po_no,' , ') within group (order by pt.asn_no) purchase_orders, pt.pixid, pt.created_dttm
from PEN_wmsods.pix_trx pt
    left join (select distinct po_no, asn_no from PEN_wmsods.pix_trx t2 where pix_spec = 'SupplierReceiptId') po on po.asn_no = pt.asn_no
where pt.pix_spec = 'ASN Level'
    and pt.asn_no not in (select asn_no from PEN_wmsods.pix_trx where pix_spec = 'ITEM_Level')
    and created_dttm &gt;= sysdate -1
group by pt.asn_no, created_dttm, warehouse, pixid;" connection="MAWM_SOA_PRD"</t>
  </si>
  <si>
    <t xml:space="preserve"> PEN - MAWM - Missing Item Level Verification PIX </t>
  </si>
  <si>
    <t>The alert condition for '$name$' was triggered.
Note: Manhattan case 8484820 is opened for this.
MSP Team, 
Please see the attached email and how I cleaned this up with screenshots for reference.  
***MSP TO CLEAN UP***
Clean Up Steps:
1) Update ASN Back to Receiving Status : POST  {{app_host}}/receiving/api/receiving/asn/save
{
    "AsnId": "XXXXXXXXX",
    "AsnStatus" : "3000"
}
2) Verify ASN is “In Receiving” status in the UI.
3) Add the PO Back to the ASN.  
a)	From the ASN’s UI select the replated Link for Receipts to See the PO/PO’s that were attached to the ASN.
b)	Go to the ASN’s UI and select the Assign/Unassign PO Lines to ASN option
c)	Enter your PO Numbers and Search for the PO and Lines
d)	Select all lines and add hit Add to ASN
e)	Hit Save and Finish
f)	PO Lines are now assigned back to the ASN, Verify in the ASN’s UI
4) Update the Verification Attempt Field on the ASN back to “false” using the API : POST   {{app_host}}/receiving/api/receiving/asn/save
{
    "AsnId": " XXXXXXXXX",
    "VerificationAttempted": false
}
5) Verify the ASN in the ASN’s UI, Accept any Variances that May exist
6) Check to make sure the New Pix Transactions were created in the Middleware Staging DB.  select * from pix_trx where asn_no = 'XXXXXXXX' and created_dttm &gt; sysdate -.25;</t>
  </si>
  <si>
    <r>
      <t xml:space="preserve">**There are 2 other active locales with </t>
    </r>
    <r>
      <rPr>
        <sz val="11"/>
        <color rgb="FFFF0000"/>
        <rFont val="Aptos Narrow"/>
        <family val="2"/>
        <scheme val="minor"/>
      </rPr>
      <t>d</t>
    </r>
    <r>
      <rPr>
        <sz val="11"/>
        <color rgb="FFFF0000"/>
        <rFont val="Aptos Narrow (Body)"/>
      </rPr>
      <t>ifferences</t>
    </r>
    <r>
      <rPr>
        <sz val="11"/>
        <color theme="1"/>
        <rFont val="Aptos Narrow"/>
        <family val="2"/>
        <scheme val="minor"/>
      </rPr>
      <t xml:space="preserve">: </t>
    </r>
    <r>
      <rPr>
        <sz val="11"/>
        <color theme="7" tint="-0.249977111117893"/>
        <rFont val="Aptos Narrow (Body)"/>
      </rPr>
      <t xml:space="preserve">POR - MAWM - Missing Item Level Verification PIX </t>
    </r>
    <r>
      <rPr>
        <sz val="11"/>
        <color theme="1"/>
        <rFont val="Aptos Narrow"/>
        <family val="2"/>
        <scheme val="minor"/>
      </rPr>
      <t xml:space="preserve">uses MARPD_NEW with different SQL script altogether while retaining identical email details;  </t>
    </r>
    <r>
      <rPr>
        <sz val="11"/>
        <color theme="7" tint="-0.249977111117893"/>
        <rFont val="Aptos Narrow (Body)"/>
      </rPr>
      <t xml:space="preserve">ARK - MAWM - Missing Item Level Verification PIX </t>
    </r>
    <r>
      <rPr>
        <sz val="11"/>
        <color theme="1"/>
        <rFont val="Aptos Narrow"/>
        <family val="2"/>
        <scheme val="minor"/>
      </rPr>
      <t>uses MAWM_SOA_PRD as well with a slightly different SQL script, with major difference in email message and small differences in email recipient.</t>
    </r>
  </si>
  <si>
    <t>| dbxquery query="SELECT O.ORG_ID, O.ORIGINAL_ORDER_ID AS \"ORDER\", O.ORDER_TYPE, O.BILLING_ACCOUNT_NUMBER, O.BILL_TO_NAME AS CUSTOMER
 , CONCAT(O.MAXIMUM_STATUS,'-',DS.DESCRIPTION) ORDER_STATUS, OLI.ORIGINAL_ORDER_PLANNING_RUN_ID
 , OLI.ITEM_ID SKU, OLI.DESCRIPTION SKU_DESCRIPTION
 , O.UPDATED_TIMESTAMP, O.UPDATED_BY
 FROM default_dcorder.DCO_ORIGINAL_ORDER O
 LEFT JOIN default_dcorder.DCO_ORDER_STATUS DS ON DS.ORDER_STATUS_ID = O.MAXIMUM_STATUS
 LEFT JOIN default_dcorder.DCO_ORDER_LINE OLI ON OLI.ORIGINAL_ORDER_ID = O.ORIGINAL_ORDER_ID AND O.ORG_ID = OLI.ORG_ID
 WHERE 1=1
 AND O.ORG_ID = 'WSD'
 AND UPPER(O.ORDER_TYPE) = 'STANDARD'
 AND O.MAXIMUM_STATUS = '9000'
 AND O.UPDATED_TIMESTAMP &gt;= NOW() - INTERVAL 1 DAY;" connection="MAPRD_NEW"</t>
  </si>
  <si>
    <t xml:space="preserve">
WSD - MAWM - Routed Orders Cancelled</t>
  </si>
  <si>
    <t>to: Ryan.Metz@rndc-usa.com, John.Hall@rndc-usa.com, Anthony.Coleman@rndc-usa.com, Dazzle.Keyser@rndc-usa.com,  CC: Douglas.Garner@rndc-usa.com, wmsinternal@rndc-usa.com, wmsconsultant@rndc-usa.com, WMSMSPSupport@RNDC-USA.COM</t>
  </si>
  <si>
    <r>
      <t xml:space="preserve">
</t>
    </r>
    <r>
      <rPr>
        <sz val="11"/>
        <color rgb="FF00B0F0"/>
        <rFont val="Aptos Narrow (Body)"/>
      </rPr>
      <t>WMS - LOU - Routed Orders Cancelled</t>
    </r>
    <r>
      <rPr>
        <sz val="11"/>
        <color theme="1"/>
        <rFont val="Aptos Narrow"/>
        <family val="2"/>
        <scheme val="minor"/>
      </rPr>
      <t xml:space="preserve"> has different connection string in Splunk query, it uses "wmsprd" instead of MAPRD_NEW; also Splunk script is considerably different. Differences in Edit Alert window params for DB Alerts for this category exist between warehouses as well.</t>
    </r>
  </si>
  <si>
    <t>| dbxquery query=" SELECT CLIA.org_id,
       CLIA.lpn_id,
       CLIA.location_id,
       CLIA.pk,
       CLIA.updated_timestamp,
       Concat(O.status, '-', STAT.description) OLPN_STATUS
FROM   default_dcconsolidation.sla_lpn_location_assignment CLIA
       LEFT JOIN default_pickpack.ppk_olpn O
              ON O.org_id = CLIA.org_id
                 AND CLIA.lpn_id = O.olpn_id
       LEFT JOIN default_pickpack.ppk_olpn_status STAT
              ON STAT.olpn_status_id = O.status
WHERE  CLIA.org_id = 'POR'
       AND O.status = '8000'" 
connection="MAPRD_NEW"</t>
  </si>
  <si>
    <t>POR - MAWM - Shipped oLPN w/ Consolidation Location Assignment</t>
  </si>
  <si>
    <t>wmsinternal@RNDC-USA.COM, WMSMSPSupport@RNDC-USA.COM, DL_MANH_RNDC_MAWM_PSO@manh.com, DL_RNDC_MAWM_CSO@manh.com</t>
  </si>
  <si>
    <t>The alert condition for '$name$' was triggered.
Manhattan Case 8435111 is open for this.
***MSP TO CLEAN UP***
Steps to Clear:
Delete the consolidation location assignments using the following endpoint.
DELETE {{app_host}}/dcconsolidation/api/stagingLocationAssignment/locationCapacityTracking/{{PK}}</t>
  </si>
  <si>
    <t xml:space="preserve">Surprisingly, 
SAA- MAWM - Shipped oLPN w/ Consolidation Location Assignment also uses CLIA.ORG_ID = 'POR' in its Splunk query </t>
  </si>
  <si>
    <t xml:space="preserve"> | dbxquery query="SELECT ASSIGN.org_id,
       ASSIGN.location_id,
       ASSIGN.item_id,
       ASSIGN.assignment_id
FROM   default_dcinventory.dci_location_item_assignment ASSIGN
       LEFT JOIN default_dcinventory.dci_location LOC
              ON LOC.location_id = ASSIGN.location_id
                 AND Substr(LOC.profile_id, 1, 3) = ASSIGN.org_id
WHERE  ASSIGN.location_id NOT IN (SELECT DISTINCT INVN1.location_id
                                  FROM   default_dcinventory.dci_inventory INVN1
                                  WHERE  INVN1.location_id IS NOT NULL)
       AND ASSIGN.location_id NOT IN
           (SELECT DISTINCT INVN2.inventory_container_id
            FROM   default_dcinventory.dci_inventory INVN2
            WHERE  INVN2.inventory_container_type_id =
                   'LOCATION'
               )
       AND LOC.storage_uom_id = 'LPN'
       AND LOC.sku_dedication_type_id = 'TEMPORARY'
       AND LOC.location_type_id = 'STORAGE'
       AND ASSIGN.org_id = 'POR'"
 connection="MAPRD_NEW"</t>
  </si>
  <si>
    <t>POR - MAWM - Temporary Reserve Locations w/ Assignments, but no Inventory</t>
  </si>
  <si>
    <t>***MSP TO CLEAN UP***  Description: 1. Open the Location Inventory UI and Rebuild the location  2. Open the Location Item Assignments UI and Delete the Location Item Assignment   Note: Manhattan Case 7092460 is opened for this.</t>
  </si>
  <si>
    <t>to bryce.meyer@rndc-usa.com, Michael.Ferdinand@Penske.com, abel.paucardelacruz@rndc-usa.com, Matthew.Chavez@Penske.com,Jesse.Butler@Penske.com cc: wmsinternal@RNDC-USA.COM, WMSMSPSupport@RNDC-USA.COM</t>
  </si>
  <si>
    <t>| dbxquery query=" SELECT DISTINCT INVN.org_id,
                INVN.location_id,
                Count(DISTINCT( INVN.item_id )) COUNT
FROM   default_dcinventory.dci_inventory INVN
       left join default_dcinventory.dci_location LOC
              ON LOC.location_id = INVN.location_id
                 AND Substr(LOC.profile_id, 1, 3) = INVN.org_id
WHERE  INVN.location_id NOT IN (SELECT DISTINCT ASSIGN.location_id
                                FROM
       default_dcinventory.dci_location_item_assignment
       ASSIGN
                                WHERE  ASSIGN.org_id = INVN.org_id
                                       AND ASSIGN.item_id IS NOT NULL)
       AND LOC.storage_uom_id = 'LPN'
       AND LOC.sku_dedication_type_id = 'TEMPORARY'
       AND LOC.location_type_id = 'STORAGE'
       AND LOC.profile_id LIKE 'WSD%'
       AND INVN.ilpn_id NOT IN (WITH a
                                     AS (SELECT org_id,
                                                ilpn_id,
                                                Count(*)
                                         FROM
                                     default_dcinventory.dci_inventory
                                         WHERE  inventory_container_type_id =
                                                'ILPN'
                                                AND org_id = 'WSD'
                                         GROUP  BY 1,
                                                   2
                                         HAVING Count(*) &gt; '1')
                                SELECT a.ilpn_id
                                 FROM   a)
GROUP  BY INVN.org_id,
          INVN.location_id
ORDER  BY Count(DISTINCT( INVN.item_id )) DESC;  
" connection="MAPRD_NEW"</t>
  </si>
  <si>
    <t>The alert condition for '$name$' was triggered.
***MSP TO CLEAN UP*** 
Manhattan case 7106878 
Description: 
1. Location Inventory UI – Rebuild the location
2. Location Item Assignments UI – Delete the Location Item Assignment</t>
  </si>
  <si>
    <t>to: demetrius.dever@rndc-usa.com, Michael.Clark@RNDC-USA.com, guy.sriwatcharakul@rndc-usa.com, hank.dryden@rndc-usa.com CC: wmsinternal@rndc-usa.com, wmsconsultant@rndc-usa.com, WMSMSPSupport@RNDC-USA.COM, DL_MANH_RNDC_MAWM_PSO@manh.com, DL_RNDC_MAWM_CSO@manh.com</t>
  </si>
  <si>
    <t xml:space="preserve"> | dbxquery query="SELECT warehouse,
       pix_spec,
       trx_date,
       trx_time,
       seq_number,
       po_no,
       asn_no,
       item_no,
       pixid,
       reason_code,
       Max(qty) bottles,
       Count(*)
FROM   pix_trx
WHERE  warehouse = 'POR'
       AND seq_number IS NOT NULL
       AND created_dttm &gt; sysdate - 1
GROUP  BY pix_spec,
          trx_date,
          trx_time,
          seq_number,
          item_no,
          pixid,
          warehouse,
          reason_code,
          po_no,
          asn_no
HAVING Count(*) &gt; 1; "
" connection="MAPRD_NEW"</t>
  </si>
  <si>
    <t>| inputlookup MA_SOA.csv | table USERNAME | map maxsearches=100 search="
| dbxquery query=\" SELECT warehouse,
       pix_spec,
       pix_trxno,
       pixid,
       trx_date,
       trx_time,
       item_no,
       qty,
       add_sub,
       asn_no,
       po_no,
       po_line
FROM   $username$.pix_trx
WHERE  asn_no IS NOT NULL
       AND po_no IS NOT NULL
       AND po_line IS NULL
       AND pix_spec = 'Inventory Adjustment'
       AND created_dttm &gt; sysdate - 1
ORDER  BY trx_date DESC,
          trx_time DESC\" 
connection="MAWM_SOA_PRD" shortnames=true"</t>
  </si>
  <si>
    <t xml:space="preserve"> ALL - MAWM - Inventory Adjustment PIX w/ Null PO Line </t>
  </si>
  <si>
    <t>The alert condition for '$name$' was triggered.
Manhattan case number 7870769</t>
  </si>
  <si>
    <t>DL_RNDC_MAWM_CSO@manh.com, wmsinternal@rndc-usa.com</t>
  </si>
  <si>
    <t>**Unresolved questions about source, seems to have both csv and oracle database as source</t>
  </si>
  <si>
    <t>| dbxquery query=" SELECT org_id,
       olpn_id,
       status,
       order_id,
       order_type,
       order_planning_run_id,
       shipment_id,
       order_pipeline_id,
       updated_by,
       updated_timestamp
FROM   default_pickpack.ppk_olpn
WHERE  1 = 1
       AND status = '7100'
       AND order_type = 'Standard'
       AND updated_timestamp &lt;= Now() - interval 5 minute"
connection="MAPRD_NEW"</t>
  </si>
  <si>
    <t xml:space="preserve"> ALL - MAWM - In Packing oLPNS &gt; 5 Minutes </t>
  </si>
  <si>
    <t>Unable to obtain</t>
  </si>
  <si>
    <t xml:space="preserve"> SELECT TD.org_id,
       TD.task_id,
       Concat(TD.status, '-', TDS.description) TD_STAT,
       T.transaction_type_id,
       TD.source_container_id                  ILPN,
       TD.target_container_id,
       TD.target_container_type_id,
       TD.target_location_id,
       ILPN.current_location_id,
       uom_type_id,
       TD.updated_by,
       TD.updated_timestamp,
       TD.allocation_id
FROM   default_task.tsk_task_detail TD
       left join default_task.tsk_task T
              ON T.task_id = TD.task_id
                 AND T.org_id = TD.org_id
       left join default_task.tsk_task_detail_status TDS
              ON TDS.task_detail_status_id = TD.status
       left join default_dcinventory.dci_ilpn ILPN
              ON ILPN.ilpn_id = TD.source_container_id
                 AND ILPN.org_id = TD.org_id
WHERE  1 = 1
       AND T.transaction_type_id = 'Putaway'
       AND TD.status &lt; '8000'
       AND ILPN.current_location_id = TD.target_location_id
       AND TD.updated_timestamp &lt;= Now() - interval 10 minute; "
 connection="MAPRD_NEW"
 |rename ORG_ID AS "Org ID", TASK_ID AS "Task ID", TD_STAT AS "Task Detail Status", TRANSACTION_TYPE_ID AS "Transaction Type ID", ILPN AS "iLPN", TARGET_CONTAINER_ID AS "Target Container ID", TARGET_CONTAINER_TYPE_ID AS "Target Container Type ID", TARGET_LOCATION_ID AS "Target Location ID", CURRENT_LOCATION_ID AS "Current Location ID", UOM_TYPE_ID AS "UOM Type ID", UPDATED_BY AS "Updated By", UPDATED_TIMESTAMP AS "Updated Timestamp", ALLOCATION_ID AS "Allocation ID"
 | table "Org ID", "Task ID", "Task Detail Status", "Transaction Type ID", "iLPN", "Target Container ID", "Target Container Type ID", "Target Location ID", "Current Location ID", "UOM Type ID", "Updated By", "Updated Timestamp", "Allocation ID"</t>
  </si>
  <si>
    <t>| dbxquery query=" SELECT T2.org_id,
       T2.task_id,
       T2.hdr_stat                                        TASK_HDR_STATUS,
       T2.transaction_id,
       Concat(T2.min_task_dtl_stat, '-', TDS.description) MIN_TASK_DETAIL_STATUS
       ,
       dtl_updated_timestamp
FROM   (SELECT org_id,
               task_id,
               hdr_stat,
               transaction_id,
               Min(task_detail_status_id) MIN_TASK_DTL_STAT,
               Max(dtl_updated_timestamp) DTL_UPDATED_TIMESTAMP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HDR_UPDATED_TIMESTAMP,
                       TD.updated_timestamp
                       DTL_UPDATED_TIMESTAMP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hdr_stat IN ( '7000-In Progress' )
        GROUP  BY task_id,
                  org_id,
                  transaction_id) T2
       left join default_task.tsk_task_detail_status TDS
              ON TDS.task_detail_status_id = T2.min_task_dtl_stat
WHERE  min_task_dtl_stat &gt;= '8000'
       AND dtl_updated_timestamp &lt; Now() - interval 6 hour;"
connection="MAPRD_NEW"</t>
  </si>
  <si>
    <t xml:space="preserve"> | dbxquery query="SELECT    scb.org_id,
          'SHIP_CONFIRM_BATCH' AS ship_confirm_type ,
          scb.ship_confirm_batch_id,
          ' '                                                                      AS "ORDER",
                    Concat(scbs.status_id,'-',scbs.ship_confirm_batch_status_desc) status ,
          scb.created_timestamp,
          scb.updated_timestamp
FROM      default_shipconfirm.shc_ship_confirm_batch SCB
LEFT JOIN default_shipconfirm.shc_ship_confirm_batch_status SCBS
ON        scbs.status_id = scb.status_id
WHERE     scb.status_id &lt;&gt; '3000'
AND       scb.created_timestamp &gt; Now() - interval 24 hour
AND       scb.updated_timestamp &lt; now() - interval 20 minute
UNION ALL
SELECT    scbe.org_id,
          'SHIP_CONFIRM_BATCH_ENTRY' AS ship_confirm_type,
          scbe.ship_confirm_batch_id,
          scbe.order_id                                                            AS "ORDER",
                    concat(scbs.status_id,'-',scbs.ship_confirm_batch_status_desc) AS status ,
          scbe.created_timestamp,
          scbe.updated_timestamp
FROM      default_shipconfirm. shc_ship_confirm_entry scbe
LEFT JOIN default_shipconfirm.shc_ship_confirm_batch_status scbs
ON        scbs.status_id = scbe.status_id
WHERE     scbe.status_id NOT IN ('3000',
                                 '2000')
AND       scbe.order_id NOT IN
          (
                 SELECT original_order_id
                 FROM   default_dcorder.dco_original_order
                 WHERE  minimum_status = '9000')
AND       scbe.order_id NOT IN
          (
                 SELECT order_id
                 FROM   default_shipconfirm.shc_ship_confirm_entry
                 WHERE  status_id IN ('2000',
                                      '3000'))
AND       scbe.order_id NOT LIKE '%PICK%LIST%'
AND       scbe.order_id NOT IN
          (
                 SELECT order_id
                 FROM   default_pickpack.ppk_olpn olpn
                 WHERE  olpn.org_id = scbe.org_id
                 AND    olpn.status &lt; 7900)
AND       scbe.created_timestamp &gt; now() - interval 24 hour
AND       scbe.updated_timestamp &lt; now() - interval 20 minute 
 " connection="MAPRD_NEW"</t>
  </si>
  <si>
    <t xml:space="preserve">Enabled </t>
  </si>
  <si>
    <t>dbxquery query="SELECT * FROM  (SELECT A.warehouse, A.asn_no, B.created_dttm AS \"ASN_CREATE_DATE\" FROM (  (SELECT asn_no, warehouse FROM pix_trx WHERE 1=1 AND asn_no IN  (SELECT DISTINCT asn_no FROM pix_trx WHERE pix_spec = 'SupplierReceiptId') AND asn_no IN  (SELECT DISTINCT asn_no FROM pix_trx WHERE pix_spec = 'CreateAsn') AND asn_no NOT IN  (SELECT DISTINCT asn_no FROM pix_trx WHERE pix_spec IN ('ASN Level','ITEM_Level','CancelASN')) GROUP BY  asn_no, warehouse)A left outer JOIN  (SELECT asn_no, created_dttm FROM pix_trx WHERE 1=1 AND pix_spec = 'CreateAsn') B ON A.ASN_NO = B.ASN_NO)) WHERE ASN_CREATE_DATE &lt; sysdate - 5;" connection="ATL_MIDDLE_PROD"</t>
  </si>
  <si>
    <t>ATL_MIDDLE_PROD</t>
  </si>
  <si>
    <t xml:space="preserve"> jdbc:oracle:thin:@at4ex01-scan1.corp.rndc-usa.com:1521/pwmsods_svc1</t>
  </si>
  <si>
    <t>ATL - MAWM - ASN's With No ASN Level Verification &gt; 5 Days</t>
  </si>
  <si>
    <t>wmsinternal@rndc-usa.com, wmsmspsupport@rndc-usa.com</t>
  </si>
  <si>
    <t>All warehouse referring to the same oracle server for this alert</t>
  </si>
  <si>
    <t xml:space="preserve">Legend </t>
  </si>
  <si>
    <t xml:space="preserve"> SAA - MAWM - Item Level Receipts With 0 Quantity </t>
  </si>
  <si>
    <t>The alert condition for '$name$' was triggered.
Description:  Manhattan case 7115910 is open for this.
***MSP TO CLEAN UP***
Steps to Correct: 
Run the SQL update(s) in the SOA DB for each house. Commit these updates after running.</t>
  </si>
  <si>
    <t>****see ITEM LEVEL RECEIPTS WITH 0 QUANTITY in main table</t>
  </si>
  <si>
    <t>dbxquery query="select P.ORG_id, P.ORDER_PLANNING_RUN_ID, P.PLANNING_STRATEGY_ID, P.DESCRIPTION, P.STATUS, P.PIPELINE_ID,  P.CREATED_TIMESTAMP, P.CREATED_BY, 
 P.SELECTED_ORDERS, P.SELECTED_ORDER_LINES, P.SELECTED_UNITS, P.DESELECTED_ORDER_LINES, P.REPLENISHMENT_CREATED 
 FROM (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&lt; 500 
  AND DOP.ORG_ID = 'HAW' AND DOP.CREATED_TIMESTAMP &lt; DATE_SUB(now(), INTERVAL '15' MINUTE)
 UNION
 select DOP.ORG_id, DOP.ORDER_PLANNING_RUN_ID,DOP.PLANNING_STRATEGY_ID, STATUS.DESCRIPTION, DOP.STATUS, DOP.PIPELINE_ID,  DOP.CREATED_TIMESTAMP, DOP.CREATED_BY, 
 DOP.SELECTED_ORDERS, DOP.SELECTED_ORDER_LINES, DOP.SELECTED_UNITS, DOP.DESELECTED_ORDER_LINES, DOP.REPLENISHMENT_CREATED
 FROM  default_dcorder.DCO_ORDER_PLAN_RUN_STRATEGY DOP join default_dcorder.DCO_PLANNING_RUN_STATUS STATUS on DOP.STATUS = STATUS.PLANNING_RUN_STATUS_ID
 WHERE DOP.STATUS = 400 
  AND DOP.ORG_ID = 'HAW' AND DOP.UPDATED_TIMESTAMP &lt;= DATE_SUB(now(), INTERVAL '5' MINUTE))P
 ORDER BY P.CREATED_TIMESTAMP DESC" connection="MAPRD_NEW"</t>
  </si>
  <si>
    <t xml:space="preserve"> HAW - MAWM - Long Running or Aborted Waves </t>
  </si>
  <si>
    <t>Link To Alert
Link to Results
Inline Table Attach CSV</t>
  </si>
  <si>
    <r>
      <rPr>
        <sz val="11"/>
        <color rgb="FFFF0000"/>
        <rFont val="Aptos Narrow (Body)"/>
      </rPr>
      <t xml:space="preserve">to: </t>
    </r>
    <r>
      <rPr>
        <sz val="11"/>
        <color theme="1"/>
        <rFont val="Aptos Narrow"/>
        <family val="2"/>
        <scheme val="minor"/>
      </rPr>
      <t xml:space="preserve">Teppi.Waxman@RNDC-USA.COM, Jesse.Kahalioumi@RNDC-USA.COM, Mark.Carriaga@rndc-usa.com </t>
    </r>
    <r>
      <rPr>
        <sz val="11"/>
        <color rgb="FFFF0000"/>
        <rFont val="Aptos Narrow (Body)"/>
      </rPr>
      <t xml:space="preserve">CC </t>
    </r>
    <r>
      <rPr>
        <sz val="11"/>
        <color theme="1"/>
        <rFont val="Aptos Narrow"/>
        <family val="2"/>
        <scheme val="minor"/>
      </rPr>
      <t>wmsinternal@rndc-usa.com, wmsconsultant@rndc-usa.com, WMSMSPSupport@RNDC-USA.COM, DL_MANH_RNDC_MAWM_PSO@manh.com, DL_RNDC_MAWM_CSO@manh.com</t>
    </r>
  </si>
  <si>
    <t>****See LONG RUNNING OR ABORTED WAVES in main table</t>
  </si>
  <si>
    <t>File Search  Alert Name</t>
  </si>
  <si>
    <t>Search</t>
  </si>
  <si>
    <t>File Location</t>
  </si>
  <si>
    <t>CSV</t>
  </si>
  <si>
    <t>EVAL</t>
  </si>
  <si>
    <t>index = main host="misssplunksh01.corp.rndc-usa.com" sourcetype=alphaasn | eval file_date=strftime(now(), "%Y-%m-%d")  | eval mySource="/splunk/FTP/Alpha/asn/abq_asnhdr_" + file_date + ".txt"  | where match(source, mySource) | eval ASN=substr(_raw,1,20), STATUS=substr(substr(_raw,20,21),1,2)  | eval House="ABQ" | eval Error_Description=case(STATUS == " 1", "Header Error", STATUS ==" 2", "Line Item Error") | where STATUS in (" 1"," 2") | rename STATUS as "Error Status", Error_Description as "Error Description" | table House, ASN, "Error Status", "Error Description", _time</t>
  </si>
  <si>
    <t xml:space="preserve">"/splunk/FTP/Alpha/asn/abq_asnhdr_" + file_date + ".txt" </t>
  </si>
  <si>
    <t>WMS - ABQ ALPHA ASN Error</t>
  </si>
  <si>
    <t>wmsinternal@RNDC-USA.COM, FRANCO.FLORES@RNDC-USA.COM, Ryan.McHenry@rndc-usa.com</t>
  </si>
  <si>
    <t>"/splunk/FTP/Alpha/adj/atl_adjtrx_" + file_date + ".txt"</t>
  </si>
  <si>
    <r>
      <rPr>
        <sz val="11"/>
        <color rgb="FF000000"/>
        <rFont val="Consolas, Monaco, Menlo, Courie"/>
      </rPr>
      <t xml:space="preserve">
</t>
    </r>
    <r>
      <rPr>
        <sz val="11"/>
        <color rgb="FF000000"/>
        <rFont val="Aptos Narrow"/>
        <scheme val="minor"/>
      </rPr>
      <t>WMS - ATL Alpha Open Adjustments &gt; 35 days
- These Adjustment are open longer than 35 days -</t>
    </r>
  </si>
  <si>
    <r>
      <rPr>
        <sz val="11"/>
        <color rgb="FFFF0000"/>
        <rFont val="Aptos Narrow"/>
        <scheme val="minor"/>
      </rPr>
      <t xml:space="preserve">To:
</t>
    </r>
    <r>
      <rPr>
        <sz val="11"/>
        <color rgb="FF000000"/>
        <rFont val="Aptos Narrow"/>
        <scheme val="minor"/>
      </rPr>
      <t xml:space="preserve">wmsinternal@RNDC-USA.COM,  Jennifer.Arrington@NATDISTCO.COM,Juan.gutierrez@rndc-usa.com,Raymond.Tuff@RNDC-USA.COM,eduardo.gutierrez@rndc-usa.com
</t>
    </r>
    <r>
      <rPr>
        <sz val="11"/>
        <color rgb="FFFF0000"/>
        <rFont val="Aptos Narrow"/>
        <scheme val="minor"/>
      </rPr>
      <t>cc</t>
    </r>
    <r>
      <rPr>
        <sz val="11"/>
        <color rgb="FF000000"/>
        <rFont val="Aptos Narrow"/>
        <scheme val="minor"/>
      </rPr>
      <t xml:space="preserve">:
Jennifer.arrington@natdistco.com
</t>
    </r>
  </si>
  <si>
    <t>"/splunk/FTP/Alpha/adj/laf_adjtrx_" + file_date + ".txt"</t>
  </si>
  <si>
    <t>WMS - LAF Alpha Open Adjustments &gt; 40 days
- These Adjustment are open longer than 40 days -</t>
  </si>
  <si>
    <t>House="LAF"
House="NEW"</t>
  </si>
  <si>
    <t>index = alpharet punct=__________________________________________________  | eval file_date=strftime(now(), "%Y-%m-%d")   | eval mySource="/splunk/FTP/Alpha/ret/atl_retlpn_" + file_date + ".txt"   | where match(source, mySource)| search</t>
  </si>
  <si>
    <t>"/splunk/FTP/Alpha/ret/atl_retlpn_" + file_date + ".txt"</t>
  </si>
  <si>
    <t>WMS - ATL Alpha Open Returns
Returns open for more than 24 hours</t>
  </si>
  <si>
    <t>Link To Alert
Link to Results
Inline Table
Attach PDF</t>
  </si>
  <si>
    <t>The alert condition for '$name$' was triggered.
RET pallets should be closed daily after verification to bridge RET pallets into WM for systematic putaway.  Only exception may be Empty Kegs that can be closed every Friday afternoon.  Refer to the WMS Documentation - HT.5 - Returns Pallet Detail Listing (https://rndc.app.box.com/folder/46908679010)</t>
  </si>
  <si>
    <t>wmsinternal@RNDC-USA.COM,Steven.Pacheco@NATDISTCO.COM, Kandy.Harkness@RNDC-USA.COM, MAKARSHA.COPELAND@RNDC-USA.COM, leroy.willis@rndc-usa.com,Juan.gutierrez@rndc-usa.com,Raymond.Tuff@RNDC-USA.COM</t>
  </si>
  <si>
    <t>sourcetype=alphaasn White!=9 latest=-2d@d earliest=0 |
eval file_date=strftime(now(), "%Y-%m-%d")   |
eval mySource="/splunk/FTP/Alpha/asn/abq_asnhdr_" + file_date + ".txt"  |
where match(source, mySource)|
search |
eval Date=_time | convert timeformat="%Y-%m-%d" ctime(Date) |
table source,ASN,White,Date |
rex field=source mode=sed "s/\/splunk\/FTP\/Alpha\/asn\/abq_*(.+)/ABQ/g" | 
rex field=White mode=sed "s/[0]/Open_ASN/g" | 
rex field=White mode=sed "s/[1]/Header_Values_Errors/g" |
rex field=White mode=sed "s/[2]/Line_Item_Errors/g" |
rename source AS "House", White AS "Status" | sort House</t>
  </si>
  <si>
    <t>WMS - ABQ Alpha Open/Error ASN</t>
  </si>
  <si>
    <t xml:space="preserve">
Link to Results
Inline Table
Attach PDF</t>
  </si>
  <si>
    <t>wmsinternal@RNDC-USA.COM, Ryan.McHenry@rndc-usa.com, FRANCO.FLORES@RNDC-USA.COM</t>
  </si>
  <si>
    <t>sourcetype = asn_error_csv AHZMSROM=ELP | eval file_date=strftime(now(), "%Y_%m_%d")  | eval mySource="/splunk/FTP/ASW/ASN_Errors_" + file_date + ".csv"   | where match(source, mySource) | table AHZMSROM AHZMASNN _time | rename AHZMSROM AS "HOUSE" AHZMASNN AS "ASN"</t>
  </si>
  <si>
    <t>"/splunk/FTP/ASW/ASN_Errors_" + file_date + ".csv"</t>
  </si>
  <si>
    <t>WMS - ELP ASW ASN Error</t>
  </si>
  <si>
    <t>Inline Table</t>
  </si>
  <si>
    <t>wmsinternal@RNDC-USA.COM, WMSMSPSupport@RNDC-USA.COM, Doug.Houston@RNDC-USA.COM, Jason.Teising@RNDC-USA.COM, keith.thompson@rndc-usa.com,frank.ceja@rndc-usa.com</t>
  </si>
  <si>
    <t>sourcetype=csv source="/splunk/FTP/ASW/Cust_Rtn_Pallets_*" latest=-2d@d earliest=0 |
eval file_date=strftime(now(), "%Y_%m_%d")   |
eval mySource="/splunk/FTP/ASW/Cust_Rtn_Pallets_" + file_date + ".csv"  |
where match(source, mySource)|
search |
eval Date=_time | convert timeformat="%Y-%m-%d" ctime(Date) |
table PHSROM, PHPALN , Date | rename PHSROM AS "House" PHPALN AS "Open Return"</t>
  </si>
  <si>
    <t>"/splunk/FTP/ASW/Cust_Rtn_Pallets_" + file_date + ".csv"</t>
  </si>
  <si>
    <t>WMS - ASW Open Returns</t>
  </si>
  <si>
    <t>Attach PDF</t>
  </si>
  <si>
    <r>
      <rPr>
        <sz val="11"/>
        <color rgb="FFFF0000"/>
        <rFont val="Aptos Narrow"/>
        <scheme val="minor"/>
      </rPr>
      <t xml:space="preserve">To:
</t>
    </r>
    <r>
      <rPr>
        <sz val="11"/>
        <color rgb="FF000000"/>
        <rFont val="Aptos Narrow"/>
        <scheme val="minor"/>
      </rPr>
      <t xml:space="preserve">wmsinternal@RNDC-USA.COM, WMSMSPSupport@RNDC-USA.COM
</t>
    </r>
    <r>
      <rPr>
        <sz val="11"/>
        <color rgb="FFFF0000"/>
        <rFont val="Aptos Narrow"/>
        <scheme val="minor"/>
      </rPr>
      <t xml:space="preserve">cc:
</t>
    </r>
    <r>
      <rPr>
        <sz val="11"/>
        <color rgb="FF000000"/>
        <rFont val="Aptos Narrow"/>
        <scheme val="minor"/>
      </rPr>
      <t>WMSadmin@RNDC-USA.COM</t>
    </r>
  </si>
  <si>
    <t xml:space="preserve">1.	Time range contradiction: Searches 2 days ago but filters for today's file
2.	Empty search command: May cause unexpected behavior
</t>
  </si>
  <si>
    <t>sourcetype=*asw* SISROM=EL1 | eval file_date=strftime(now(), "%Y_%m_%d") | eval mySource="/splunk/FTP/ASW/Pending_Shipments_Open_" + file_date + ".csv"   | where match(source, mySource)  | table  SISROM SIPRDC SIINVN SIUSPSLN  _time  | rename  SISROM AS "HOUSE" SIPRDC AS "ITEM" SIINVN AS "INVOICE NUMBER"  SIUSPSLN as "INVOICE LINE NUMBER"</t>
  </si>
  <si>
    <t>"/splunk/FTP/ASW/Pending_Shipments_Open_" + file_date + ".csv"</t>
  </si>
  <si>
    <t>WMS - ELP ASW - Pending Shipment Quantities &gt; 1 week</t>
  </si>
  <si>
    <t>The alert condition for '$name$' was triggered.
 Quantities on pending shipment report should not be greater than 7 days.  Verify the DO in WM first then ship/adjust.  Compare any offsetting -*S, -CC and -*O transactions in the Approval Screen and accept.  Flag remaining +*E items from approval screen for cycle count to achieve offset. Note: negative offset may have already been taken in the approval history.</t>
  </si>
  <si>
    <r>
      <rPr>
        <sz val="11"/>
        <color rgb="FFFF0000"/>
        <rFont val="Aptos Narrow"/>
        <scheme val="minor"/>
      </rPr>
      <t xml:space="preserve">To:
</t>
    </r>
    <r>
      <rPr>
        <sz val="11"/>
        <color rgb="FF000000"/>
        <rFont val="Aptos Narrow"/>
        <scheme val="minor"/>
      </rPr>
      <t xml:space="preserve">wmsinternal@RNDC-USA.COM,keith.thompson@rndc-usa.com,frank.ceja@rndc-usa.com, Joseph.Duran@RNDC-USA.COM
</t>
    </r>
    <r>
      <rPr>
        <sz val="11"/>
        <color rgb="FFFF0000"/>
        <rFont val="Aptos Narrow"/>
        <scheme val="minor"/>
      </rPr>
      <t xml:space="preserve">cc:
</t>
    </r>
    <r>
      <rPr>
        <sz val="11"/>
        <color rgb="FF000000"/>
        <rFont val="Aptos Narrow"/>
        <scheme val="minor"/>
      </rPr>
      <t>Jason.Teising@RNDC-USA.COM</t>
    </r>
  </si>
  <si>
    <t xml:space="preserve">House code - SISROM
ELP: SISROM=EL1
GRP: SISROM=GP1
</t>
  </si>
  <si>
    <t>sourcetype=alpha_adj | eval file_date=strftime(now(), "%Y-%m-%d") | eval mySource="/splunk/FTP/Alpha/adj/new_adjtrx_" + file_date + ".txt" | where match(source, mySource) | eval Item=substr(_raw,1,8), Reason_Code=substr(_raw,19,2), Status=substr(_raw,46,1), CreateDate=substr(_raw,23,8),  Created_Date_Time=strftime(_time, "%Y%m%d"), House="NEW" | eval search_date=strftime(relative_time(now(), "-45d@d"), "%Y%m%d") | eval CreateDateformatt=strptime(CreateDate, "%Y%m%d"), CreateDateformatted=strftime(CreateDateformatt, "%Y%m%d") | where Status&lt;2 AND  CreateDateformatted &lt;= search_date | table House, Item, Reason_Code, Status, CreateDate | sort +Item CreateDate | dedup Item Reason_Code CreateDate | dedup consecutive=true Item, Reason_Code</t>
  </si>
  <si>
    <t>"/splunk/FTP/Alpha/adj/new_adjtrx_" + file_date + ".txt"</t>
  </si>
  <si>
    <t>WMS- NEW Alpha Open Adjustments &gt; 45days
These adjustments are open longer than 45 days</t>
  </si>
  <si>
    <t>wmsinternal@RNDC-USA.COM, Mitchell.Elliott@RNDC-USA.COM, Bruno.Sandoval@RNDC-USA.COM, Carlos.Murillo@RNDC-USA.COM</t>
  </si>
  <si>
    <t>File location</t>
  </si>
  <si>
    <t>manhattan/common/scripts</t>
  </si>
  <si>
    <t>what is https://http-inputs-rndc.splunkcloud.com/services/collector/event in the py script in this folder?</t>
  </si>
  <si>
    <t>hawaii-in-transit-rma-asns</t>
  </si>
  <si>
    <t>do we need to do both stage and prod</t>
  </si>
  <si>
    <t>Question to Peter</t>
  </si>
  <si>
    <t>DB Alerts - ALL - MAWM - In Packing oLPNS &gt; 5 Minutes</t>
  </si>
  <si>
    <t>Refering inputlookup MA_SOA.csv | table USERNAME | map maxsearches=100 search</t>
  </si>
  <si>
    <t>File searches mistaken as DB Alerts</t>
  </si>
  <si>
    <t>7 houses in total</t>
  </si>
  <si>
    <t xml:space="preserve">
House field (18 in total)
House="ABQ"
House="ASH"
House="ATL"
House="COL"
House="DEN"
House="DFB"
House="FAR"
House="IND"
House="JAC"
House="JES"
House="LAF"
House="LIV"
House="OKL"
House="OMA"
House="ORL"
House="PEN"
House="TAM"
House="WSD"
</t>
  </si>
  <si>
    <t xml:space="preserve">5 houses in total
AHZMSROM=ELP, GRP, HOU, LUB, SAA
</t>
  </si>
  <si>
    <t>rex - regular expressions
14 houses in total</t>
  </si>
  <si>
    <t>Number in Final_List-Alerts</t>
  </si>
  <si>
    <t xml:space="preserve"> ALL - MAWM - PIX Specification Found &gt; 1 Hour </t>
  </si>
  <si>
    <t>MAPRD_NEW"</t>
  </si>
  <si>
    <t>| dbxquery query="SELECT P.ORG_ID, P.PIX_SPECIFICATION_ID, PS.DESCRIPTION, P.PIX_EVENT_PAYLOAD_ID, P.UPDATED_TIMESTAMP, P.PK FROM default_pix.PIX_PIX_ENTRY P LEFT JOIN default_pix.PIX_PIX_STATUS PS ON PS.STATUS_ID = P.STATUS_ID WHERE P.STATUS_ID NOT IN ('9000', '8000') AND P.UPDATED_TIMESTAMP &lt; NOW() - INTERVAL 1 HOUR AND P.UPDATED_TIMESTAMP &gt; NOW() - INTERVAL 1*24*365 HOUR ORDER BY  P.UPDATED_TIMESTAMP DESC " connection="MAPRD_NEW"</t>
  </si>
  <si>
    <t>wmsinternal@RNDC-USA.COM, WMSConsultant@RNDC-USA.COM, fargueta@manh.com, mcurtis@manh.com, anamburi@manh.com, DL_MANH_RNDC_MAWM_PSO@manh.com, DL_RNDC_MAWM_CSO@manh.com, WMSMSPSupport@RNDC-USA.COM</t>
  </si>
  <si>
    <t>The alert condition for '$name$' was triggered.
***MSP TO CLEAN UP***
Manhattan Case:  8461889
Clean-Up Steps:
1)	Use the following API &amp; payload to clear this alert.
POST {{app_host}}/pix/api/pix/pixEntry/save
{
    "PK": "{{PK}}",
    "StatusId": "9000"
}</t>
  </si>
  <si>
    <t>| dbxquery query="
SELECT
CFM.CREATED_TIMESTAMP,
SUBSTRING_INDEX(CFM.PAYLOAD-&gt;&gt;'$.PurchaseRequestId','_',1) AS MARKET,
SUBSTRING_INDEX(CFM.PAYLOAD-&gt;&gt;'$.PurchaseRequestId','_',-1) AS PO_NUMBER,
CFM.PAYLOAD-&gt;&gt;'$.Extended.Buyer' AS BUYER,
CFM.PAYLOAD-&gt;&gt;'$.Extended.SupplierCode' AS SUPPLIER_CODE,
CFM.PAYLOAD-&gt;&gt;'$.Extended.SupplierName' AS SUPPLIER_NAME,
CFM.ERROR_MESSAGE AS ERROR_CODE,
CFM.EXCEPTION_MESSAGES-&gt;&gt;'$[0].Description' AS DESCRIPTION
FROM default_commonutil.CUT_FAILED_MESSAGE CFM
WHERE ORG_ID = 'RNDC'
AND QUEUE_NAME = 'XNT_VEN_PurchaseRequest'
AND CREATED_TIMESTAMP &gt;= NOW() - INTERVAL 1 DAY
order by MARKET;" connection="MAPRD_NEW" | table "CREATED_TIMESTAMP", "MARKET", "PO_NUMBER", "BUYER", "SUPPLIER_CODE", "SUPPLIER_NAME", "ERROR_CODE", "DESCRIPTION"</t>
  </si>
  <si>
    <t xml:space="preserve"> MATM - SPO Import Failure </t>
  </si>
  <si>
    <t>The alert condition for '$name$' was triggered.
This alert highlights PO import errors in TMS. POs will not tender to a carrier until the data condition mentioned in the alert is corrected and the PO successfully imports into TMS.</t>
  </si>
  <si>
    <t>to: IBTransportation@rndc-usa.com, InventoryPlanners-SupplyChain@rndc-usa.com, newsupplier@rndc-usa.com cc: TMSTeam@RNDC-USA.COM, Tonja.Speegle@RNDC-USA.COM, Brenda.Weeks@RNDC-USA.COM, Bobby.Grant@RNDC-USA.COM,</t>
  </si>
  <si>
    <t xml:space="preserve"> ALL - MAWM - Loaded Shipments w/ no Ship Confirm &gt; 6 hours </t>
  </si>
  <si>
    <t>| dbxquery query="SELECT T2.ORG_ID,T2.TASK_ID, T2.HDR_STAT TASK_HDR_STATUS, T2.TRANSACTION_ID, CONCAT(T2.MIN_TASK_DTL_STAT,'-',TDS.DESCRIPTION) MIN_TASK_DETAIL_STATUS, T2.UPDATED_TIMESTAMP, T2.TASK_DETAIL_ID
FROM (
        SELECT ORG_ID, TASK_ID, HDR_STAT, STATUS, TRANSACTION_ID, MIN(TASK_DETAIL_STATUS_ID) MIN_TASK_DTL_STAT, UPDATED_TIMESTAMP, TASK_DETAIL_ID
        FROM (
            select TSK.ORG_ID
                , TSK.TASK_ID
                , TSK.STATUS
                , CONCAT(TSK.STATUS,'-',TS.DESCRIPTION) HDR_STAT
                , TSK.CURRENT_USER_ID
                , TSK.ASSIGNED_TASK_GROUP_ID
                , TSK.TRANSACTION_ID
                , TSK.TRANSACTION_TYPE_ID
                , TD.SEQUENCE
                , TDS.TASK_DETAIL_STATUS_ID
                , CONCAT(TD.STATUS,'-',TDS.DESCRIPTION) DTL_STAT 
                , TD.SOURCE_CONTAINER_ID
                , TSK.UPDATED_TIMESTAMP
                ,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1=1
            ORDER BY TASK_ID, SEQUENCE
            ) T1
        WHERE 1=1
        AND STATUS &gt;= '8000' and STATUS &lt;&gt; '8500' 
        GROUP BY TASK_ID, ORG_ID, TRANSACTION_ID, STATUS, HDR_STAT, UPDATED_TIMESTAMP, TASK_DETAIL_ID 
    ) T2
LEFT JOIN default_task.TSK_TASK_DETAIL_STATUS TDS ON TDS.TASK_DETAIL_STATUS_ID = T2.MIN_TASK_DTL_STAT
WHERE MIN_TASK_DTL_STAT &lt; '8000'
AND T2.UPDATED_TIMESTAMP &lt; NOW() - INTERVAL 20 MINUTE
ORDER BY 1;
" connection="MAPRD_NEW"
| rename ORG_ID AS "Org ID", TASK_ID AS "Task ID", TASK_HDR_STATUS AS "Task Header Status", TRANSACTION_ID AS "Transaction ID", MIN_TASK_DETAIL_STATUS AS "Min Task Detail Status", UPDATED_TIMESTAMP AS "Updated Timestamp", TASK_DETAIL_ID AS "Task Detail ID"
| table "Org ID", "Task ID", "Task Header Status", "Transaction ID", "Min Task Detail Status", "Updated Timestamp", "Task Detail ID"</t>
  </si>
  <si>
    <t xml:space="preserve"> ALL - MAWM - Task Completed or Cancelled w/ Open Task Details </t>
  </si>
  <si>
    <t>| dbxquery query="SELECT T2.ORG_ID, T2.TASK_ID, /*TASK_DETAIL_ID, */ T2.HDR_STAT TASK_HDR_STATUS, T2.TRANSACTION_ID, CONCAT(T2.MIN_TASK_DTL_STAT, '-', TDS.DESCRIPTION) MIN_TASK_DETAIL_STATUS, T2.UPDATED_TIMESTAMP FROM  (SELECT ORG_ID, TASK_ID, /*TASK_DETAIL_ID, */ HDR_STAT, STATUS, TRANSACTION_ID, MIN(TASK_DETAIL_STATUS_ID) MIN_TASK_DTL_STAT, UPDATED_TIMESTAMP FROM  (SELECT TSK.ORG_ID, TSK.TASK_ID, TSK.STATUS, CONCAT(TSK.STATUS, '-', TS.DESCRIPTION) HDR_STAT, TSK.CURRENT_USER_ID, TSK.ASSIGNED_TASK_GROUP_ID, TSK.TRANSACTION_ID, TSK.TRANSACTION_TYPE_ID, TD.SEQUENCE, TDS.TASK_DETAIL_STATUS_ID, CONCAT(TD.STATUS, '-', TDS.DESCRIPTION) DTL_STAT, TD.SOURCE_CONTAINER_ID, TSK.UPDATED_TIMESTAMP, TD.TASK_DETAIL_ID FROM default_task.TSK_TASK TSK LEFT JOIN default_task.TSK_TASK_DETAIL TD ON TD.TASK_ID = TSK.TASK_ID AND TD.ORG_ID = TSK.ORG_ID LEFT JOIN default_task.TSK_TASK_STATUS TS ON TS.TASK_STATUS_ID = TSK.STATUS LEFT JOIN default_task.TSK_TASK_DETAIL_STATUS TDS ON TDS.TASK_DETAIL_STATUS_ID = TD.STATUS WHERE 1 = 1 ORDER BY  TASK_ID, SEQUENCE) T1 WHERE 1 = 1 AND STATUS &lt; '8000' GROUP BY  TASK_ID, /*TASK_DETAIL_ID,*/ ORG_ID, TRANSACTION_ID, STATUS, HDR_STAT, UPDATED_TIMESTAMP) T2 LEFT JOIN default_task.TSK_TASK_DETAIL_STATUS TDS ON TDS.TASK_DETAIL_STATUS_ID = T2.MIN_TASK_DTL_STAT WHERE MIN_TASK_DTL_STAT IN ('8000', '9000') AND T2.UPDATED_TIMESTAMP &lt; NOW() - INTERVAL 120 MINUTE ORDER BY  1; " connection="MAPRD_NEW"</t>
  </si>
  <si>
    <t>REX</t>
  </si>
  <si>
    <t xml:space="preserve">1. update House code? (e.g., House="NEW", there are 18 houses)
2. ASH - Two entries, WMS - ASH Alpha Open Adjustments &gt;45 days (differenct search query)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</si>
</sst>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b/>
      <sz val="11"/>
      <color theme="1"/>
      <name val="Aptos Narrow"/>
      <family val="2"/>
      <scheme val="minor"/>
    </font>
    <font>
      <b/>
      <sz val="16"/>
      <color theme="1"/>
      <name val="Aptos Narrow"/>
      <family val="2"/>
      <scheme val="minor"/>
    </font>
    <font>
      <b/>
      <sz val="14"/>
      <color theme="1"/>
      <name val="Aptos Narrow"/>
      <family val="2"/>
      <scheme val="minor"/>
    </font>
    <font>
      <sz val="8"/>
      <name val="Aptos Narrow"/>
      <family val="2"/>
      <scheme val="minor"/>
    </font>
    <font>
      <sz val="11"/>
      <color rgb="FF000000"/>
      <name val="Aptos Narrow"/>
      <family val="2"/>
      <scheme val="minor"/>
    </font>
    <font>
      <b/>
      <sz val="11"/>
      <color rgb="FF00B050"/>
      <name val="Aptos Narrow"/>
      <family val="2"/>
      <scheme val="minor"/>
    </font>
    <font>
      <b/>
      <sz val="11"/>
      <color rgb="FFC00000"/>
      <name val="Aptos Narrow"/>
      <scheme val="minor"/>
    </font>
    <font>
      <sz val="11"/>
      <color rgb="FF000000"/>
      <name val="Aptos Narrow"/>
      <scheme val="minor"/>
    </font>
    <font>
      <sz val="11"/>
      <color theme="1"/>
      <name val="Aptos Narrow"/>
      <scheme val="minor"/>
    </font>
    <font>
      <b/>
      <sz val="11"/>
      <color rgb="FFC00000"/>
      <name val="Aptos Narrow"/>
      <family val="2"/>
      <scheme val="minor"/>
    </font>
    <font>
      <sz val="11"/>
      <color rgb="FF242424"/>
      <name val="Aptos Narrow"/>
    </font>
    <font>
      <b/>
      <u/>
      <sz val="11"/>
      <color theme="1"/>
      <name val="Aptos Narrow"/>
      <family val="2"/>
      <scheme val="minor"/>
    </font>
    <font>
      <sz val="9"/>
      <color rgb="FF333333"/>
      <name val="Roboto"/>
      <charset val="1"/>
    </font>
    <font>
      <sz val="11"/>
      <color rgb="FF000000"/>
      <name val="Aptos Narrow"/>
    </font>
    <font>
      <sz val="11"/>
      <color rgb="FF242424"/>
      <name val="Aptos Narrow"/>
      <family val="2"/>
    </font>
    <font>
      <sz val="12"/>
      <color rgb="FF9C5700"/>
      <name val="Aptos Narrow"/>
      <family val="2"/>
      <scheme val="minor"/>
    </font>
    <font>
      <sz val="11"/>
      <color rgb="FFFF0000"/>
      <name val="Aptos Narrow (Body)"/>
    </font>
    <font>
      <sz val="11"/>
      <color theme="7" tint="-0.249977111117893"/>
      <name val="Aptos Narrow (Body)"/>
    </font>
    <font>
      <sz val="11"/>
      <color theme="1"/>
      <name val="Aptos Narrow (Body)"/>
    </font>
    <font>
      <sz val="11"/>
      <color rgb="FFFF0000"/>
      <name val="Aptos Narrow"/>
      <family val="2"/>
      <scheme val="minor"/>
    </font>
    <font>
      <sz val="11"/>
      <color rgb="FFFF0000"/>
      <name val="Aptos Narrow"/>
      <scheme val="minor"/>
    </font>
    <font>
      <sz val="11"/>
      <color rgb="FF000000"/>
      <name val="Consolas, Monaco, Menlo, Courie"/>
    </font>
    <font>
      <sz val="11"/>
      <color rgb="FF00B0F0"/>
      <name val="Aptos Narrow (Body)"/>
    </font>
  </fonts>
  <fills count="22">
    <fill>
      <patternFill patternType="none"/>
    </fill>
    <fill>
      <patternFill patternType="gray125"/>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3" tint="0.89999084444715716"/>
        <bgColor indexed="64"/>
      </patternFill>
    </fill>
    <fill>
      <patternFill patternType="solid">
        <fgColor theme="1"/>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rgb="FFC1F0C8"/>
        <bgColor rgb="FFC1F0C8"/>
      </patternFill>
    </fill>
    <fill>
      <patternFill patternType="solid">
        <fgColor rgb="FFFFC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FFEB9C"/>
      </patternFill>
    </fill>
    <fill>
      <patternFill patternType="solid">
        <fgColor rgb="FFFFFF00"/>
        <bgColor rgb="FF000000"/>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16" fillId="20" borderId="0" applyNumberFormat="0" applyBorder="0" applyAlignment="0" applyProtection="0"/>
  </cellStyleXfs>
  <cellXfs count="237">
    <xf numFmtId="0" fontId="0" fillId="0" borderId="0" xfId="0"/>
    <xf numFmtId="0" fontId="1" fillId="0" borderId="1" xfId="0" applyFont="1" applyBorder="1" applyAlignment="1">
      <alignment horizontal="center"/>
    </xf>
    <xf numFmtId="0" fontId="0" fillId="0" borderId="1" xfId="0" applyBorder="1" applyAlignment="1">
      <alignment horizontal="center"/>
    </xf>
    <xf numFmtId="0" fontId="1" fillId="0" borderId="1" xfId="0" applyFont="1" applyBorder="1" applyAlignment="1">
      <alignment horizontal="center" wrapText="1"/>
    </xf>
    <xf numFmtId="0" fontId="0" fillId="0" borderId="1" xfId="0" applyBorder="1" applyAlignment="1">
      <alignment horizontal="center" wrapText="1"/>
    </xf>
    <xf numFmtId="20" fontId="0" fillId="0" borderId="1" xfId="0" applyNumberFormat="1" applyBorder="1" applyAlignment="1">
      <alignment horizontal="center"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1" xfId="0" applyFill="1" applyBorder="1" applyAlignment="1">
      <alignment horizontal="center"/>
    </xf>
    <xf numFmtId="0" fontId="0" fillId="10" borderId="1" xfId="0" applyFill="1" applyBorder="1" applyAlignment="1">
      <alignment horizontal="center"/>
    </xf>
    <xf numFmtId="0" fontId="0" fillId="3" borderId="4" xfId="0" applyFill="1" applyBorder="1" applyAlignment="1">
      <alignment horizontal="center"/>
    </xf>
    <xf numFmtId="0" fontId="0" fillId="4" borderId="4" xfId="0" applyFill="1" applyBorder="1" applyAlignment="1">
      <alignment horizontal="center"/>
    </xf>
    <xf numFmtId="0" fontId="0" fillId="5" borderId="4" xfId="0" applyFill="1" applyBorder="1" applyAlignment="1">
      <alignment horizontal="center"/>
    </xf>
    <xf numFmtId="0" fontId="0" fillId="6" borderId="4" xfId="0" applyFill="1" applyBorder="1" applyAlignment="1">
      <alignment horizontal="center"/>
    </xf>
    <xf numFmtId="0" fontId="0" fillId="7" borderId="4" xfId="0" applyFill="1" applyBorder="1" applyAlignment="1">
      <alignment horizontal="center"/>
    </xf>
    <xf numFmtId="0" fontId="0" fillId="8" borderId="4" xfId="0" applyFill="1" applyBorder="1" applyAlignment="1">
      <alignment horizontal="center"/>
    </xf>
    <xf numFmtId="0" fontId="0" fillId="9" borderId="4" xfId="0" applyFill="1" applyBorder="1" applyAlignment="1">
      <alignment horizontal="center"/>
    </xf>
    <xf numFmtId="0" fontId="0" fillId="3" borderId="5" xfId="0" applyFill="1" applyBorder="1" applyAlignment="1">
      <alignment horizontal="center"/>
    </xf>
    <xf numFmtId="0" fontId="0" fillId="4" borderId="5" xfId="0" applyFill="1" applyBorder="1" applyAlignment="1">
      <alignment horizontal="center"/>
    </xf>
    <xf numFmtId="0" fontId="0" fillId="5" borderId="5" xfId="0" applyFill="1" applyBorder="1" applyAlignment="1">
      <alignment horizontal="center"/>
    </xf>
    <xf numFmtId="0" fontId="0" fillId="6" borderId="5" xfId="0" applyFill="1" applyBorder="1" applyAlignment="1">
      <alignment horizontal="center"/>
    </xf>
    <xf numFmtId="0" fontId="0" fillId="7" borderId="5" xfId="0" applyFill="1" applyBorder="1" applyAlignment="1">
      <alignment horizontal="center"/>
    </xf>
    <xf numFmtId="0" fontId="0" fillId="8" borderId="5" xfId="0" applyFill="1" applyBorder="1" applyAlignment="1">
      <alignment horizontal="center"/>
    </xf>
    <xf numFmtId="0" fontId="0" fillId="9" borderId="5" xfId="0" applyFill="1" applyBorder="1" applyAlignment="1">
      <alignment horizontal="center"/>
    </xf>
    <xf numFmtId="0" fontId="3" fillId="0" borderId="3" xfId="0" applyFont="1" applyBorder="1" applyAlignment="1">
      <alignment horizontal="center"/>
    </xf>
    <xf numFmtId="0" fontId="3" fillId="0" borderId="6" xfId="0" applyFont="1" applyBorder="1" applyAlignment="1">
      <alignment horizontal="center"/>
    </xf>
    <xf numFmtId="0" fontId="3" fillId="0" borderId="2" xfId="0" applyFont="1" applyBorder="1" applyAlignment="1">
      <alignment horizontal="center"/>
    </xf>
    <xf numFmtId="0" fontId="0" fillId="5" borderId="7" xfId="0" applyFill="1" applyBorder="1" applyAlignment="1">
      <alignment horizontal="center"/>
    </xf>
    <xf numFmtId="0" fontId="0" fillId="5" borderId="8" xfId="0" applyFill="1" applyBorder="1" applyAlignment="1">
      <alignment horizontal="center"/>
    </xf>
    <xf numFmtId="0" fontId="0" fillId="5" borderId="9" xfId="0" applyFill="1" applyBorder="1" applyAlignment="1">
      <alignment horizontal="center"/>
    </xf>
    <xf numFmtId="0" fontId="0" fillId="0" borderId="1" xfId="0" applyBorder="1" applyAlignment="1">
      <alignment wrapText="1"/>
    </xf>
    <xf numFmtId="0" fontId="0" fillId="11" borderId="1" xfId="0" applyFill="1" applyBorder="1" applyAlignment="1">
      <alignment horizontal="center"/>
    </xf>
    <xf numFmtId="0" fontId="0" fillId="11" borderId="1" xfId="0" applyFill="1" applyBorder="1" applyAlignment="1">
      <alignment wrapText="1"/>
    </xf>
    <xf numFmtId="0" fontId="0" fillId="11" borderId="1" xfId="0" applyFill="1" applyBorder="1" applyAlignment="1">
      <alignment horizontal="center" wrapText="1"/>
    </xf>
    <xf numFmtId="0" fontId="0" fillId="0" borderId="0" xfId="0" applyAlignment="1">
      <alignment wrapText="1"/>
    </xf>
    <xf numFmtId="0" fontId="0" fillId="12" borderId="1" xfId="0" applyFill="1" applyBorder="1" applyAlignment="1">
      <alignment horizontal="center"/>
    </xf>
    <xf numFmtId="0" fontId="0" fillId="13" borderId="0" xfId="0" applyFill="1"/>
    <xf numFmtId="0" fontId="0" fillId="13" borderId="0" xfId="0" applyFill="1" applyAlignment="1">
      <alignment wrapText="1"/>
    </xf>
    <xf numFmtId="0" fontId="0" fillId="13" borderId="1" xfId="0" applyFill="1" applyBorder="1" applyAlignment="1">
      <alignment horizontal="center"/>
    </xf>
    <xf numFmtId="0" fontId="0" fillId="13" borderId="1" xfId="0" applyFill="1" applyBorder="1" applyAlignment="1">
      <alignment horizontal="center" wrapText="1"/>
    </xf>
    <xf numFmtId="0" fontId="0" fillId="14" borderId="1" xfId="0" applyFill="1" applyBorder="1" applyAlignment="1">
      <alignment horizontal="center"/>
    </xf>
    <xf numFmtId="0" fontId="0" fillId="14" borderId="1" xfId="0" applyFill="1" applyBorder="1" applyAlignment="1">
      <alignment horizontal="center" wrapText="1"/>
    </xf>
    <xf numFmtId="0" fontId="0" fillId="0" borderId="3" xfId="0" applyBorder="1" applyAlignment="1">
      <alignment horizontal="center"/>
    </xf>
    <xf numFmtId="0" fontId="0" fillId="0" borderId="6" xfId="0" applyBorder="1" applyAlignment="1">
      <alignment horizontal="center"/>
    </xf>
    <xf numFmtId="0" fontId="0" fillId="0" borderId="2" xfId="0" applyBorder="1" applyAlignment="1">
      <alignment horizontal="center"/>
    </xf>
    <xf numFmtId="0" fontId="0" fillId="0" borderId="6" xfId="0" applyBorder="1" applyAlignment="1">
      <alignment horizontal="right"/>
    </xf>
    <xf numFmtId="0" fontId="0" fillId="0" borderId="8" xfId="0" applyBorder="1" applyAlignment="1">
      <alignment horizontal="center"/>
    </xf>
    <xf numFmtId="0" fontId="3" fillId="0" borderId="6" xfId="0" applyFont="1"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5" fillId="15" borderId="1"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xf numFmtId="10" fontId="0" fillId="10" borderId="1" xfId="0" applyNumberFormat="1" applyFill="1" applyBorder="1" applyAlignment="1">
      <alignment horizontal="center"/>
    </xf>
    <xf numFmtId="10" fontId="0" fillId="7" borderId="1" xfId="0" applyNumberFormat="1" applyFill="1" applyBorder="1" applyAlignment="1">
      <alignment horizontal="center"/>
    </xf>
    <xf numFmtId="0" fontId="1" fillId="2" borderId="5" xfId="0" applyFont="1" applyFill="1" applyBorder="1"/>
    <xf numFmtId="0" fontId="1" fillId="2" borderId="10" xfId="0" applyFont="1" applyFill="1" applyBorder="1"/>
    <xf numFmtId="0" fontId="1" fillId="9" borderId="14" xfId="0" applyFont="1" applyFill="1" applyBorder="1" applyAlignment="1">
      <alignment horizontal="left"/>
    </xf>
    <xf numFmtId="0" fontId="1" fillId="4" borderId="15" xfId="0" applyFont="1" applyFill="1" applyBorder="1" applyAlignment="1">
      <alignment horizontal="center"/>
    </xf>
    <xf numFmtId="0" fontId="1" fillId="10" borderId="15" xfId="0" applyFont="1" applyFill="1" applyBorder="1" applyAlignment="1">
      <alignment horizontal="center"/>
    </xf>
    <xf numFmtId="0" fontId="1" fillId="7" borderId="15" xfId="0" applyFont="1" applyFill="1" applyBorder="1" applyAlignment="1">
      <alignment horizontal="center"/>
    </xf>
    <xf numFmtId="0" fontId="1" fillId="3" borderId="15" xfId="0" applyFont="1" applyFill="1" applyBorder="1" applyAlignment="1">
      <alignment horizontal="center"/>
    </xf>
    <xf numFmtId="0" fontId="1" fillId="3" borderId="16" xfId="0" applyFont="1" applyFill="1" applyBorder="1" applyAlignment="1">
      <alignment horizontal="center"/>
    </xf>
    <xf numFmtId="0" fontId="0" fillId="9" borderId="17" xfId="0" applyFill="1" applyBorder="1"/>
    <xf numFmtId="0" fontId="0" fillId="9" borderId="19" xfId="0" applyFill="1" applyBorder="1"/>
    <xf numFmtId="0" fontId="0" fillId="4" borderId="20" xfId="0" applyFill="1" applyBorder="1" applyAlignment="1">
      <alignment horizontal="center"/>
    </xf>
    <xf numFmtId="0" fontId="0" fillId="10" borderId="20" xfId="0" applyFill="1" applyBorder="1" applyAlignment="1">
      <alignment horizontal="center"/>
    </xf>
    <xf numFmtId="10" fontId="0" fillId="10" borderId="20" xfId="0" applyNumberFormat="1" applyFill="1" applyBorder="1" applyAlignment="1">
      <alignment horizontal="center"/>
    </xf>
    <xf numFmtId="0" fontId="0" fillId="7" borderId="20" xfId="0" applyFill="1" applyBorder="1" applyAlignment="1">
      <alignment horizontal="center"/>
    </xf>
    <xf numFmtId="10" fontId="0" fillId="7" borderId="20" xfId="0" applyNumberFormat="1" applyFill="1" applyBorder="1" applyAlignment="1">
      <alignment horizontal="center"/>
    </xf>
    <xf numFmtId="0" fontId="0" fillId="3" borderId="20" xfId="0" applyFill="1" applyBorder="1" applyAlignment="1">
      <alignment horizontal="center"/>
    </xf>
    <xf numFmtId="10" fontId="0" fillId="3" borderId="21" xfId="0" applyNumberFormat="1" applyFill="1" applyBorder="1" applyAlignment="1">
      <alignment horizontal="center"/>
    </xf>
    <xf numFmtId="0" fontId="1" fillId="16" borderId="15" xfId="0" applyFont="1" applyFill="1" applyBorder="1" applyAlignment="1">
      <alignment horizontal="center"/>
    </xf>
    <xf numFmtId="0" fontId="0" fillId="16" borderId="1" xfId="0" applyFill="1" applyBorder="1" applyAlignment="1">
      <alignment horizontal="center"/>
    </xf>
    <xf numFmtId="0" fontId="0" fillId="16" borderId="20" xfId="0" applyFill="1" applyBorder="1" applyAlignment="1">
      <alignment horizontal="center"/>
    </xf>
    <xf numFmtId="10" fontId="0" fillId="4" borderId="1" xfId="0" applyNumberFormat="1" applyFill="1" applyBorder="1" applyAlignment="1">
      <alignment horizontal="center"/>
    </xf>
    <xf numFmtId="10" fontId="0" fillId="4" borderId="20" xfId="0" applyNumberFormat="1" applyFill="1" applyBorder="1" applyAlignment="1">
      <alignment horizontal="center"/>
    </xf>
    <xf numFmtId="0" fontId="0" fillId="18" borderId="17" xfId="0" applyFill="1" applyBorder="1"/>
    <xf numFmtId="0" fontId="0" fillId="18" borderId="19" xfId="0" applyFill="1" applyBorder="1"/>
    <xf numFmtId="0" fontId="0" fillId="17" borderId="20" xfId="0" applyFill="1" applyBorder="1" applyAlignment="1">
      <alignment horizontal="center"/>
    </xf>
    <xf numFmtId="0" fontId="1" fillId="18" borderId="22" xfId="0" applyFont="1" applyFill="1" applyBorder="1" applyAlignment="1">
      <alignment wrapText="1"/>
    </xf>
    <xf numFmtId="0" fontId="1" fillId="18" borderId="23" xfId="0" applyFont="1" applyFill="1" applyBorder="1" applyAlignment="1">
      <alignment horizontal="center" wrapText="1"/>
    </xf>
    <xf numFmtId="0" fontId="0" fillId="18" borderId="14" xfId="0" applyFill="1" applyBorder="1"/>
    <xf numFmtId="0" fontId="0" fillId="0" borderId="15" xfId="0" applyBorder="1" applyAlignment="1">
      <alignment horizontal="center"/>
    </xf>
    <xf numFmtId="0" fontId="0" fillId="0" borderId="14"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0" fillId="11" borderId="0" xfId="0" applyFill="1"/>
    <xf numFmtId="0" fontId="0" fillId="11" borderId="26" xfId="0" applyFill="1" applyBorder="1"/>
    <xf numFmtId="0" fontId="0" fillId="11" borderId="27" xfId="0" applyFill="1" applyBorder="1"/>
    <xf numFmtId="0" fontId="0" fillId="11" borderId="28" xfId="0" applyFill="1" applyBorder="1"/>
    <xf numFmtId="0" fontId="1" fillId="18" borderId="25" xfId="0" applyFont="1" applyFill="1" applyBorder="1" applyAlignment="1">
      <alignment horizontal="center" wrapText="1"/>
    </xf>
    <xf numFmtId="0" fontId="9" fillId="0" borderId="1" xfId="0" applyFont="1" applyBorder="1" applyAlignment="1">
      <alignment horizontal="center"/>
    </xf>
    <xf numFmtId="0" fontId="0" fillId="0" borderId="1" xfId="0" applyBorder="1" applyAlignment="1">
      <alignment horizontal="left"/>
    </xf>
    <xf numFmtId="0" fontId="0" fillId="0" borderId="0" xfId="0" applyAlignment="1">
      <alignment horizontal="left"/>
    </xf>
    <xf numFmtId="0" fontId="1" fillId="2" borderId="4" xfId="0" applyFont="1" applyFill="1" applyBorder="1" applyAlignment="1">
      <alignment horizontal="left"/>
    </xf>
    <xf numFmtId="0" fontId="1" fillId="0" borderId="1" xfId="0" applyFont="1" applyBorder="1" applyAlignment="1">
      <alignment horizontal="left"/>
    </xf>
    <xf numFmtId="0" fontId="0" fillId="0" borderId="1" xfId="0" applyBorder="1" applyAlignment="1">
      <alignment horizontal="left" vertical="center" wrapText="1"/>
    </xf>
    <xf numFmtId="0" fontId="0" fillId="0" borderId="1" xfId="0" applyBorder="1" applyAlignment="1">
      <alignment horizontal="left" vertical="center" indent="1"/>
    </xf>
    <xf numFmtId="0" fontId="0" fillId="0" borderId="0" xfId="0" applyAlignment="1">
      <alignment horizontal="left" vertical="center" indent="1"/>
    </xf>
    <xf numFmtId="0" fontId="7" fillId="0" borderId="1" xfId="0" applyFont="1" applyBorder="1" applyAlignment="1">
      <alignment horizontal="center"/>
    </xf>
    <xf numFmtId="0" fontId="10" fillId="0" borderId="1" xfId="0" applyFont="1" applyBorder="1" applyAlignment="1">
      <alignment wrapText="1"/>
    </xf>
    <xf numFmtId="0" fontId="10" fillId="0" borderId="1" xfId="0" applyFont="1" applyBorder="1" applyAlignment="1">
      <alignment horizontal="center"/>
    </xf>
    <xf numFmtId="0" fontId="10" fillId="0" borderId="1" xfId="0" applyFont="1" applyBorder="1" applyAlignment="1">
      <alignment horizontal="center" wrapText="1"/>
    </xf>
    <xf numFmtId="0" fontId="10" fillId="0" borderId="1" xfId="0" applyFont="1" applyBorder="1" applyAlignment="1">
      <alignment horizontal="left"/>
    </xf>
    <xf numFmtId="0" fontId="10" fillId="0" borderId="1" xfId="0" applyFont="1" applyBorder="1" applyAlignment="1">
      <alignment horizontal="left" vertical="center" indent="1"/>
    </xf>
    <xf numFmtId="0" fontId="10" fillId="0" borderId="0" xfId="0" applyFont="1"/>
    <xf numFmtId="0" fontId="0" fillId="0" borderId="1" xfId="0" applyBorder="1" applyAlignment="1">
      <alignment horizontal="left" vertical="center"/>
    </xf>
    <xf numFmtId="0" fontId="6" fillId="0" borderId="1" xfId="0" applyFont="1" applyBorder="1" applyAlignment="1">
      <alignment horizontal="left" vertical="center"/>
    </xf>
    <xf numFmtId="0" fontId="0" fillId="0" borderId="0" xfId="0" applyAlignment="1">
      <alignment horizontal="left" vertical="center"/>
    </xf>
    <xf numFmtId="0" fontId="0" fillId="0" borderId="1"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indent="1"/>
    </xf>
    <xf numFmtId="0" fontId="6" fillId="0" borderId="0" xfId="0" applyFont="1" applyAlignment="1">
      <alignment vertical="center"/>
    </xf>
    <xf numFmtId="0" fontId="1" fillId="0" borderId="1" xfId="0" applyFont="1" applyBorder="1" applyAlignment="1">
      <alignment horizontal="center" vertical="center"/>
    </xf>
    <xf numFmtId="0" fontId="11" fillId="0" borderId="0" xfId="0" applyFont="1"/>
    <xf numFmtId="0" fontId="0" fillId="0" borderId="0" xfId="0" applyAlignment="1">
      <alignment horizontal="center"/>
    </xf>
    <xf numFmtId="0" fontId="12" fillId="0" borderId="0" xfId="0" applyFont="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wrapText="1"/>
    </xf>
    <xf numFmtId="0" fontId="6" fillId="0" borderId="1" xfId="0" applyFont="1" applyBorder="1" applyAlignment="1">
      <alignment horizontal="center"/>
    </xf>
    <xf numFmtId="0" fontId="10" fillId="0" borderId="1" xfId="0" applyFont="1" applyBorder="1" applyAlignment="1">
      <alignment vertical="center" wrapText="1"/>
    </xf>
    <xf numFmtId="0" fontId="7" fillId="0" borderId="1" xfId="0" applyFont="1" applyBorder="1" applyAlignment="1">
      <alignment horizontal="center" vertical="center"/>
    </xf>
    <xf numFmtId="0" fontId="8" fillId="0" borderId="1" xfId="0" applyFont="1" applyBorder="1" applyAlignment="1">
      <alignment vertical="center" wrapText="1"/>
    </xf>
    <xf numFmtId="0" fontId="13" fillId="0" borderId="0" xfId="0" applyFont="1"/>
    <xf numFmtId="0" fontId="0" fillId="0" borderId="0" xfId="0" applyAlignment="1">
      <alignment vertical="center" wrapText="1"/>
    </xf>
    <xf numFmtId="0" fontId="14" fillId="0" borderId="0" xfId="0" applyFont="1" applyAlignment="1">
      <alignment vertical="center"/>
    </xf>
    <xf numFmtId="0" fontId="1" fillId="2" borderId="10" xfId="0" applyFont="1" applyFill="1" applyBorder="1" applyAlignment="1">
      <alignment horizontal="center" vertical="center"/>
    </xf>
    <xf numFmtId="0" fontId="0" fillId="0" borderId="0" xfId="0" applyAlignment="1">
      <alignment horizontal="center" vertical="center"/>
    </xf>
    <xf numFmtId="0" fontId="1" fillId="18" borderId="24" xfId="0" applyFont="1" applyFill="1" applyBorder="1" applyAlignment="1">
      <alignment horizontal="center" wrapText="1"/>
    </xf>
    <xf numFmtId="0" fontId="0" fillId="9" borderId="19" xfId="0" applyFill="1" applyBorder="1" applyAlignment="1">
      <alignment wrapText="1"/>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1" fillId="18" borderId="25" xfId="0" applyFont="1" applyFill="1" applyBorder="1" applyAlignment="1">
      <alignment wrapText="1"/>
    </xf>
    <xf numFmtId="0" fontId="0" fillId="18" borderId="31" xfId="0" applyFill="1" applyBorder="1"/>
    <xf numFmtId="0" fontId="0" fillId="18" borderId="32" xfId="0" applyFill="1" applyBorder="1"/>
    <xf numFmtId="0" fontId="0" fillId="18" borderId="33" xfId="0" applyFill="1" applyBorder="1"/>
    <xf numFmtId="0" fontId="0" fillId="17" borderId="33" xfId="0" applyFill="1" applyBorder="1" applyAlignment="1">
      <alignment horizontal="center"/>
    </xf>
    <xf numFmtId="0" fontId="0" fillId="0" borderId="1" xfId="0" applyBorder="1" applyAlignment="1">
      <alignment horizontal="left" wrapText="1"/>
    </xf>
    <xf numFmtId="10" fontId="0" fillId="3" borderId="1" xfId="0" applyNumberFormat="1" applyFill="1" applyBorder="1" applyAlignment="1">
      <alignment horizontal="center"/>
    </xf>
    <xf numFmtId="0" fontId="0" fillId="9" borderId="14" xfId="0" applyFill="1" applyBorder="1"/>
    <xf numFmtId="0" fontId="0" fillId="16" borderId="15" xfId="0" applyFill="1" applyBorder="1" applyAlignment="1">
      <alignment horizontal="center"/>
    </xf>
    <xf numFmtId="0" fontId="0" fillId="4" borderId="15" xfId="0" applyFill="1" applyBorder="1" applyAlignment="1">
      <alignment horizontal="center"/>
    </xf>
    <xf numFmtId="10" fontId="0" fillId="4" borderId="15" xfId="0" applyNumberFormat="1" applyFill="1" applyBorder="1" applyAlignment="1">
      <alignment horizontal="center"/>
    </xf>
    <xf numFmtId="0" fontId="0" fillId="10" borderId="15" xfId="0" applyFill="1" applyBorder="1" applyAlignment="1">
      <alignment horizontal="center"/>
    </xf>
    <xf numFmtId="10" fontId="0" fillId="10" borderId="15" xfId="0" applyNumberFormat="1" applyFill="1" applyBorder="1" applyAlignment="1">
      <alignment horizontal="center"/>
    </xf>
    <xf numFmtId="0" fontId="0" fillId="7" borderId="15" xfId="0" applyFill="1" applyBorder="1" applyAlignment="1">
      <alignment horizontal="center"/>
    </xf>
    <xf numFmtId="10" fontId="0" fillId="7" borderId="15" xfId="0" applyNumberFormat="1" applyFill="1" applyBorder="1" applyAlignment="1">
      <alignment horizontal="center"/>
    </xf>
    <xf numFmtId="0" fontId="0" fillId="3" borderId="15" xfId="0" applyFill="1" applyBorder="1" applyAlignment="1">
      <alignment horizontal="center"/>
    </xf>
    <xf numFmtId="10" fontId="0" fillId="3" borderId="15" xfId="0" applyNumberFormat="1" applyFill="1" applyBorder="1" applyAlignment="1">
      <alignment horizontal="center"/>
    </xf>
    <xf numFmtId="0" fontId="0" fillId="0" borderId="15" xfId="0" applyBorder="1" applyAlignment="1">
      <alignment wrapText="1"/>
    </xf>
    <xf numFmtId="0" fontId="6" fillId="0" borderId="16" xfId="0" applyFont="1" applyBorder="1"/>
    <xf numFmtId="10" fontId="0" fillId="3" borderId="20" xfId="0" applyNumberFormat="1" applyFill="1" applyBorder="1" applyAlignment="1">
      <alignment horizontal="center"/>
    </xf>
    <xf numFmtId="0" fontId="0" fillId="0" borderId="20" xfId="0" applyBorder="1" applyAlignment="1">
      <alignment wrapText="1"/>
    </xf>
    <xf numFmtId="0" fontId="1" fillId="0" borderId="18" xfId="0" applyFont="1" applyBorder="1" applyAlignment="1">
      <alignment horizontal="center"/>
    </xf>
    <xf numFmtId="0" fontId="1" fillId="0" borderId="21" xfId="0" applyFont="1" applyBorder="1" applyAlignment="1">
      <alignment horizontal="center"/>
    </xf>
    <xf numFmtId="0" fontId="15" fillId="0" borderId="0" xfId="0" applyFont="1"/>
    <xf numFmtId="0" fontId="1" fillId="0" borderId="0" xfId="0" applyFont="1"/>
    <xf numFmtId="0" fontId="5" fillId="0" borderId="0" xfId="0" applyFont="1"/>
    <xf numFmtId="0" fontId="1" fillId="0" borderId="0" xfId="0" applyFont="1" applyAlignment="1">
      <alignment wrapText="1"/>
    </xf>
    <xf numFmtId="0" fontId="0" fillId="14" borderId="0" xfId="0" applyFill="1"/>
    <xf numFmtId="0" fontId="0" fillId="14" borderId="0" xfId="0" applyFill="1" applyAlignment="1">
      <alignment wrapText="1"/>
    </xf>
    <xf numFmtId="0" fontId="0" fillId="4" borderId="0" xfId="0" applyFill="1"/>
    <xf numFmtId="0" fontId="0" fillId="4" borderId="0" xfId="0" applyFill="1" applyAlignment="1">
      <alignment wrapText="1"/>
    </xf>
    <xf numFmtId="0" fontId="0" fillId="14" borderId="0" xfId="0" applyFill="1" applyAlignment="1">
      <alignment horizontal="center"/>
    </xf>
    <xf numFmtId="0" fontId="0" fillId="4" borderId="0" xfId="0" applyFill="1" applyAlignment="1">
      <alignment horizontal="center"/>
    </xf>
    <xf numFmtId="0" fontId="5" fillId="0" borderId="0" xfId="0" applyFont="1" applyAlignment="1">
      <alignment horizontal="center"/>
    </xf>
    <xf numFmtId="0" fontId="0" fillId="4" borderId="1" xfId="0" applyFill="1" applyBorder="1" applyAlignment="1">
      <alignment horizontal="center" wrapText="1"/>
    </xf>
    <xf numFmtId="0" fontId="0" fillId="17" borderId="1" xfId="0" applyFill="1" applyBorder="1" applyAlignment="1">
      <alignment horizontal="center"/>
    </xf>
    <xf numFmtId="0" fontId="0" fillId="8" borderId="1" xfId="0" applyFill="1" applyBorder="1" applyAlignment="1">
      <alignment horizontal="center" wrapText="1"/>
    </xf>
    <xf numFmtId="0" fontId="1" fillId="9" borderId="22" xfId="0" applyFont="1" applyFill="1" applyBorder="1" applyAlignment="1">
      <alignment horizontal="left"/>
    </xf>
    <xf numFmtId="0" fontId="1" fillId="16" borderId="23" xfId="0" applyFont="1" applyFill="1" applyBorder="1" applyAlignment="1">
      <alignment horizontal="center"/>
    </xf>
    <xf numFmtId="0" fontId="1" fillId="4" borderId="23" xfId="0" applyFont="1" applyFill="1" applyBorder="1" applyAlignment="1">
      <alignment horizontal="center"/>
    </xf>
    <xf numFmtId="0" fontId="1" fillId="10" borderId="23" xfId="0" applyFont="1" applyFill="1" applyBorder="1" applyAlignment="1">
      <alignment horizontal="center"/>
    </xf>
    <xf numFmtId="0" fontId="1" fillId="7" borderId="23" xfId="0" applyFont="1" applyFill="1" applyBorder="1" applyAlignment="1">
      <alignment horizontal="center"/>
    </xf>
    <xf numFmtId="0" fontId="1" fillId="3" borderId="23" xfId="0" applyFont="1" applyFill="1" applyBorder="1" applyAlignment="1">
      <alignment horizontal="center"/>
    </xf>
    <xf numFmtId="0" fontId="1" fillId="3" borderId="24" xfId="0" applyFont="1" applyFill="1" applyBorder="1" applyAlignment="1">
      <alignment horizontal="center"/>
    </xf>
    <xf numFmtId="0" fontId="1" fillId="18" borderId="34" xfId="0" applyFont="1" applyFill="1" applyBorder="1" applyAlignment="1">
      <alignment horizontal="center" wrapText="1"/>
    </xf>
    <xf numFmtId="0" fontId="0" fillId="19" borderId="0" xfId="0" applyFill="1"/>
    <xf numFmtId="0" fontId="15" fillId="0" borderId="0" xfId="0" applyFont="1" applyAlignment="1">
      <alignment wrapText="1"/>
    </xf>
    <xf numFmtId="0" fontId="0" fillId="19" borderId="0" xfId="0" applyFill="1" applyAlignment="1">
      <alignment wrapText="1"/>
    </xf>
    <xf numFmtId="0" fontId="1" fillId="14" borderId="0" xfId="0" applyFont="1" applyFill="1" applyAlignment="1">
      <alignment wrapText="1"/>
    </xf>
    <xf numFmtId="0" fontId="1" fillId="19" borderId="0" xfId="0" applyFont="1" applyFill="1" applyAlignment="1">
      <alignment wrapText="1"/>
    </xf>
    <xf numFmtId="0" fontId="14" fillId="0" borderId="0" xfId="0" applyFont="1"/>
    <xf numFmtId="0" fontId="5" fillId="0" borderId="0" xfId="0" applyFont="1" applyAlignment="1">
      <alignment wrapText="1"/>
    </xf>
    <xf numFmtId="0" fontId="16" fillId="20" borderId="0" xfId="1" applyAlignment="1">
      <alignment wrapText="1"/>
    </xf>
    <xf numFmtId="0" fontId="16" fillId="20" borderId="0" xfId="1" applyAlignment="1"/>
    <xf numFmtId="0" fontId="8" fillId="0" borderId="0" xfId="0" applyFont="1" applyAlignment="1">
      <alignment wrapText="1"/>
    </xf>
    <xf numFmtId="0" fontId="19" fillId="0" borderId="0" xfId="0" applyFont="1" applyAlignment="1">
      <alignment wrapText="1"/>
    </xf>
    <xf numFmtId="0" fontId="0" fillId="0" borderId="0" xfId="0" applyAlignment="1">
      <alignment horizontal="center" wrapText="1"/>
    </xf>
    <xf numFmtId="0" fontId="1" fillId="13" borderId="0" xfId="0" applyFont="1" applyFill="1" applyAlignment="1">
      <alignment wrapText="1"/>
    </xf>
    <xf numFmtId="0" fontId="1" fillId="13" borderId="0" xfId="0" applyFont="1" applyFill="1"/>
    <xf numFmtId="0" fontId="0" fillId="8" borderId="0" xfId="0" applyFill="1"/>
    <xf numFmtId="0" fontId="0" fillId="8" borderId="0" xfId="0" applyFill="1" applyAlignment="1">
      <alignment wrapText="1"/>
    </xf>
    <xf numFmtId="0" fontId="5" fillId="8" borderId="0" xfId="0" applyFont="1" applyFill="1" applyAlignment="1">
      <alignment wrapText="1"/>
    </xf>
    <xf numFmtId="0" fontId="3" fillId="13" borderId="11"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3" xfId="0" applyFont="1" applyFill="1" applyBorder="1" applyAlignment="1">
      <alignment horizontal="center" vertical="center"/>
    </xf>
    <xf numFmtId="0" fontId="3" fillId="13" borderId="26" xfId="0" applyFont="1" applyFill="1" applyBorder="1" applyAlignment="1">
      <alignment horizontal="center" vertical="center"/>
    </xf>
    <xf numFmtId="0" fontId="3" fillId="13" borderId="27" xfId="0" applyFont="1" applyFill="1" applyBorder="1" applyAlignment="1">
      <alignment horizontal="center" vertical="center"/>
    </xf>
    <xf numFmtId="0" fontId="3" fillId="13" borderId="28" xfId="0" applyFont="1" applyFill="1" applyBorder="1" applyAlignment="1">
      <alignment horizontal="center" vertical="center"/>
    </xf>
    <xf numFmtId="0" fontId="1" fillId="18" borderId="29" xfId="0" applyFont="1" applyFill="1" applyBorder="1" applyAlignment="1">
      <alignment horizontal="center" wrapText="1"/>
    </xf>
    <xf numFmtId="0" fontId="1" fillId="18" borderId="24" xfId="0" applyFont="1" applyFill="1" applyBorder="1" applyAlignment="1">
      <alignment horizontal="center" wrapText="1"/>
    </xf>
    <xf numFmtId="0" fontId="0" fillId="0" borderId="4" xfId="0" applyBorder="1" applyAlignment="1">
      <alignment horizontal="left" wrapText="1"/>
    </xf>
    <xf numFmtId="0" fontId="0" fillId="0" borderId="18" xfId="0" applyBorder="1" applyAlignment="1">
      <alignment horizontal="left" wrapText="1"/>
    </xf>
    <xf numFmtId="0" fontId="0" fillId="0" borderId="4" xfId="0" applyBorder="1" applyAlignment="1">
      <alignment horizontal="center" wrapText="1"/>
    </xf>
    <xf numFmtId="0" fontId="0" fillId="0" borderId="18" xfId="0" applyBorder="1" applyAlignment="1">
      <alignment horizontal="center" wrapText="1"/>
    </xf>
    <xf numFmtId="0" fontId="0" fillId="0" borderId="1" xfId="0" applyBorder="1" applyAlignment="1">
      <alignment horizontal="left" wrapText="1"/>
    </xf>
    <xf numFmtId="0" fontId="0" fillId="0" borderId="15" xfId="0" applyBorder="1" applyAlignment="1">
      <alignment horizontal="left" wrapText="1"/>
    </xf>
    <xf numFmtId="0" fontId="0" fillId="0" borderId="16" xfId="0" applyBorder="1" applyAlignment="1">
      <alignment horizontal="left" wrapText="1"/>
    </xf>
    <xf numFmtId="0" fontId="1" fillId="18" borderId="23" xfId="0" applyFont="1" applyFill="1" applyBorder="1" applyAlignment="1">
      <alignment horizontal="center" vertical="center" wrapText="1"/>
    </xf>
    <xf numFmtId="0" fontId="0" fillId="0" borderId="20" xfId="0" applyBorder="1" applyAlignment="1">
      <alignment horizontal="left" wrapText="1"/>
    </xf>
    <xf numFmtId="0" fontId="0" fillId="0" borderId="21" xfId="0" applyBorder="1" applyAlignment="1">
      <alignment horizontal="left" wrapText="1"/>
    </xf>
    <xf numFmtId="0" fontId="1" fillId="18" borderId="23" xfId="0" applyFont="1" applyFill="1" applyBorder="1" applyAlignment="1">
      <alignment horizontal="center" wrapText="1"/>
    </xf>
    <xf numFmtId="0" fontId="0" fillId="0" borderId="30" xfId="0" applyBorder="1" applyAlignment="1">
      <alignment horizontal="center" wrapText="1"/>
    </xf>
    <xf numFmtId="0" fontId="0" fillId="0" borderId="21" xfId="0" applyBorder="1" applyAlignment="1">
      <alignment horizontal="center" wrapText="1"/>
    </xf>
    <xf numFmtId="0" fontId="2" fillId="2" borderId="1" xfId="0" applyFont="1" applyFill="1" applyBorder="1" applyAlignment="1">
      <alignment horizontal="center"/>
    </xf>
    <xf numFmtId="0" fontId="2" fillId="2" borderId="5" xfId="0" applyFont="1" applyFill="1" applyBorder="1" applyAlignment="1">
      <alignment horizontal="center"/>
    </xf>
    <xf numFmtId="0" fontId="2" fillId="2" borderId="10" xfId="0" applyFont="1" applyFill="1" applyBorder="1" applyAlignment="1">
      <alignment horizontal="center"/>
    </xf>
    <xf numFmtId="0" fontId="2" fillId="2" borderId="4" xfId="0" applyFont="1" applyFill="1" applyBorder="1" applyAlignment="1">
      <alignment horizontal="center"/>
    </xf>
    <xf numFmtId="0" fontId="5" fillId="21" borderId="0" xfId="0" applyFont="1" applyFill="1" applyAlignment="1">
      <alignment horizontal="center"/>
    </xf>
    <xf numFmtId="0" fontId="5" fillId="21" borderId="0" xfId="0" applyFont="1" applyFill="1" applyAlignment="1">
      <alignment wrapText="1"/>
    </xf>
    <xf numFmtId="0" fontId="5" fillId="21" borderId="0" xfId="0" applyFont="1" applyFill="1"/>
    <xf numFmtId="0" fontId="0" fillId="14" borderId="0" xfId="0" applyFill="1" applyAlignment="1">
      <alignment horizontal="center"/>
    </xf>
    <xf numFmtId="0" fontId="14" fillId="13" borderId="0" xfId="0" applyFont="1" applyFill="1" applyAlignment="1">
      <alignment wrapText="1"/>
    </xf>
  </cellXfs>
  <cellStyles count="2">
    <cellStyle name="Neutral" xfId="1" builtinId="28"/>
    <cellStyle name="Normal" xfId="0" builtinId="0"/>
  </cellStyles>
  <dxfs count="22">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3300"/>
        </patternFill>
      </fill>
    </dxf>
    <dxf>
      <fill>
        <patternFill>
          <bgColor rgb="FFFFFF00"/>
        </patternFill>
      </fill>
    </dxf>
    <dxf>
      <fill>
        <patternFill>
          <bgColor rgb="FF92D050"/>
        </patternFill>
      </fill>
    </dxf>
    <dxf>
      <fill>
        <patternFill>
          <bgColor rgb="FFFF3300"/>
        </patternFill>
      </fill>
    </dxf>
    <dxf>
      <fill>
        <patternFill>
          <bgColor rgb="FFFFFF00"/>
        </patternFill>
      </fill>
    </dxf>
    <dxf>
      <fill>
        <patternFill>
          <bgColor rgb="FF92D050"/>
        </patternFill>
      </fill>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7" tint="0.79998168889431442"/>
        </patternFill>
      </fil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4"/>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00"/>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3</xdr:col>
      <xdr:colOff>243205</xdr:colOff>
      <xdr:row>21</xdr:row>
      <xdr:rowOff>14605</xdr:rowOff>
    </xdr:to>
    <xdr:pic>
      <xdr:nvPicPr>
        <xdr:cNvPr id="2" name="Picture 1">
          <a:extLst>
            <a:ext uri="{FF2B5EF4-FFF2-40B4-BE49-F238E27FC236}">
              <a16:creationId xmlns:a16="http://schemas.microsoft.com/office/drawing/2014/main" id="{CE388CDD-4A13-5E30-1FEA-ABB5C9CEDAF2}"/>
            </a:ext>
          </a:extLst>
        </xdr:cNvPr>
        <xdr:cNvPicPr>
          <a:picLocks noChangeAspect="1"/>
        </xdr:cNvPicPr>
      </xdr:nvPicPr>
      <xdr:blipFill>
        <a:blip xmlns:r="http://schemas.openxmlformats.org/officeDocument/2006/relationships" r:embed="rId1"/>
        <a:stretch>
          <a:fillRect/>
        </a:stretch>
      </xdr:blipFill>
      <xdr:spPr>
        <a:xfrm>
          <a:off x="609600" y="904875"/>
          <a:ext cx="5339080" cy="291020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C00BCB-4813-4BE4-B3A3-8FF0C4154635}" name="Table1" displayName="Table1" ref="A3:H318" totalsRowShown="0" headerRowDxfId="21" headerRowBorderDxfId="20" tableBorderDxfId="19" totalsRowBorderDxfId="18">
  <autoFilter ref="A3:H318" xr:uid="{44C00BCB-4813-4BE4-B3A3-8FF0C4154635}"/>
  <tableColumns count="8">
    <tableColumn id="1" xr3:uid="{C2220F70-676F-4D44-AAB6-2241257E6AC1}" name="Script" dataDxfId="17"/>
    <tableColumn id="2" xr3:uid="{13F57B75-D5F7-438D-B76E-C0FC31BDCB18}" name="Site" dataDxfId="16"/>
    <tableColumn id="3" xr3:uid="{E0525DD2-9FCA-41D7-94D7-0B8C800C90EF}" name="Desired CRON" dataDxfId="15"/>
    <tableColumn id="4" xr3:uid="{4C41A37E-AC42-43B1-A71A-919493638A8E}" name="Cron Expansion" dataDxfId="14"/>
    <tableColumn id="5" xr3:uid="{64B4038C-D277-40D8-ABBA-41097F5FE989}" name="Daily Frequency" dataDxfId="13"/>
    <tableColumn id="6" xr3:uid="{BE13C95E-F093-44F3-9682-25C1B844D480}" name="Hourly Frequency" dataDxfId="12"/>
    <tableColumn id="7" xr3:uid="{C33BB005-D4F2-4FA8-8496-E0EEEBAACFCC}" name="Tempo Requirement_x000a_Time Interval, Duration/Interval" dataDxfId="11"/>
    <tableColumn id="8" xr3:uid="{966331D6-5328-4C92-8539-40CF811A06C7}" name="Prioritized" dataDxfId="10"/>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8" Type="http://schemas.openxmlformats.org/officeDocument/2006/relationships/hyperlink" Target="https://awsssplunk01.corp.rndc-usa.com:8000/en-US/app/search/alert?s=%2FservicesNS%2Fnobody%2Fsearch%2Fsaved%2Fsearches%2FALL%2520-%2520MAWM%2520-%2520Unprocessed%2520or%2520Failed%2520Ship%2520Confirms%2520Last%252024%2520Hours" TargetMode="External"/><Relationship Id="rId3" Type="http://schemas.openxmlformats.org/officeDocument/2006/relationships/hyperlink" Target="https://awsssplunk01.corp.rndc-usa.com:8000/en-US/app/search/alert?s=%2FservicesNS%2Fnobody%2Fsearch%2Fsaved%2Fsearches%2FALL%2520-%2520MAWM%2520-%2520Loaded%2520Shipments%2520w%25252F%2520no%2520Ship%2520Confirm%2520%253E%25206%2520hours" TargetMode="External"/><Relationship Id="rId7" Type="http://schemas.openxmlformats.org/officeDocument/2006/relationships/hyperlink" Target="https://awsssplunk01.corp.rndc-usa.com:8000/en-US/app/search/alert?s=%2FservicesNS%2Fnobody%2Fsearch%2Fsaved%2Fsearches%2FALL%2520-%2520MAWM%2520-%2520Task%2520%25E2%2580%2598In%2520Progress%25E2%2580%2599%2520w%25252F%2520Completed%2520or%2520Cancelled%2520Task%2520Details" TargetMode="External"/><Relationship Id="rId2" Type="http://schemas.openxmlformats.org/officeDocument/2006/relationships/hyperlink" Target="https://awsssplunk01.corp.rndc-usa.com:8000/en-US/app/search/alert?s=%2FservicesNS%2Fnobody%2Fsearch%2Fsaved%2Fsearches%2FALL%2520-%2520MAWM%2520-%2520In%2520Packing%2520oLPNS%2520%253E%25205%2520Minutes" TargetMode="External"/><Relationship Id="rId1" Type="http://schemas.openxmlformats.org/officeDocument/2006/relationships/hyperlink" Target="https://awsssplunk01.corp.rndc-usa.com:8000/en-US/app/search/alert?s=%2FservicesNS%2Fnobody%2Fsplunk_app_db_connect%2Fsaved%2Fsearches%2FALL%2520-%2520MAWM%2520-%2520Inventory%2520Adjustment%2520PIX%2520w%25252F%2520Null%2520PO%2520Line" TargetMode="External"/><Relationship Id="rId6" Type="http://schemas.openxmlformats.org/officeDocument/2006/relationships/hyperlink" Target="https://awsssplunk01.corp.rndc-usa.com:8000/en-US/app/search/alert?s=%2FservicesNS%2Fnobody%2Fsearch%2Fsaved%2Fsearches%2FALL%2520-%2520MAWM%2520-%2520Task%2520Open%2520w%25252F%2520Completed%2520or%2520Cancelled%2520Task%2520Details" TargetMode="External"/><Relationship Id="rId5" Type="http://schemas.openxmlformats.org/officeDocument/2006/relationships/hyperlink" Target="https://awsssplunk01.corp.rndc-usa.com:8000/en-US/app/search/alert?s=%2FservicesNS%2Fnobody%2Fsearch%2Fsaved%2Fsearches%2FALL%2520-%2520MAWM%2520-%2520Task%2520Completed%2520or%2520Cancelled%2520w%25252F%2520Open%2520Task%2520Details" TargetMode="External"/><Relationship Id="rId10" Type="http://schemas.microsoft.com/office/2019/04/relationships/namedSheetView" Target="../namedSheetViews/namedSheetView1.xml"/><Relationship Id="rId4" Type="http://schemas.openxmlformats.org/officeDocument/2006/relationships/hyperlink" Target="https://awsssplunk01.corp.rndc-usa.com:8000/en-US/app/search/alert?s=%2FservicesNS%2Fnobody%2Fsearch%2Fsaved%2Fsearches%2FALL%2520-%2520MAWM%2520-%2520Putaway%2520Task%2520is%2520Open%2520but%2520iLPN%2520is%2520Putaway" TargetMode="External"/><Relationship Id="rId9" Type="http://schemas.openxmlformats.org/officeDocument/2006/relationships/hyperlink" Target="https://awsssplunk01.corp.rndc-usa.com:8000/en-US/app/search/alert?s=%2FservicesNS%2Fnobody%2Fsearch%2Fsaved%2Fsearches%2FAll%2520-%2520MAWM%2520-%2520Multiple%2520Order%2520Lines%2520Per%2520Original%2520Order%2520Lin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32AA7-8A3B-44E9-A4BA-7B09F948279F}">
  <sheetPr>
    <tabColor rgb="FFFF0000"/>
  </sheetPr>
  <dimension ref="B1:M27"/>
  <sheetViews>
    <sheetView topLeftCell="A2" zoomScale="85" zoomScaleNormal="85" workbookViewId="0">
      <selection activeCell="L9" sqref="L9"/>
    </sheetView>
    <sheetView workbookViewId="1"/>
  </sheetViews>
  <sheetFormatPr baseColWidth="10" defaultColWidth="8.83203125" defaultRowHeight="15"/>
  <cols>
    <col min="2" max="2" width="42.6640625" bestFit="1" customWidth="1"/>
    <col min="3" max="8" width="18.6640625" customWidth="1"/>
    <col min="9" max="9" width="19.83203125" customWidth="1"/>
    <col min="10" max="10" width="19.83203125" bestFit="1" customWidth="1"/>
    <col min="11" max="11" width="18.6640625" customWidth="1"/>
    <col min="12" max="12" width="75" customWidth="1"/>
    <col min="13" max="13" width="10.33203125" bestFit="1" customWidth="1"/>
  </cols>
  <sheetData>
    <row r="1" spans="2:13" ht="16" thickBot="1"/>
    <row r="2" spans="2:13" ht="15" customHeight="1">
      <c r="B2" s="207" t="s">
        <v>0</v>
      </c>
      <c r="C2" s="208"/>
      <c r="D2" s="208"/>
      <c r="E2" s="208"/>
      <c r="F2" s="208"/>
      <c r="G2" s="208"/>
      <c r="H2" s="208"/>
      <c r="I2" s="208"/>
      <c r="J2" s="208"/>
      <c r="K2" s="208"/>
      <c r="L2" s="208"/>
      <c r="M2" s="209"/>
    </row>
    <row r="3" spans="2:13" ht="15.75" customHeight="1" thickBot="1">
      <c r="B3" s="210"/>
      <c r="C3" s="211"/>
      <c r="D3" s="211"/>
      <c r="E3" s="211"/>
      <c r="F3" s="211"/>
      <c r="G3" s="211"/>
      <c r="H3" s="211"/>
      <c r="I3" s="211"/>
      <c r="J3" s="211"/>
      <c r="K3" s="211"/>
      <c r="L3" s="211"/>
      <c r="M3" s="212"/>
    </row>
    <row r="4" spans="2:13" ht="17" thickBot="1">
      <c r="B4" s="182" t="s">
        <v>1</v>
      </c>
      <c r="C4" s="183" t="s">
        <v>2</v>
      </c>
      <c r="D4" s="184" t="s">
        <v>3</v>
      </c>
      <c r="E4" s="184" t="s">
        <v>4</v>
      </c>
      <c r="F4" s="185" t="s">
        <v>5</v>
      </c>
      <c r="G4" s="185" t="s">
        <v>6</v>
      </c>
      <c r="H4" s="186" t="s">
        <v>7</v>
      </c>
      <c r="I4" s="186" t="s">
        <v>8</v>
      </c>
      <c r="J4" s="187" t="s">
        <v>9</v>
      </c>
      <c r="K4" s="188" t="s">
        <v>10</v>
      </c>
      <c r="L4" s="189" t="s">
        <v>11</v>
      </c>
      <c r="M4" s="189" t="s">
        <v>12</v>
      </c>
    </row>
    <row r="5" spans="2:13" ht="112">
      <c r="B5" s="152" t="s">
        <v>13</v>
      </c>
      <c r="C5" s="153">
        <f>COUNTIFS('Combination Splunk Activities'!$H:$H,"Application Parameter Tools")</f>
        <v>13</v>
      </c>
      <c r="D5" s="154">
        <f>COUNTIFS('Combination Splunk Activities'!$H:$H,"Application Parameter Tools",'Combination Splunk Activities'!$K:$K,"Unstarted Work")</f>
        <v>0</v>
      </c>
      <c r="E5" s="155">
        <f>D5/C5</f>
        <v>0</v>
      </c>
      <c r="F5" s="156">
        <f>COUNTIFS('Combination Splunk Activities'!$H:$H,"Application Parameter Tools",'Combination Splunk Activities'!$K:$K,"In Design")</f>
        <v>0</v>
      </c>
      <c r="G5" s="157">
        <f>F5/C5</f>
        <v>0</v>
      </c>
      <c r="H5" s="158">
        <f>COUNTIFS('Combination Splunk Activities'!$H:$H,"Application Parameter Tools",'Combination Splunk Activities'!$K:$K,"Being Developed")</f>
        <v>0</v>
      </c>
      <c r="I5" s="159">
        <f>H5/C5</f>
        <v>0</v>
      </c>
      <c r="J5" s="160">
        <f>COUNTIFS('Combination Splunk Activities'!$H:$H,"Application Parameter Tools",'Combination Splunk Activities'!$K:$K,"Deployed")</f>
        <v>12</v>
      </c>
      <c r="K5" s="161">
        <f>(J5/C5)</f>
        <v>0.92307692307692313</v>
      </c>
      <c r="L5" s="162" t="s">
        <v>14</v>
      </c>
      <c r="M5" s="163" t="s">
        <v>15</v>
      </c>
    </row>
    <row r="6" spans="2:13" ht="304">
      <c r="B6" s="67" t="s">
        <v>16</v>
      </c>
      <c r="C6" s="77">
        <f>COUNTIFS('Combination Splunk Activities'!H:H,"MAWM Scheduled Script Dashboard for API's",'Combination Splunk Activities'!B:B,"Yes")</f>
        <v>11</v>
      </c>
      <c r="D6" s="7">
        <f>COUNTIFS('Combination Splunk Activities'!$H:$H,"MAWM Scheduled Script Dashboard for API's",'Combination Splunk Activities'!$K:$K,"Unstarted Work")</f>
        <v>0</v>
      </c>
      <c r="E6" s="79">
        <f>D6/C6</f>
        <v>0</v>
      </c>
      <c r="F6" s="13">
        <f>COUNTIFS('Combination Splunk Activities'!$H:$H,"MAWM Scheduled Script Dashboard for API's",'Combination Splunk Activities'!$K:$K,"In Design")</f>
        <v>0</v>
      </c>
      <c r="G6" s="57">
        <f>F6/C6</f>
        <v>0</v>
      </c>
      <c r="H6" s="10">
        <f>COUNTIFS('Combination Splunk Activities'!$H:$H,"MAWM Scheduled Script Dashboard for API's",'Combination Splunk Activities'!$K:$K,"Being Developed")</f>
        <v>10</v>
      </c>
      <c r="I6" s="58">
        <f>H6/C6</f>
        <v>0.90909090909090906</v>
      </c>
      <c r="J6" s="6">
        <f>COUNTIFS('Combination Splunk Activities'!$H:$H,"MAWM Scheduled Script Dashboard for API's",'Combination Splunk Activities'!$K:$K,"Deployed")</f>
        <v>0</v>
      </c>
      <c r="K6" s="151">
        <f>(J6/C6)</f>
        <v>0</v>
      </c>
      <c r="L6" s="34" t="s">
        <v>17</v>
      </c>
      <c r="M6" s="166">
        <v>2</v>
      </c>
    </row>
    <row r="7" spans="2:13" ht="240">
      <c r="B7" s="67" t="s">
        <v>18</v>
      </c>
      <c r="C7" s="77">
        <f>COUNTIFS('Combination Splunk Activities'!$H:$H,"New BI Tool/ Lambda Function")</f>
        <v>1</v>
      </c>
      <c r="D7" s="7">
        <f>COUNTIFS('Combination Splunk Activities'!$H:$H,"New BI Tool/ Lambda Function",'Combination Splunk Activities'!$K:$K,"Unstarted Work")</f>
        <v>0</v>
      </c>
      <c r="E7" s="79">
        <f>D7/C7</f>
        <v>0</v>
      </c>
      <c r="F7" s="13">
        <f>COUNTIFS('Combination Splunk Activities'!$H:$H,"New BI Tool/ Lambda Function",'Combination Splunk Activities'!$K:$K,"In Design")</f>
        <v>0</v>
      </c>
      <c r="G7" s="57">
        <f>F7/C7</f>
        <v>0</v>
      </c>
      <c r="H7" s="10">
        <f>COUNTIFS('Combination Splunk Activities'!$H:$H,"New BI Tool/ Lambda Function",'Combination Splunk Activities'!$K:$K,"Being Developed")</f>
        <v>1</v>
      </c>
      <c r="I7" s="58">
        <f>H7/C7</f>
        <v>1</v>
      </c>
      <c r="J7" s="6">
        <f>COUNTIFS('Combination Splunk Activities'!$H:$H,"New BI Tool/ Lambda Function",'Combination Splunk Activities'!$K:$K,"Deployed")</f>
        <v>0</v>
      </c>
      <c r="K7" s="151">
        <f>(J7/C7)</f>
        <v>0</v>
      </c>
      <c r="L7" s="34" t="s">
        <v>19</v>
      </c>
      <c r="M7" s="166">
        <v>1</v>
      </c>
    </row>
    <row r="8" spans="2:13" ht="273" thickBot="1">
      <c r="B8" s="141" t="s">
        <v>20</v>
      </c>
      <c r="C8" s="78">
        <f>COUNTIFS('Splunk Alerts'!$A$3:A123,"&lt;&gt;")</f>
        <v>121</v>
      </c>
      <c r="D8" s="69">
        <f>COUNTIFS('Splunk Alerts'!$A:$A,"&lt;&gt;",'Splunk Alerts'!$I:$I,"Unstarted Work")</f>
        <v>0</v>
      </c>
      <c r="E8" s="80">
        <f>D8/C8</f>
        <v>0</v>
      </c>
      <c r="F8" s="70">
        <f>COUNTIFS('Splunk Alerts'!$A:$A,"&lt;&gt;",'Splunk Alerts'!$I:$I,"In Design")</f>
        <v>121</v>
      </c>
      <c r="G8" s="71">
        <f>F8/C8</f>
        <v>1</v>
      </c>
      <c r="H8" s="72">
        <f>COUNTIFS('Splunk Alerts'!$A:$A,"&lt;&gt;",'Splunk Alerts'!$I:$I,"Being Deveolped")</f>
        <v>0</v>
      </c>
      <c r="I8" s="73">
        <f>H8/C8</f>
        <v>0</v>
      </c>
      <c r="J8" s="74">
        <f>COUNTIFS('Splunk Alerts'!$A:$A,"&lt;&gt;",'Splunk Alerts'!$I:$I,"Deployed")</f>
        <v>0</v>
      </c>
      <c r="K8" s="164">
        <f>(J8/C8)</f>
        <v>0</v>
      </c>
      <c r="L8" s="165" t="s">
        <v>21</v>
      </c>
      <c r="M8" s="167">
        <v>3</v>
      </c>
    </row>
    <row r="9" spans="2:13" ht="9" customHeight="1" thickBot="1">
      <c r="B9" s="92"/>
      <c r="C9" s="93"/>
      <c r="D9" s="93"/>
      <c r="E9" s="93"/>
      <c r="F9" s="93"/>
      <c r="G9" s="93"/>
      <c r="H9" s="93"/>
      <c r="I9" s="93"/>
      <c r="J9" s="93"/>
      <c r="K9" s="94"/>
      <c r="L9" s="91"/>
      <c r="M9" s="91"/>
    </row>
    <row r="10" spans="2:13">
      <c r="B10" s="61" t="s">
        <v>1</v>
      </c>
      <c r="C10" s="76" t="s">
        <v>2</v>
      </c>
      <c r="D10" s="62" t="s">
        <v>22</v>
      </c>
      <c r="E10" s="62" t="s">
        <v>4</v>
      </c>
      <c r="F10" s="63" t="s">
        <v>5</v>
      </c>
      <c r="G10" s="63" t="s">
        <v>6</v>
      </c>
      <c r="H10" s="64" t="s">
        <v>7</v>
      </c>
      <c r="I10" s="64" t="s">
        <v>8</v>
      </c>
      <c r="J10" s="65" t="s">
        <v>9</v>
      </c>
      <c r="K10" s="66" t="s">
        <v>10</v>
      </c>
      <c r="L10" s="91"/>
      <c r="M10" s="91"/>
    </row>
    <row r="11" spans="2:13" ht="16" thickBot="1">
      <c r="B11" s="68" t="s">
        <v>23</v>
      </c>
      <c r="C11" s="78">
        <f>SUM(C5:C8)</f>
        <v>146</v>
      </c>
      <c r="D11" s="69">
        <f>SUM(D5:D8)</f>
        <v>0</v>
      </c>
      <c r="E11" s="80">
        <f>D11/C11</f>
        <v>0</v>
      </c>
      <c r="F11" s="70">
        <f>SUM(F5:F8)</f>
        <v>121</v>
      </c>
      <c r="G11" s="71">
        <f>F11/C11</f>
        <v>0.82876712328767121</v>
      </c>
      <c r="H11" s="72">
        <f>SUM(H5:H8)</f>
        <v>11</v>
      </c>
      <c r="I11" s="73">
        <f>H11/C11</f>
        <v>7.5342465753424653E-2</v>
      </c>
      <c r="J11" s="74">
        <f>SUM(J5:J8)</f>
        <v>12</v>
      </c>
      <c r="K11" s="75">
        <f>J11/C11</f>
        <v>8.2191780821917804E-2</v>
      </c>
      <c r="L11" s="91"/>
      <c r="M11" s="91"/>
    </row>
    <row r="14" spans="2:13" ht="16" thickBot="1"/>
    <row r="15" spans="2:13" ht="15" customHeight="1">
      <c r="B15" s="207" t="s">
        <v>24</v>
      </c>
      <c r="C15" s="208"/>
      <c r="D15" s="208"/>
      <c r="E15" s="208"/>
      <c r="F15" s="208"/>
      <c r="G15" s="208"/>
      <c r="H15" s="208"/>
      <c r="I15" s="208"/>
      <c r="J15" s="208"/>
      <c r="K15" s="208"/>
      <c r="L15" s="209"/>
    </row>
    <row r="16" spans="2:13" ht="15.75" customHeight="1" thickBot="1">
      <c r="B16" s="210"/>
      <c r="C16" s="211"/>
      <c r="D16" s="211"/>
      <c r="E16" s="211"/>
      <c r="F16" s="211"/>
      <c r="G16" s="211"/>
      <c r="H16" s="211"/>
      <c r="I16" s="211"/>
      <c r="J16" s="211"/>
      <c r="K16" s="211"/>
      <c r="L16" s="212"/>
    </row>
    <row r="17" spans="2:12" ht="33" thickBot="1">
      <c r="B17" s="84" t="s">
        <v>25</v>
      </c>
      <c r="C17" s="85" t="s">
        <v>26</v>
      </c>
      <c r="D17" s="85" t="s">
        <v>27</v>
      </c>
      <c r="E17" s="222" t="s">
        <v>28</v>
      </c>
      <c r="F17" s="222"/>
      <c r="G17" s="85" t="s">
        <v>29</v>
      </c>
      <c r="H17" s="225" t="s">
        <v>28</v>
      </c>
      <c r="I17" s="225"/>
      <c r="J17" s="140" t="s">
        <v>30</v>
      </c>
      <c r="K17" s="213" t="s">
        <v>28</v>
      </c>
      <c r="L17" s="214"/>
    </row>
    <row r="18" spans="2:12" ht="63" customHeight="1">
      <c r="B18" s="86" t="s">
        <v>31</v>
      </c>
      <c r="C18" s="87" t="s">
        <v>32</v>
      </c>
      <c r="D18" s="87" t="s">
        <v>32</v>
      </c>
      <c r="E18" s="220" t="s">
        <v>33</v>
      </c>
      <c r="F18" s="221"/>
      <c r="G18" s="88" t="s">
        <v>32</v>
      </c>
      <c r="H18" s="220" t="s">
        <v>34</v>
      </c>
      <c r="I18" s="221"/>
      <c r="J18" s="142" t="s">
        <v>35</v>
      </c>
      <c r="K18" s="215" t="s">
        <v>36</v>
      </c>
      <c r="L18" s="216"/>
    </row>
    <row r="19" spans="2:12">
      <c r="B19" s="81" t="s">
        <v>37</v>
      </c>
      <c r="C19" s="2" t="s">
        <v>32</v>
      </c>
      <c r="D19" s="2" t="s">
        <v>32</v>
      </c>
      <c r="E19" s="219" t="s">
        <v>38</v>
      </c>
      <c r="F19" s="216"/>
      <c r="G19" s="89" t="s">
        <v>35</v>
      </c>
      <c r="H19" s="219" t="s">
        <v>39</v>
      </c>
      <c r="I19" s="216"/>
      <c r="J19" s="143" t="s">
        <v>40</v>
      </c>
      <c r="K19" s="217"/>
      <c r="L19" s="218"/>
    </row>
    <row r="20" spans="2:12" ht="30" customHeight="1">
      <c r="B20" s="81" t="s">
        <v>41</v>
      </c>
      <c r="C20" s="2" t="s">
        <v>32</v>
      </c>
      <c r="D20" s="2" t="s">
        <v>32</v>
      </c>
      <c r="E20" s="219" t="s">
        <v>42</v>
      </c>
      <c r="F20" s="216"/>
      <c r="G20" s="89" t="s">
        <v>40</v>
      </c>
      <c r="H20" s="219" t="s">
        <v>43</v>
      </c>
      <c r="I20" s="216"/>
      <c r="J20" s="143" t="s">
        <v>40</v>
      </c>
      <c r="K20" s="217"/>
      <c r="L20" s="218"/>
    </row>
    <row r="21" spans="2:12" ht="36" customHeight="1">
      <c r="B21" s="81" t="s">
        <v>44</v>
      </c>
      <c r="C21" s="2" t="s">
        <v>32</v>
      </c>
      <c r="D21" s="2" t="s">
        <v>32</v>
      </c>
      <c r="E21" s="219" t="s">
        <v>42</v>
      </c>
      <c r="F21" s="216"/>
      <c r="G21" s="89" t="s">
        <v>40</v>
      </c>
      <c r="H21" s="219" t="s">
        <v>43</v>
      </c>
      <c r="I21" s="216"/>
      <c r="J21" s="143" t="s">
        <v>40</v>
      </c>
      <c r="K21" s="217"/>
      <c r="L21" s="218"/>
    </row>
    <row r="22" spans="2:12" ht="29.25" customHeight="1">
      <c r="B22" s="81" t="s">
        <v>45</v>
      </c>
      <c r="C22" s="2" t="s">
        <v>32</v>
      </c>
      <c r="D22" s="2" t="s">
        <v>32</v>
      </c>
      <c r="E22" s="219" t="s">
        <v>42</v>
      </c>
      <c r="F22" s="216"/>
      <c r="G22" s="89" t="s">
        <v>40</v>
      </c>
      <c r="H22" s="219" t="s">
        <v>43</v>
      </c>
      <c r="I22" s="216"/>
      <c r="J22" s="143" t="s">
        <v>40</v>
      </c>
      <c r="K22" s="217"/>
      <c r="L22" s="218"/>
    </row>
    <row r="23" spans="2:12" ht="48.75" customHeight="1">
      <c r="B23" s="81" t="s">
        <v>46</v>
      </c>
      <c r="C23" s="2" t="s">
        <v>32</v>
      </c>
      <c r="D23" s="2" t="s">
        <v>32</v>
      </c>
      <c r="E23" s="219" t="s">
        <v>38</v>
      </c>
      <c r="F23" s="216"/>
      <c r="G23" s="2" t="s">
        <v>32</v>
      </c>
      <c r="H23" s="219" t="s">
        <v>47</v>
      </c>
      <c r="I23" s="216"/>
      <c r="J23" s="143" t="s">
        <v>40</v>
      </c>
      <c r="K23" s="215" t="s">
        <v>36</v>
      </c>
      <c r="L23" s="216"/>
    </row>
    <row r="24" spans="2:12" ht="30" customHeight="1">
      <c r="B24" s="81" t="s">
        <v>48</v>
      </c>
      <c r="C24" s="2" t="s">
        <v>32</v>
      </c>
      <c r="D24" s="2" t="s">
        <v>32</v>
      </c>
      <c r="E24" s="219" t="s">
        <v>42</v>
      </c>
      <c r="F24" s="216"/>
      <c r="G24" s="89" t="s">
        <v>40</v>
      </c>
      <c r="H24" s="219" t="s">
        <v>43</v>
      </c>
      <c r="I24" s="216"/>
      <c r="J24" s="143" t="s">
        <v>40</v>
      </c>
      <c r="K24" s="217"/>
      <c r="L24" s="218"/>
    </row>
    <row r="25" spans="2:12" ht="49.5" customHeight="1">
      <c r="B25" s="81" t="s">
        <v>49</v>
      </c>
      <c r="C25" s="2" t="s">
        <v>35</v>
      </c>
      <c r="D25" s="2" t="s">
        <v>40</v>
      </c>
      <c r="E25" s="219" t="s">
        <v>50</v>
      </c>
      <c r="F25" s="216"/>
      <c r="G25" s="89" t="s">
        <v>40</v>
      </c>
      <c r="H25" s="219" t="s">
        <v>43</v>
      </c>
      <c r="I25" s="216"/>
      <c r="J25" s="143" t="s">
        <v>40</v>
      </c>
      <c r="K25" s="217"/>
      <c r="L25" s="218"/>
    </row>
    <row r="26" spans="2:12" ht="33" customHeight="1">
      <c r="B26" s="81" t="s">
        <v>51</v>
      </c>
      <c r="C26" s="2" t="s">
        <v>35</v>
      </c>
      <c r="D26" s="2" t="s">
        <v>40</v>
      </c>
      <c r="E26" s="219" t="s">
        <v>52</v>
      </c>
      <c r="F26" s="216"/>
      <c r="G26" s="89" t="s">
        <v>40</v>
      </c>
      <c r="H26" s="219" t="s">
        <v>43</v>
      </c>
      <c r="I26" s="216"/>
      <c r="J26" s="143" t="s">
        <v>40</v>
      </c>
      <c r="K26" s="217"/>
      <c r="L26" s="218"/>
    </row>
    <row r="27" spans="2:12" ht="16" thickBot="1">
      <c r="B27" s="82" t="s">
        <v>53</v>
      </c>
      <c r="C27" s="83" t="s">
        <v>15</v>
      </c>
      <c r="D27" s="83" t="s">
        <v>15</v>
      </c>
      <c r="E27" s="223" t="s">
        <v>54</v>
      </c>
      <c r="F27" s="224"/>
      <c r="G27" s="90" t="s">
        <v>40</v>
      </c>
      <c r="H27" s="223" t="s">
        <v>43</v>
      </c>
      <c r="I27" s="224"/>
      <c r="J27" s="144" t="s">
        <v>40</v>
      </c>
      <c r="K27" s="226"/>
      <c r="L27" s="227"/>
    </row>
  </sheetData>
  <mergeCells count="35">
    <mergeCell ref="K25:L25"/>
    <mergeCell ref="K26:L26"/>
    <mergeCell ref="K27:L27"/>
    <mergeCell ref="K20:L20"/>
    <mergeCell ref="K21:L21"/>
    <mergeCell ref="K22:L22"/>
    <mergeCell ref="K23:L23"/>
    <mergeCell ref="K24:L24"/>
    <mergeCell ref="E25:F25"/>
    <mergeCell ref="E26:F26"/>
    <mergeCell ref="E27:F27"/>
    <mergeCell ref="H18:I18"/>
    <mergeCell ref="H17:I17"/>
    <mergeCell ref="H19:I19"/>
    <mergeCell ref="H20:I20"/>
    <mergeCell ref="H21:I21"/>
    <mergeCell ref="H22:I22"/>
    <mergeCell ref="H23:I23"/>
    <mergeCell ref="H24:I24"/>
    <mergeCell ref="H25:I25"/>
    <mergeCell ref="H26:I26"/>
    <mergeCell ref="H27:I27"/>
    <mergeCell ref="E20:F20"/>
    <mergeCell ref="E21:F21"/>
    <mergeCell ref="E22:F22"/>
    <mergeCell ref="E23:F23"/>
    <mergeCell ref="E24:F24"/>
    <mergeCell ref="E18:F18"/>
    <mergeCell ref="E17:F17"/>
    <mergeCell ref="E19:F19"/>
    <mergeCell ref="B15:L16"/>
    <mergeCell ref="K17:L17"/>
    <mergeCell ref="K18:L18"/>
    <mergeCell ref="K19:L19"/>
    <mergeCell ref="B2:M3"/>
  </mergeCells>
  <conditionalFormatting sqref="C18:D27 G18:G27 J18:J27">
    <cfRule type="cellIs" dxfId="9" priority="1" operator="equal">
      <formula>"Complete"</formula>
    </cfRule>
    <cfRule type="cellIs" dxfId="8" priority="2" operator="equal">
      <formula>"In Progress"</formula>
    </cfRule>
    <cfRule type="cellIs" dxfId="7" priority="3" operator="equal">
      <formula>"Incomplete"</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2ED21-357B-4D14-890C-B04ABFCC042B}">
  <dimension ref="D10:H23"/>
  <sheetViews>
    <sheetView workbookViewId="0">
      <selection activeCell="O19" sqref="O19"/>
    </sheetView>
    <sheetView workbookViewId="1"/>
  </sheetViews>
  <sheetFormatPr baseColWidth="10" defaultColWidth="8.83203125" defaultRowHeight="15"/>
  <cols>
    <col min="4" max="4" width="41.5" bestFit="1" customWidth="1"/>
    <col min="5" max="5" width="32.5" customWidth="1"/>
    <col min="6" max="6" width="27.33203125" bestFit="1" customWidth="1"/>
    <col min="7" max="7" width="21.83203125" customWidth="1"/>
    <col min="8" max="8" width="28.1640625" bestFit="1" customWidth="1"/>
  </cols>
  <sheetData>
    <row r="10" spans="4:8" ht="16" thickBot="1"/>
    <row r="11" spans="4:8">
      <c r="D11" s="207" t="s">
        <v>24</v>
      </c>
      <c r="E11" s="208"/>
      <c r="F11" s="208"/>
      <c r="G11" s="208"/>
      <c r="H11" s="209"/>
    </row>
    <row r="12" spans="4:8" ht="16" thickBot="1">
      <c r="D12" s="210"/>
      <c r="E12" s="211"/>
      <c r="F12" s="211"/>
      <c r="G12" s="211"/>
      <c r="H12" s="212"/>
    </row>
    <row r="13" spans="4:8" ht="17" thickBot="1">
      <c r="D13" s="145" t="s">
        <v>25</v>
      </c>
      <c r="E13" s="95" t="s">
        <v>26</v>
      </c>
      <c r="F13" s="95" t="s">
        <v>27</v>
      </c>
      <c r="G13" s="95" t="s">
        <v>29</v>
      </c>
      <c r="H13" s="95" t="s">
        <v>30</v>
      </c>
    </row>
    <row r="14" spans="4:8">
      <c r="D14" s="146" t="s">
        <v>31</v>
      </c>
      <c r="E14" s="142" t="s">
        <v>32</v>
      </c>
      <c r="F14" s="142" t="s">
        <v>32</v>
      </c>
      <c r="G14" s="142" t="s">
        <v>32</v>
      </c>
      <c r="H14" s="142" t="s">
        <v>35</v>
      </c>
    </row>
    <row r="15" spans="4:8">
      <c r="D15" s="147" t="s">
        <v>37</v>
      </c>
      <c r="E15" s="143" t="s">
        <v>32</v>
      </c>
      <c r="F15" s="143" t="s">
        <v>32</v>
      </c>
      <c r="G15" s="143" t="s">
        <v>35</v>
      </c>
      <c r="H15" s="143" t="s">
        <v>40</v>
      </c>
    </row>
    <row r="16" spans="4:8">
      <c r="D16" s="147" t="s">
        <v>41</v>
      </c>
      <c r="E16" s="143" t="s">
        <v>32</v>
      </c>
      <c r="F16" s="143" t="s">
        <v>32</v>
      </c>
      <c r="G16" s="143" t="s">
        <v>40</v>
      </c>
      <c r="H16" s="143" t="s">
        <v>40</v>
      </c>
    </row>
    <row r="17" spans="4:8">
      <c r="D17" s="147" t="s">
        <v>44</v>
      </c>
      <c r="E17" s="143" t="s">
        <v>32</v>
      </c>
      <c r="F17" s="143" t="s">
        <v>32</v>
      </c>
      <c r="G17" s="143" t="s">
        <v>40</v>
      </c>
      <c r="H17" s="143" t="s">
        <v>40</v>
      </c>
    </row>
    <row r="18" spans="4:8">
      <c r="D18" s="147" t="s">
        <v>45</v>
      </c>
      <c r="E18" s="143" t="s">
        <v>32</v>
      </c>
      <c r="F18" s="143" t="s">
        <v>35</v>
      </c>
      <c r="G18" s="143" t="s">
        <v>40</v>
      </c>
      <c r="H18" s="143" t="s">
        <v>40</v>
      </c>
    </row>
    <row r="19" spans="4:8">
      <c r="D19" s="147" t="s">
        <v>46</v>
      </c>
      <c r="E19" s="143" t="s">
        <v>32</v>
      </c>
      <c r="F19" s="143" t="s">
        <v>32</v>
      </c>
      <c r="G19" s="143" t="s">
        <v>32</v>
      </c>
      <c r="H19" s="143" t="s">
        <v>40</v>
      </c>
    </row>
    <row r="20" spans="4:8">
      <c r="D20" s="147" t="s">
        <v>48</v>
      </c>
      <c r="E20" s="143" t="s">
        <v>35</v>
      </c>
      <c r="F20" s="143" t="s">
        <v>40</v>
      </c>
      <c r="G20" s="143" t="s">
        <v>40</v>
      </c>
      <c r="H20" s="143" t="s">
        <v>40</v>
      </c>
    </row>
    <row r="21" spans="4:8">
      <c r="D21" s="147" t="s">
        <v>49</v>
      </c>
      <c r="E21" s="143" t="s">
        <v>35</v>
      </c>
      <c r="F21" s="143" t="s">
        <v>40</v>
      </c>
      <c r="G21" s="143" t="s">
        <v>40</v>
      </c>
      <c r="H21" s="143" t="s">
        <v>40</v>
      </c>
    </row>
    <row r="22" spans="4:8">
      <c r="D22" s="147" t="s">
        <v>51</v>
      </c>
      <c r="E22" s="143" t="s">
        <v>35</v>
      </c>
      <c r="F22" s="143" t="s">
        <v>40</v>
      </c>
      <c r="G22" s="143" t="s">
        <v>40</v>
      </c>
      <c r="H22" s="143" t="s">
        <v>40</v>
      </c>
    </row>
    <row r="23" spans="4:8" ht="16" thickBot="1">
      <c r="D23" s="148" t="s">
        <v>53</v>
      </c>
      <c r="E23" s="149" t="s">
        <v>15</v>
      </c>
      <c r="F23" s="149" t="s">
        <v>15</v>
      </c>
      <c r="G23" s="144" t="s">
        <v>40</v>
      </c>
      <c r="H23" s="144" t="s">
        <v>40</v>
      </c>
    </row>
  </sheetData>
  <mergeCells count="1">
    <mergeCell ref="D11:H12"/>
  </mergeCells>
  <conditionalFormatting sqref="E14:H23">
    <cfRule type="cellIs" dxfId="6" priority="1" operator="equal">
      <formula>"Complete"</formula>
    </cfRule>
    <cfRule type="cellIs" dxfId="5" priority="2" operator="equal">
      <formula>"In Progress"</formula>
    </cfRule>
    <cfRule type="cellIs" dxfId="4" priority="3" operator="equal">
      <formula>"Incomplete"</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DA098-55C2-4F0D-BE95-1BB04C200FAC}">
  <sheetPr filterMode="1"/>
  <dimension ref="A1:N89"/>
  <sheetViews>
    <sheetView zoomScaleNormal="100" workbookViewId="0">
      <pane ySplit="1" topLeftCell="A25" activePane="bottomLeft" state="frozen"/>
      <selection pane="bottomLeft" activeCell="A41" sqref="A41"/>
    </sheetView>
    <sheetView topLeftCell="A7" workbookViewId="1">
      <selection activeCell="A51" sqref="A51"/>
    </sheetView>
  </sheetViews>
  <sheetFormatPr baseColWidth="10" defaultColWidth="8.83203125" defaultRowHeight="15"/>
  <cols>
    <col min="1" max="1" width="54.33203125" customWidth="1"/>
    <col min="2" max="2" width="26.1640625" customWidth="1"/>
    <col min="3" max="3" width="29" customWidth="1"/>
    <col min="5" max="6" width="16.5" customWidth="1"/>
    <col min="7" max="8" width="13.6640625" customWidth="1"/>
    <col min="9" max="9" width="55.5" style="38" customWidth="1"/>
    <col min="10" max="10" width="23.1640625" style="38" customWidth="1"/>
    <col min="11" max="11" width="41.6640625" customWidth="1"/>
  </cols>
  <sheetData>
    <row r="1" spans="1:14" ht="16">
      <c r="A1" s="169" t="s">
        <v>55</v>
      </c>
      <c r="B1" s="169" t="s">
        <v>56</v>
      </c>
      <c r="C1" s="169" t="s">
        <v>57</v>
      </c>
      <c r="D1" s="169" t="s">
        <v>58</v>
      </c>
      <c r="E1" s="169" t="s">
        <v>59</v>
      </c>
      <c r="F1" s="169" t="s">
        <v>60</v>
      </c>
      <c r="G1" s="169" t="s">
        <v>61</v>
      </c>
      <c r="H1" s="169" t="s">
        <v>62</v>
      </c>
      <c r="I1" s="171" t="s">
        <v>28</v>
      </c>
      <c r="J1" s="171" t="s">
        <v>63</v>
      </c>
      <c r="K1" s="169" t="s">
        <v>64</v>
      </c>
      <c r="L1" s="169" t="s">
        <v>65</v>
      </c>
      <c r="M1" s="169" t="s">
        <v>66</v>
      </c>
      <c r="N1" s="169" t="s">
        <v>67</v>
      </c>
    </row>
    <row r="2" spans="1:14" ht="16" hidden="1">
      <c r="A2" t="s">
        <v>68</v>
      </c>
      <c r="B2" s="125" t="s">
        <v>69</v>
      </c>
      <c r="C2" t="s">
        <v>70</v>
      </c>
      <c r="D2" t="s">
        <v>71</v>
      </c>
      <c r="E2" t="s">
        <v>72</v>
      </c>
      <c r="F2" t="s">
        <v>73</v>
      </c>
      <c r="G2" t="s">
        <v>74</v>
      </c>
      <c r="I2" s="38" t="s">
        <v>75</v>
      </c>
    </row>
    <row r="3" spans="1:14" ht="288" hidden="1">
      <c r="A3" t="s">
        <v>76</v>
      </c>
      <c r="B3" s="125" t="s">
        <v>77</v>
      </c>
      <c r="C3" t="s">
        <v>78</v>
      </c>
      <c r="D3" t="s">
        <v>71</v>
      </c>
      <c r="E3" t="s">
        <v>79</v>
      </c>
      <c r="F3" t="s">
        <v>80</v>
      </c>
      <c r="G3" t="s">
        <v>81</v>
      </c>
      <c r="I3" s="38" t="s">
        <v>82</v>
      </c>
      <c r="J3" s="38" t="s">
        <v>83</v>
      </c>
    </row>
    <row r="4" spans="1:14" ht="304" hidden="1">
      <c r="A4" t="s">
        <v>84</v>
      </c>
      <c r="B4" s="125">
        <v>11</v>
      </c>
      <c r="C4" t="s">
        <v>78</v>
      </c>
      <c r="D4" t="s">
        <v>71</v>
      </c>
      <c r="E4" t="s">
        <v>79</v>
      </c>
      <c r="F4" t="s">
        <v>80</v>
      </c>
      <c r="G4" t="s">
        <v>81</v>
      </c>
      <c r="I4" s="38" t="s">
        <v>85</v>
      </c>
    </row>
    <row r="5" spans="1:14" ht="304" hidden="1">
      <c r="A5" t="s">
        <v>86</v>
      </c>
      <c r="B5" s="125">
        <v>12</v>
      </c>
      <c r="C5" t="s">
        <v>78</v>
      </c>
      <c r="D5" t="s">
        <v>71</v>
      </c>
      <c r="E5" t="s">
        <v>79</v>
      </c>
      <c r="F5" t="s">
        <v>80</v>
      </c>
      <c r="G5" t="s">
        <v>81</v>
      </c>
      <c r="I5" s="38" t="s">
        <v>87</v>
      </c>
    </row>
    <row r="6" spans="1:14" ht="208" hidden="1">
      <c r="A6" t="s">
        <v>88</v>
      </c>
      <c r="B6" s="125" t="s">
        <v>77</v>
      </c>
      <c r="C6" t="s">
        <v>78</v>
      </c>
      <c r="D6" t="s">
        <v>71</v>
      </c>
      <c r="E6" t="s">
        <v>79</v>
      </c>
      <c r="F6" t="s">
        <v>80</v>
      </c>
      <c r="G6" t="s">
        <v>81</v>
      </c>
      <c r="I6" s="38" t="s">
        <v>89</v>
      </c>
    </row>
    <row r="7" spans="1:14" ht="64">
      <c r="A7" t="s">
        <v>148</v>
      </c>
      <c r="B7" s="125">
        <v>4</v>
      </c>
      <c r="C7" t="s">
        <v>91</v>
      </c>
      <c r="D7" t="s">
        <v>71</v>
      </c>
      <c r="E7" t="s">
        <v>92</v>
      </c>
      <c r="F7" t="s">
        <v>110</v>
      </c>
      <c r="G7" t="s">
        <v>74</v>
      </c>
      <c r="I7" s="38" t="s">
        <v>149</v>
      </c>
    </row>
    <row r="8" spans="1:14" ht="160" hidden="1">
      <c r="A8" t="s">
        <v>96</v>
      </c>
      <c r="B8" s="125" t="s">
        <v>77</v>
      </c>
      <c r="C8" t="s">
        <v>78</v>
      </c>
      <c r="D8" t="s">
        <v>71</v>
      </c>
      <c r="E8" t="s">
        <v>79</v>
      </c>
      <c r="F8" t="s">
        <v>97</v>
      </c>
      <c r="G8" t="s">
        <v>81</v>
      </c>
      <c r="I8" s="38" t="s">
        <v>98</v>
      </c>
      <c r="J8" s="38" t="s">
        <v>99</v>
      </c>
    </row>
    <row r="9" spans="1:14" ht="32" hidden="1">
      <c r="A9" t="s">
        <v>100</v>
      </c>
      <c r="B9" s="125" t="s">
        <v>101</v>
      </c>
      <c r="C9" t="s">
        <v>70</v>
      </c>
      <c r="D9" t="s">
        <v>71</v>
      </c>
      <c r="E9" t="s">
        <v>72</v>
      </c>
      <c r="G9" t="s">
        <v>81</v>
      </c>
      <c r="I9" s="38" t="s">
        <v>102</v>
      </c>
    </row>
    <row r="10" spans="1:14" ht="16">
      <c r="A10" t="s">
        <v>150</v>
      </c>
      <c r="B10" s="125">
        <v>5</v>
      </c>
      <c r="C10" t="s">
        <v>70</v>
      </c>
      <c r="D10" t="s">
        <v>71</v>
      </c>
      <c r="E10" t="s">
        <v>92</v>
      </c>
      <c r="F10" t="s">
        <v>107</v>
      </c>
      <c r="G10" t="s">
        <v>74</v>
      </c>
      <c r="I10" s="38" t="s">
        <v>108</v>
      </c>
    </row>
    <row r="11" spans="1:14" ht="16">
      <c r="A11" t="s">
        <v>174</v>
      </c>
      <c r="B11" s="125">
        <v>6</v>
      </c>
      <c r="C11" t="s">
        <v>70</v>
      </c>
      <c r="D11" t="s">
        <v>71</v>
      </c>
      <c r="E11" t="s">
        <v>92</v>
      </c>
      <c r="F11" t="s">
        <v>107</v>
      </c>
      <c r="G11" t="s">
        <v>74</v>
      </c>
      <c r="I11" s="38" t="s">
        <v>108</v>
      </c>
    </row>
    <row r="12" spans="1:14" ht="16">
      <c r="A12" t="s">
        <v>175</v>
      </c>
      <c r="B12" s="125">
        <v>7</v>
      </c>
      <c r="C12" t="s">
        <v>70</v>
      </c>
      <c r="D12" t="s">
        <v>71</v>
      </c>
      <c r="E12" t="s">
        <v>92</v>
      </c>
      <c r="F12" t="s">
        <v>107</v>
      </c>
      <c r="G12" t="s">
        <v>74</v>
      </c>
      <c r="I12" s="38" t="s">
        <v>108</v>
      </c>
    </row>
    <row r="13" spans="1:14" ht="16" hidden="1">
      <c r="A13" t="s">
        <v>112</v>
      </c>
      <c r="B13" s="125" t="s">
        <v>69</v>
      </c>
      <c r="C13" t="s">
        <v>70</v>
      </c>
      <c r="D13" t="s">
        <v>71</v>
      </c>
      <c r="E13" t="s">
        <v>72</v>
      </c>
      <c r="G13" t="s">
        <v>81</v>
      </c>
      <c r="I13" s="38" t="s">
        <v>113</v>
      </c>
    </row>
    <row r="14" spans="1:14" ht="16" hidden="1">
      <c r="A14" t="s">
        <v>114</v>
      </c>
      <c r="B14" s="125" t="s">
        <v>77</v>
      </c>
      <c r="C14" t="s">
        <v>70</v>
      </c>
      <c r="D14" t="s">
        <v>71</v>
      </c>
      <c r="E14" t="s">
        <v>72</v>
      </c>
      <c r="G14" t="s">
        <v>81</v>
      </c>
      <c r="I14" s="38" t="s">
        <v>115</v>
      </c>
    </row>
    <row r="15" spans="1:14" ht="16">
      <c r="A15" t="s">
        <v>176</v>
      </c>
      <c r="B15" s="125">
        <v>8</v>
      </c>
      <c r="C15" t="s">
        <v>70</v>
      </c>
      <c r="D15" t="s">
        <v>71</v>
      </c>
      <c r="E15" t="s">
        <v>92</v>
      </c>
      <c r="F15" t="s">
        <v>107</v>
      </c>
      <c r="G15" t="s">
        <v>74</v>
      </c>
      <c r="I15" s="38" t="s">
        <v>108</v>
      </c>
    </row>
    <row r="16" spans="1:14" hidden="1">
      <c r="A16" t="s">
        <v>117</v>
      </c>
      <c r="B16" s="125" t="s">
        <v>69</v>
      </c>
      <c r="C16" t="s">
        <v>70</v>
      </c>
      <c r="D16" t="s">
        <v>71</v>
      </c>
      <c r="E16" t="s">
        <v>72</v>
      </c>
      <c r="G16" t="s">
        <v>74</v>
      </c>
    </row>
    <row r="17" spans="1:14" ht="16">
      <c r="A17" t="s">
        <v>177</v>
      </c>
      <c r="B17" s="125">
        <v>9</v>
      </c>
      <c r="C17" t="s">
        <v>70</v>
      </c>
      <c r="D17" t="s">
        <v>71</v>
      </c>
      <c r="E17" t="s">
        <v>92</v>
      </c>
      <c r="F17" t="s">
        <v>107</v>
      </c>
      <c r="G17" t="s">
        <v>74</v>
      </c>
      <c r="I17" s="38" t="s">
        <v>108</v>
      </c>
    </row>
    <row r="18" spans="1:14" ht="27" hidden="1" customHeight="1">
      <c r="A18" t="s">
        <v>119</v>
      </c>
      <c r="B18" s="125">
        <v>13</v>
      </c>
      <c r="C18" t="s">
        <v>70</v>
      </c>
      <c r="D18" t="s">
        <v>71</v>
      </c>
      <c r="E18" t="s">
        <v>72</v>
      </c>
      <c r="G18" t="s">
        <v>74</v>
      </c>
      <c r="I18" s="38" t="s">
        <v>120</v>
      </c>
      <c r="K18" s="38" t="s">
        <v>121</v>
      </c>
      <c r="L18">
        <v>5</v>
      </c>
      <c r="M18">
        <v>2</v>
      </c>
      <c r="N18">
        <v>1</v>
      </c>
    </row>
    <row r="19" spans="1:14" ht="16" hidden="1">
      <c r="A19" t="s">
        <v>122</v>
      </c>
      <c r="B19" s="125">
        <v>17</v>
      </c>
      <c r="C19" t="s">
        <v>70</v>
      </c>
      <c r="D19" t="s">
        <v>71</v>
      </c>
      <c r="E19" t="s">
        <v>72</v>
      </c>
      <c r="G19" t="s">
        <v>74</v>
      </c>
      <c r="I19" s="38" t="s">
        <v>123</v>
      </c>
    </row>
    <row r="20" spans="1:14" ht="16">
      <c r="A20" t="s">
        <v>178</v>
      </c>
      <c r="B20" s="125">
        <v>10</v>
      </c>
      <c r="C20" t="s">
        <v>70</v>
      </c>
      <c r="D20" t="s">
        <v>71</v>
      </c>
      <c r="E20" t="s">
        <v>92</v>
      </c>
      <c r="F20" t="s">
        <v>107</v>
      </c>
      <c r="G20" t="s">
        <v>74</v>
      </c>
      <c r="I20" s="38" t="s">
        <v>108</v>
      </c>
    </row>
    <row r="21" spans="1:14" ht="14.5" customHeight="1">
      <c r="A21" t="s">
        <v>163</v>
      </c>
      <c r="B21" s="125">
        <v>14</v>
      </c>
      <c r="C21" t="s">
        <v>70</v>
      </c>
      <c r="D21" t="s">
        <v>71</v>
      </c>
      <c r="E21" t="s">
        <v>92</v>
      </c>
      <c r="F21" t="s">
        <v>107</v>
      </c>
      <c r="G21" t="s">
        <v>74</v>
      </c>
      <c r="I21" s="38" t="s">
        <v>108</v>
      </c>
    </row>
    <row r="22" spans="1:14" ht="32">
      <c r="A22" t="s">
        <v>194</v>
      </c>
      <c r="B22" s="125">
        <v>16</v>
      </c>
      <c r="C22" t="s">
        <v>70</v>
      </c>
      <c r="D22" t="s">
        <v>71</v>
      </c>
      <c r="E22" t="s">
        <v>92</v>
      </c>
      <c r="F22" t="s">
        <v>195</v>
      </c>
      <c r="G22" t="s">
        <v>74</v>
      </c>
      <c r="I22" s="38" t="s">
        <v>196</v>
      </c>
    </row>
    <row r="23" spans="1:14" ht="18.5" hidden="1" customHeight="1">
      <c r="A23" t="s">
        <v>130</v>
      </c>
      <c r="B23" s="125" t="s">
        <v>69</v>
      </c>
      <c r="C23" t="s">
        <v>70</v>
      </c>
      <c r="D23" t="s">
        <v>71</v>
      </c>
      <c r="E23" t="s">
        <v>72</v>
      </c>
      <c r="G23" t="s">
        <v>74</v>
      </c>
      <c r="I23" s="38" t="s">
        <v>131</v>
      </c>
    </row>
    <row r="24" spans="1:14" ht="32">
      <c r="A24" t="s">
        <v>103</v>
      </c>
      <c r="B24" s="125" t="s">
        <v>101</v>
      </c>
      <c r="C24" t="s">
        <v>91</v>
      </c>
      <c r="D24" t="s">
        <v>71</v>
      </c>
      <c r="E24" t="s">
        <v>92</v>
      </c>
      <c r="F24" t="s">
        <v>93</v>
      </c>
      <c r="G24" t="s">
        <v>81</v>
      </c>
      <c r="I24" s="38" t="s">
        <v>104</v>
      </c>
    </row>
    <row r="25" spans="1:14" ht="32">
      <c r="A25" t="s">
        <v>109</v>
      </c>
      <c r="B25" s="125" t="s">
        <v>101</v>
      </c>
      <c r="C25" t="s">
        <v>91</v>
      </c>
      <c r="D25" t="s">
        <v>71</v>
      </c>
      <c r="E25" t="s">
        <v>92</v>
      </c>
      <c r="F25" t="s">
        <v>110</v>
      </c>
      <c r="G25" t="s">
        <v>74</v>
      </c>
      <c r="I25" s="38" t="s">
        <v>111</v>
      </c>
    </row>
    <row r="26" spans="1:14" ht="32" hidden="1">
      <c r="A26" t="s">
        <v>134</v>
      </c>
      <c r="B26" s="125" t="s">
        <v>135</v>
      </c>
      <c r="C26" t="s">
        <v>70</v>
      </c>
      <c r="D26" t="s">
        <v>71</v>
      </c>
      <c r="E26" t="s">
        <v>72</v>
      </c>
      <c r="G26" t="s">
        <v>74</v>
      </c>
      <c r="I26" s="38" t="s">
        <v>136</v>
      </c>
    </row>
    <row r="27" spans="1:14">
      <c r="A27" t="s">
        <v>118</v>
      </c>
      <c r="B27" s="125" t="s">
        <v>101</v>
      </c>
      <c r="C27" t="s">
        <v>70</v>
      </c>
      <c r="D27" t="s">
        <v>71</v>
      </c>
      <c r="E27" t="s">
        <v>92</v>
      </c>
      <c r="F27" t="s">
        <v>107</v>
      </c>
      <c r="G27" t="s">
        <v>74</v>
      </c>
    </row>
    <row r="28" spans="1:14" ht="16">
      <c r="A28" t="s">
        <v>124</v>
      </c>
      <c r="B28" s="125" t="s">
        <v>101</v>
      </c>
      <c r="C28" t="s">
        <v>70</v>
      </c>
      <c r="D28" t="s">
        <v>71</v>
      </c>
      <c r="E28" t="s">
        <v>92</v>
      </c>
      <c r="F28" t="s">
        <v>107</v>
      </c>
      <c r="G28" t="s">
        <v>74</v>
      </c>
      <c r="I28" s="38" t="s">
        <v>108</v>
      </c>
    </row>
    <row r="29" spans="1:14" ht="32" hidden="1">
      <c r="A29" t="s">
        <v>140</v>
      </c>
      <c r="B29" s="125" t="s">
        <v>69</v>
      </c>
      <c r="C29" t="s">
        <v>70</v>
      </c>
      <c r="D29" t="s">
        <v>71</v>
      </c>
      <c r="E29" t="s">
        <v>72</v>
      </c>
      <c r="G29" t="s">
        <v>74</v>
      </c>
      <c r="I29" s="38" t="s">
        <v>141</v>
      </c>
    </row>
    <row r="30" spans="1:14" ht="96" hidden="1">
      <c r="A30" t="s">
        <v>142</v>
      </c>
      <c r="B30" s="125" t="s">
        <v>77</v>
      </c>
      <c r="C30" t="s">
        <v>78</v>
      </c>
      <c r="D30" t="s">
        <v>71</v>
      </c>
      <c r="E30" t="s">
        <v>79</v>
      </c>
      <c r="F30" t="s">
        <v>97</v>
      </c>
      <c r="G30" t="s">
        <v>74</v>
      </c>
      <c r="I30" s="38" t="s">
        <v>143</v>
      </c>
    </row>
    <row r="31" spans="1:14" ht="32" hidden="1">
      <c r="A31" t="s">
        <v>144</v>
      </c>
      <c r="B31" s="125" t="s">
        <v>69</v>
      </c>
      <c r="C31" t="s">
        <v>70</v>
      </c>
      <c r="D31" t="s">
        <v>71</v>
      </c>
      <c r="E31" t="s">
        <v>72</v>
      </c>
      <c r="G31" t="s">
        <v>74</v>
      </c>
      <c r="I31" s="38" t="s">
        <v>145</v>
      </c>
    </row>
    <row r="32" spans="1:14" ht="32" hidden="1">
      <c r="A32" t="s">
        <v>146</v>
      </c>
      <c r="B32" s="125" t="s">
        <v>69</v>
      </c>
      <c r="C32" t="s">
        <v>70</v>
      </c>
      <c r="D32" t="s">
        <v>71</v>
      </c>
      <c r="E32" t="s">
        <v>72</v>
      </c>
      <c r="G32" t="s">
        <v>74</v>
      </c>
      <c r="I32" s="38" t="s">
        <v>147</v>
      </c>
    </row>
    <row r="33" spans="1:10" ht="16">
      <c r="A33" t="s">
        <v>133</v>
      </c>
      <c r="B33" s="125" t="s">
        <v>101</v>
      </c>
      <c r="C33" t="s">
        <v>70</v>
      </c>
      <c r="D33" t="s">
        <v>71</v>
      </c>
      <c r="E33" t="s">
        <v>92</v>
      </c>
      <c r="F33" t="s">
        <v>107</v>
      </c>
      <c r="G33" t="s">
        <v>74</v>
      </c>
      <c r="I33" s="38" t="s">
        <v>108</v>
      </c>
    </row>
    <row r="34" spans="1:10" ht="32">
      <c r="A34" t="s">
        <v>137</v>
      </c>
      <c r="B34" s="125" t="s">
        <v>101</v>
      </c>
      <c r="C34" t="s">
        <v>91</v>
      </c>
      <c r="D34" t="s">
        <v>71</v>
      </c>
      <c r="E34" t="s">
        <v>92</v>
      </c>
      <c r="F34" t="s">
        <v>110</v>
      </c>
      <c r="G34" t="s">
        <v>74</v>
      </c>
      <c r="I34" s="38" t="s">
        <v>111</v>
      </c>
    </row>
    <row r="35" spans="1:10" ht="144" hidden="1">
      <c r="A35" t="s">
        <v>151</v>
      </c>
      <c r="B35" s="125" t="s">
        <v>69</v>
      </c>
      <c r="C35" t="s">
        <v>152</v>
      </c>
      <c r="D35" t="s">
        <v>71</v>
      </c>
      <c r="E35" t="s">
        <v>79</v>
      </c>
      <c r="F35" t="s">
        <v>97</v>
      </c>
      <c r="G35" t="s">
        <v>74</v>
      </c>
      <c r="I35" s="38" t="s">
        <v>153</v>
      </c>
    </row>
    <row r="36" spans="1:10" ht="32" hidden="1">
      <c r="A36" t="s">
        <v>154</v>
      </c>
      <c r="B36" s="125" t="s">
        <v>101</v>
      </c>
      <c r="C36" t="s">
        <v>70</v>
      </c>
      <c r="D36" t="s">
        <v>71</v>
      </c>
      <c r="E36" t="s">
        <v>72</v>
      </c>
      <c r="G36" t="s">
        <v>74</v>
      </c>
      <c r="I36" s="38" t="s">
        <v>155</v>
      </c>
    </row>
    <row r="37" spans="1:10" ht="16" hidden="1">
      <c r="A37" t="s">
        <v>156</v>
      </c>
      <c r="B37" s="125" t="s">
        <v>101</v>
      </c>
      <c r="C37" t="s">
        <v>70</v>
      </c>
      <c r="D37" t="s">
        <v>71</v>
      </c>
      <c r="E37" t="s">
        <v>72</v>
      </c>
      <c r="G37" t="s">
        <v>74</v>
      </c>
      <c r="I37" s="38" t="s">
        <v>157</v>
      </c>
    </row>
    <row r="38" spans="1:10" ht="16" hidden="1">
      <c r="A38" t="s">
        <v>158</v>
      </c>
      <c r="B38" s="125" t="s">
        <v>77</v>
      </c>
      <c r="C38" t="s">
        <v>70</v>
      </c>
      <c r="D38" t="s">
        <v>71</v>
      </c>
      <c r="E38" t="s">
        <v>72</v>
      </c>
      <c r="G38" t="s">
        <v>74</v>
      </c>
      <c r="I38" s="38" t="s">
        <v>159</v>
      </c>
    </row>
    <row r="39" spans="1:10" ht="16" hidden="1">
      <c r="A39" t="s">
        <v>160</v>
      </c>
      <c r="B39" s="125" t="s">
        <v>77</v>
      </c>
      <c r="C39" t="s">
        <v>70</v>
      </c>
      <c r="D39" t="s">
        <v>71</v>
      </c>
      <c r="E39" t="s">
        <v>72</v>
      </c>
      <c r="G39" t="s">
        <v>74</v>
      </c>
      <c r="I39" s="38" t="s">
        <v>161</v>
      </c>
    </row>
    <row r="40" spans="1:10" ht="16">
      <c r="A40" t="s">
        <v>162</v>
      </c>
      <c r="B40" s="125" t="s">
        <v>101</v>
      </c>
      <c r="C40" t="s">
        <v>70</v>
      </c>
      <c r="D40" t="s">
        <v>71</v>
      </c>
      <c r="E40" t="s">
        <v>92</v>
      </c>
      <c r="F40" t="s">
        <v>107</v>
      </c>
      <c r="G40" t="s">
        <v>74</v>
      </c>
      <c r="I40" s="38" t="s">
        <v>108</v>
      </c>
    </row>
    <row r="41" spans="1:10" ht="16">
      <c r="A41" t="s">
        <v>218</v>
      </c>
      <c r="B41" s="125" t="s">
        <v>101</v>
      </c>
      <c r="C41" t="s">
        <v>70</v>
      </c>
      <c r="D41" t="s">
        <v>71</v>
      </c>
      <c r="E41" t="s">
        <v>92</v>
      </c>
      <c r="F41" t="s">
        <v>107</v>
      </c>
      <c r="G41" t="s">
        <v>74</v>
      </c>
      <c r="I41" s="38" t="s">
        <v>108</v>
      </c>
    </row>
    <row r="42" spans="1:10" ht="16">
      <c r="A42" t="s">
        <v>227</v>
      </c>
      <c r="B42" s="125" t="s">
        <v>101</v>
      </c>
      <c r="C42" t="s">
        <v>70</v>
      </c>
      <c r="D42" t="s">
        <v>71</v>
      </c>
      <c r="E42" t="s">
        <v>92</v>
      </c>
      <c r="F42" t="s">
        <v>107</v>
      </c>
      <c r="G42" t="s">
        <v>74</v>
      </c>
      <c r="I42" s="38" t="s">
        <v>108</v>
      </c>
    </row>
    <row r="43" spans="1:10" ht="16" hidden="1">
      <c r="A43" t="s">
        <v>165</v>
      </c>
      <c r="B43" s="125" t="s">
        <v>101</v>
      </c>
      <c r="C43" t="s">
        <v>70</v>
      </c>
      <c r="D43" t="s">
        <v>71</v>
      </c>
      <c r="E43" t="s">
        <v>72</v>
      </c>
      <c r="G43" t="s">
        <v>74</v>
      </c>
      <c r="I43" s="38" t="s">
        <v>166</v>
      </c>
    </row>
    <row r="44" spans="1:10" ht="16" hidden="1">
      <c r="A44" t="s">
        <v>167</v>
      </c>
      <c r="B44" s="125" t="s">
        <v>101</v>
      </c>
      <c r="C44" t="s">
        <v>70</v>
      </c>
      <c r="D44" t="s">
        <v>71</v>
      </c>
      <c r="E44" t="s">
        <v>72</v>
      </c>
      <c r="G44" t="s">
        <v>74</v>
      </c>
      <c r="I44" s="38" t="s">
        <v>166</v>
      </c>
    </row>
    <row r="45" spans="1:10" ht="16" hidden="1">
      <c r="A45" t="s">
        <v>168</v>
      </c>
      <c r="B45" s="125" t="s">
        <v>77</v>
      </c>
      <c r="C45" t="s">
        <v>70</v>
      </c>
      <c r="D45" t="s">
        <v>71</v>
      </c>
      <c r="E45" t="s">
        <v>72</v>
      </c>
      <c r="G45" t="s">
        <v>74</v>
      </c>
      <c r="I45" s="38" t="s">
        <v>169</v>
      </c>
    </row>
    <row r="46" spans="1:10" ht="16">
      <c r="A46" t="s">
        <v>239</v>
      </c>
      <c r="B46" t="s">
        <v>101</v>
      </c>
      <c r="C46" t="s">
        <v>240</v>
      </c>
      <c r="D46" t="s">
        <v>71</v>
      </c>
      <c r="E46" t="s">
        <v>92</v>
      </c>
      <c r="F46" t="s">
        <v>107</v>
      </c>
      <c r="H46" t="s">
        <v>71</v>
      </c>
      <c r="I46" s="38" t="s">
        <v>241</v>
      </c>
    </row>
    <row r="47" spans="1:10" ht="32">
      <c r="A47" t="s">
        <v>214</v>
      </c>
      <c r="B47" s="125" t="s">
        <v>215</v>
      </c>
      <c r="C47" t="s">
        <v>128</v>
      </c>
      <c r="D47" t="s">
        <v>71</v>
      </c>
      <c r="E47" t="s">
        <v>92</v>
      </c>
      <c r="F47" t="s">
        <v>183</v>
      </c>
      <c r="G47" t="s">
        <v>74</v>
      </c>
      <c r="I47" s="38" t="s">
        <v>111</v>
      </c>
    </row>
    <row r="48" spans="1:10" ht="16">
      <c r="A48" t="s">
        <v>90</v>
      </c>
      <c r="B48" s="125" t="s">
        <v>69</v>
      </c>
      <c r="C48" t="s">
        <v>91</v>
      </c>
      <c r="D48" t="s">
        <v>71</v>
      </c>
      <c r="E48" t="s">
        <v>92</v>
      </c>
      <c r="F48" t="s">
        <v>93</v>
      </c>
      <c r="G48" t="s">
        <v>81</v>
      </c>
      <c r="I48" s="38" t="s">
        <v>94</v>
      </c>
      <c r="J48" s="38" t="s">
        <v>95</v>
      </c>
    </row>
    <row r="49" spans="1:11" ht="16">
      <c r="A49" t="s">
        <v>116</v>
      </c>
      <c r="B49" s="125" t="s">
        <v>69</v>
      </c>
      <c r="C49" t="s">
        <v>70</v>
      </c>
      <c r="D49" t="s">
        <v>71</v>
      </c>
      <c r="E49" t="s">
        <v>92</v>
      </c>
      <c r="F49" t="s">
        <v>107</v>
      </c>
      <c r="G49" t="s">
        <v>74</v>
      </c>
      <c r="I49" s="38" t="s">
        <v>108</v>
      </c>
    </row>
    <row r="50" spans="1:11" ht="48">
      <c r="A50" t="s">
        <v>125</v>
      </c>
      <c r="B50" s="125" t="s">
        <v>69</v>
      </c>
      <c r="C50" t="s">
        <v>70</v>
      </c>
      <c r="D50" t="s">
        <v>71</v>
      </c>
      <c r="E50" t="s">
        <v>92</v>
      </c>
      <c r="F50" t="s">
        <v>107</v>
      </c>
      <c r="G50" t="s">
        <v>74</v>
      </c>
      <c r="K50" s="38" t="s">
        <v>126</v>
      </c>
    </row>
    <row r="51" spans="1:11" ht="16">
      <c r="A51" t="s">
        <v>127</v>
      </c>
      <c r="B51" s="125" t="s">
        <v>69</v>
      </c>
      <c r="C51" t="s">
        <v>128</v>
      </c>
      <c r="D51" t="s">
        <v>71</v>
      </c>
      <c r="E51" t="s">
        <v>92</v>
      </c>
      <c r="F51" t="s">
        <v>107</v>
      </c>
      <c r="G51" t="s">
        <v>74</v>
      </c>
      <c r="I51" s="38" t="s">
        <v>129</v>
      </c>
    </row>
    <row r="52" spans="1:11" ht="16">
      <c r="A52" t="s">
        <v>132</v>
      </c>
      <c r="B52" s="125" t="s">
        <v>69</v>
      </c>
      <c r="C52" t="s">
        <v>70</v>
      </c>
      <c r="D52" t="s">
        <v>71</v>
      </c>
      <c r="E52" t="s">
        <v>92</v>
      </c>
      <c r="F52" t="s">
        <v>107</v>
      </c>
      <c r="G52" t="s">
        <v>74</v>
      </c>
      <c r="I52" s="38" t="s">
        <v>108</v>
      </c>
    </row>
    <row r="53" spans="1:11" ht="16">
      <c r="A53" s="174" t="s">
        <v>170</v>
      </c>
      <c r="B53" s="177" t="s">
        <v>69</v>
      </c>
      <c r="C53" s="174" t="s">
        <v>171</v>
      </c>
      <c r="D53" s="174" t="s">
        <v>71</v>
      </c>
      <c r="E53" s="174" t="s">
        <v>92</v>
      </c>
      <c r="F53" s="174" t="s">
        <v>172</v>
      </c>
      <c r="G53" s="174" t="s">
        <v>74</v>
      </c>
      <c r="H53" s="174"/>
      <c r="I53" s="175" t="s">
        <v>173</v>
      </c>
    </row>
    <row r="54" spans="1:11" ht="32">
      <c r="A54" t="s">
        <v>185</v>
      </c>
      <c r="B54" s="125" t="s">
        <v>69</v>
      </c>
      <c r="C54" t="s">
        <v>70</v>
      </c>
      <c r="D54" t="s">
        <v>71</v>
      </c>
      <c r="E54" t="s">
        <v>92</v>
      </c>
      <c r="F54" t="s">
        <v>107</v>
      </c>
      <c r="G54" t="s">
        <v>74</v>
      </c>
      <c r="I54" s="38" t="s">
        <v>108</v>
      </c>
      <c r="J54" s="38" t="s">
        <v>186</v>
      </c>
    </row>
    <row r="55" spans="1:11" ht="16">
      <c r="A55" t="s">
        <v>192</v>
      </c>
      <c r="B55" s="125" t="s">
        <v>69</v>
      </c>
      <c r="C55" t="s">
        <v>70</v>
      </c>
      <c r="D55" t="s">
        <v>71</v>
      </c>
      <c r="E55" t="s">
        <v>92</v>
      </c>
      <c r="F55" t="s">
        <v>107</v>
      </c>
      <c r="G55" t="s">
        <v>74</v>
      </c>
      <c r="I55" s="38" t="s">
        <v>108</v>
      </c>
    </row>
    <row r="56" spans="1:11" ht="16" hidden="1">
      <c r="A56" t="s">
        <v>187</v>
      </c>
      <c r="B56" s="125" t="s">
        <v>69</v>
      </c>
      <c r="C56" t="s">
        <v>70</v>
      </c>
      <c r="D56" t="s">
        <v>71</v>
      </c>
      <c r="E56" t="s">
        <v>72</v>
      </c>
      <c r="G56" t="s">
        <v>74</v>
      </c>
      <c r="I56" s="38" t="s">
        <v>166</v>
      </c>
    </row>
    <row r="57" spans="1:11" ht="16">
      <c r="A57" t="s">
        <v>193</v>
      </c>
      <c r="B57" s="125" t="s">
        <v>69</v>
      </c>
      <c r="C57" t="s">
        <v>70</v>
      </c>
      <c r="D57" t="s">
        <v>71</v>
      </c>
      <c r="E57" t="s">
        <v>92</v>
      </c>
      <c r="F57" t="s">
        <v>107</v>
      </c>
      <c r="G57" t="s">
        <v>74</v>
      </c>
      <c r="I57" s="38" t="s">
        <v>108</v>
      </c>
    </row>
    <row r="58" spans="1:11" ht="16" hidden="1">
      <c r="A58" t="s">
        <v>190</v>
      </c>
      <c r="B58" s="125">
        <v>1</v>
      </c>
      <c r="C58" t="s">
        <v>70</v>
      </c>
      <c r="D58" t="s">
        <v>71</v>
      </c>
      <c r="E58" t="s">
        <v>72</v>
      </c>
      <c r="G58" t="s">
        <v>74</v>
      </c>
      <c r="I58" s="38" t="s">
        <v>191</v>
      </c>
    </row>
    <row r="59" spans="1:11" ht="16">
      <c r="A59" t="s">
        <v>205</v>
      </c>
      <c r="B59" s="125" t="s">
        <v>69</v>
      </c>
      <c r="C59" t="s">
        <v>70</v>
      </c>
      <c r="D59" t="s">
        <v>71</v>
      </c>
      <c r="E59" t="s">
        <v>92</v>
      </c>
      <c r="F59" t="s">
        <v>107</v>
      </c>
      <c r="G59" t="s">
        <v>74</v>
      </c>
      <c r="I59" s="38" t="s">
        <v>108</v>
      </c>
    </row>
    <row r="60" spans="1:11" ht="16">
      <c r="A60" t="s">
        <v>206</v>
      </c>
      <c r="B60" s="125" t="s">
        <v>69</v>
      </c>
      <c r="C60" t="s">
        <v>70</v>
      </c>
      <c r="D60" t="s">
        <v>71</v>
      </c>
      <c r="E60" t="s">
        <v>92</v>
      </c>
      <c r="F60" t="s">
        <v>107</v>
      </c>
      <c r="G60" t="s">
        <v>74</v>
      </c>
      <c r="I60" s="38" t="s">
        <v>108</v>
      </c>
    </row>
    <row r="61" spans="1:11" ht="16">
      <c r="A61" t="s">
        <v>228</v>
      </c>
      <c r="B61" s="125" t="s">
        <v>69</v>
      </c>
      <c r="C61" t="s">
        <v>70</v>
      </c>
      <c r="D61" t="s">
        <v>71</v>
      </c>
      <c r="E61" t="s">
        <v>92</v>
      </c>
      <c r="F61" t="s">
        <v>107</v>
      </c>
      <c r="G61" t="s">
        <v>74</v>
      </c>
      <c r="I61" s="38" t="s">
        <v>108</v>
      </c>
    </row>
    <row r="62" spans="1:11" ht="32" hidden="1">
      <c r="A62" t="s">
        <v>197</v>
      </c>
      <c r="B62" s="125">
        <v>14</v>
      </c>
      <c r="C62" t="s">
        <v>70</v>
      </c>
      <c r="D62" t="s">
        <v>71</v>
      </c>
      <c r="E62" t="s">
        <v>72</v>
      </c>
      <c r="G62" t="s">
        <v>74</v>
      </c>
      <c r="I62" s="38" t="s">
        <v>198</v>
      </c>
      <c r="J62" s="38" t="s">
        <v>199</v>
      </c>
    </row>
    <row r="63" spans="1:11" ht="32" hidden="1">
      <c r="A63" t="s">
        <v>200</v>
      </c>
      <c r="B63" s="125">
        <v>15</v>
      </c>
      <c r="C63" t="s">
        <v>70</v>
      </c>
      <c r="D63" t="s">
        <v>71</v>
      </c>
      <c r="E63" t="s">
        <v>72</v>
      </c>
      <c r="G63" t="s">
        <v>74</v>
      </c>
      <c r="I63" s="38" t="s">
        <v>201</v>
      </c>
      <c r="J63" s="38" t="s">
        <v>199</v>
      </c>
    </row>
    <row r="64" spans="1:11" ht="80" hidden="1">
      <c r="A64" s="174" t="s">
        <v>202</v>
      </c>
      <c r="B64" s="177" t="s">
        <v>69</v>
      </c>
      <c r="C64" s="174" t="s">
        <v>70</v>
      </c>
      <c r="D64" s="174" t="s">
        <v>71</v>
      </c>
      <c r="E64" s="174" t="s">
        <v>203</v>
      </c>
      <c r="F64" s="174" t="s">
        <v>172</v>
      </c>
      <c r="G64" s="174" t="s">
        <v>74</v>
      </c>
      <c r="H64" s="174"/>
      <c r="I64" s="175" t="s">
        <v>204</v>
      </c>
    </row>
    <row r="65" spans="1:9" ht="16">
      <c r="A65" s="170" t="s">
        <v>229</v>
      </c>
      <c r="B65" s="178" t="s">
        <v>69</v>
      </c>
      <c r="C65" t="s">
        <v>70</v>
      </c>
      <c r="D65" t="s">
        <v>71</v>
      </c>
      <c r="E65" t="s">
        <v>92</v>
      </c>
      <c r="F65" t="s">
        <v>107</v>
      </c>
      <c r="G65" t="s">
        <v>74</v>
      </c>
      <c r="I65" s="38" t="s">
        <v>108</v>
      </c>
    </row>
    <row r="66" spans="1:9" ht="16">
      <c r="A66" s="170" t="s">
        <v>230</v>
      </c>
      <c r="B66" s="178" t="s">
        <v>69</v>
      </c>
      <c r="C66" t="s">
        <v>70</v>
      </c>
      <c r="D66" t="s">
        <v>71</v>
      </c>
      <c r="E66" t="s">
        <v>92</v>
      </c>
      <c r="F66" t="s">
        <v>107</v>
      </c>
      <c r="G66" t="s">
        <v>74</v>
      </c>
      <c r="I66" s="38" t="s">
        <v>108</v>
      </c>
    </row>
    <row r="67" spans="1:9" ht="16" hidden="1">
      <c r="A67" t="s">
        <v>207</v>
      </c>
      <c r="B67" s="125">
        <v>2</v>
      </c>
      <c r="C67" t="s">
        <v>70</v>
      </c>
      <c r="D67" t="s">
        <v>71</v>
      </c>
      <c r="E67" t="s">
        <v>72</v>
      </c>
      <c r="G67" t="s">
        <v>74</v>
      </c>
      <c r="I67" s="38" t="s">
        <v>208</v>
      </c>
    </row>
    <row r="68" spans="1:9" ht="288" hidden="1">
      <c r="A68" t="s">
        <v>209</v>
      </c>
      <c r="B68" s="125" t="s">
        <v>210</v>
      </c>
      <c r="C68" t="s">
        <v>78</v>
      </c>
      <c r="D68" t="s">
        <v>71</v>
      </c>
      <c r="E68" t="s">
        <v>79</v>
      </c>
      <c r="F68" t="s">
        <v>80</v>
      </c>
      <c r="G68" t="s">
        <v>74</v>
      </c>
      <c r="I68" s="38" t="s">
        <v>211</v>
      </c>
    </row>
    <row r="69" spans="1:9" ht="128" hidden="1">
      <c r="A69" t="s">
        <v>212</v>
      </c>
      <c r="B69" s="125">
        <v>11</v>
      </c>
      <c r="C69" t="s">
        <v>78</v>
      </c>
      <c r="D69" t="s">
        <v>71</v>
      </c>
      <c r="E69" t="s">
        <v>79</v>
      </c>
      <c r="F69" t="s">
        <v>80</v>
      </c>
      <c r="G69" t="s">
        <v>74</v>
      </c>
      <c r="I69" s="38" t="s">
        <v>213</v>
      </c>
    </row>
    <row r="70" spans="1:9" ht="16">
      <c r="A70" t="s">
        <v>181</v>
      </c>
      <c r="B70" s="125" t="s">
        <v>182</v>
      </c>
      <c r="C70" t="s">
        <v>128</v>
      </c>
      <c r="D70" t="s">
        <v>71</v>
      </c>
      <c r="E70" t="s">
        <v>92</v>
      </c>
      <c r="F70" t="s">
        <v>183</v>
      </c>
      <c r="G70" t="s">
        <v>74</v>
      </c>
      <c r="I70" s="38" t="s">
        <v>184</v>
      </c>
    </row>
    <row r="71" spans="1:9" ht="16">
      <c r="A71" t="s">
        <v>164</v>
      </c>
      <c r="B71" s="125" t="s">
        <v>77</v>
      </c>
      <c r="C71" t="s">
        <v>70</v>
      </c>
      <c r="D71" t="s">
        <v>71</v>
      </c>
      <c r="E71" t="s">
        <v>92</v>
      </c>
      <c r="F71" t="s">
        <v>107</v>
      </c>
      <c r="G71" t="s">
        <v>74</v>
      </c>
      <c r="I71" s="38" t="s">
        <v>108</v>
      </c>
    </row>
    <row r="72" spans="1:9" ht="16">
      <c r="A72" t="s">
        <v>179</v>
      </c>
      <c r="B72" s="125" t="s">
        <v>77</v>
      </c>
      <c r="C72" t="s">
        <v>70</v>
      </c>
      <c r="D72" t="s">
        <v>71</v>
      </c>
      <c r="E72" t="s">
        <v>92</v>
      </c>
      <c r="F72" t="s">
        <v>107</v>
      </c>
      <c r="G72" t="s">
        <v>74</v>
      </c>
      <c r="I72" s="38" t="s">
        <v>108</v>
      </c>
    </row>
    <row r="73" spans="1:9" ht="16">
      <c r="A73" t="s">
        <v>180</v>
      </c>
      <c r="B73" s="125" t="s">
        <v>77</v>
      </c>
      <c r="C73" t="s">
        <v>70</v>
      </c>
      <c r="D73" t="s">
        <v>71</v>
      </c>
      <c r="E73" t="s">
        <v>92</v>
      </c>
      <c r="F73" t="s">
        <v>107</v>
      </c>
      <c r="G73" t="s">
        <v>74</v>
      </c>
      <c r="I73" s="38" t="s">
        <v>108</v>
      </c>
    </row>
    <row r="74" spans="1:9" ht="16">
      <c r="A74" t="s">
        <v>216</v>
      </c>
      <c r="B74" s="125" t="s">
        <v>77</v>
      </c>
      <c r="C74" t="s">
        <v>91</v>
      </c>
      <c r="D74" t="s">
        <v>71</v>
      </c>
      <c r="E74" t="s">
        <v>92</v>
      </c>
      <c r="F74" t="s">
        <v>217</v>
      </c>
      <c r="G74" t="s">
        <v>74</v>
      </c>
      <c r="I74" s="38" t="s">
        <v>108</v>
      </c>
    </row>
    <row r="75" spans="1:9" ht="64">
      <c r="A75" t="s">
        <v>219</v>
      </c>
      <c r="B75" s="125" t="s">
        <v>77</v>
      </c>
      <c r="C75" t="s">
        <v>70</v>
      </c>
      <c r="D75" t="s">
        <v>71</v>
      </c>
      <c r="E75" t="s">
        <v>92</v>
      </c>
      <c r="F75" t="s">
        <v>217</v>
      </c>
      <c r="G75" t="s">
        <v>74</v>
      </c>
      <c r="I75" s="38" t="s">
        <v>220</v>
      </c>
    </row>
    <row r="76" spans="1:9" ht="16">
      <c r="A76" t="s">
        <v>221</v>
      </c>
      <c r="B76" s="125" t="s">
        <v>77</v>
      </c>
      <c r="C76" t="s">
        <v>70</v>
      </c>
      <c r="D76" t="s">
        <v>71</v>
      </c>
      <c r="E76" t="s">
        <v>92</v>
      </c>
      <c r="F76" t="s">
        <v>107</v>
      </c>
      <c r="G76" t="s">
        <v>74</v>
      </c>
      <c r="I76" s="38" t="s">
        <v>108</v>
      </c>
    </row>
    <row r="77" spans="1:9" ht="16">
      <c r="A77" t="s">
        <v>222</v>
      </c>
      <c r="B77" s="125" t="s">
        <v>77</v>
      </c>
      <c r="C77" t="s">
        <v>70</v>
      </c>
      <c r="D77" t="s">
        <v>71</v>
      </c>
      <c r="E77" t="s">
        <v>92</v>
      </c>
      <c r="F77" t="s">
        <v>107</v>
      </c>
      <c r="G77" t="s">
        <v>74</v>
      </c>
      <c r="I77" s="38" t="s">
        <v>108</v>
      </c>
    </row>
    <row r="78" spans="1:9" ht="16">
      <c r="A78" t="s">
        <v>223</v>
      </c>
      <c r="B78" s="125" t="s">
        <v>77</v>
      </c>
      <c r="C78" t="s">
        <v>70</v>
      </c>
      <c r="D78" t="s">
        <v>71</v>
      </c>
      <c r="E78" t="s">
        <v>92</v>
      </c>
      <c r="F78" t="s">
        <v>107</v>
      </c>
      <c r="G78" t="s">
        <v>74</v>
      </c>
      <c r="I78" s="38" t="s">
        <v>108</v>
      </c>
    </row>
    <row r="79" spans="1:9" ht="16">
      <c r="A79" t="s">
        <v>224</v>
      </c>
      <c r="B79" s="125" t="s">
        <v>77</v>
      </c>
      <c r="C79" t="s">
        <v>70</v>
      </c>
      <c r="D79" t="s">
        <v>71</v>
      </c>
      <c r="E79" t="s">
        <v>92</v>
      </c>
      <c r="F79" t="s">
        <v>107</v>
      </c>
      <c r="G79" t="s">
        <v>74</v>
      </c>
      <c r="I79" s="38" t="s">
        <v>108</v>
      </c>
    </row>
    <row r="80" spans="1:9" ht="16">
      <c r="A80" t="s">
        <v>225</v>
      </c>
      <c r="B80" s="125" t="s">
        <v>77</v>
      </c>
      <c r="C80" t="s">
        <v>70</v>
      </c>
      <c r="D80" t="s">
        <v>71</v>
      </c>
      <c r="E80" t="s">
        <v>92</v>
      </c>
      <c r="F80" t="s">
        <v>107</v>
      </c>
      <c r="G80" t="s">
        <v>74</v>
      </c>
      <c r="I80" s="38" t="s">
        <v>108</v>
      </c>
    </row>
    <row r="81" spans="1:9" ht="16">
      <c r="A81" t="s">
        <v>226</v>
      </c>
      <c r="B81" s="125" t="s">
        <v>77</v>
      </c>
      <c r="C81" t="s">
        <v>70</v>
      </c>
      <c r="D81" t="s">
        <v>71</v>
      </c>
      <c r="E81" t="s">
        <v>92</v>
      </c>
      <c r="F81" t="s">
        <v>107</v>
      </c>
      <c r="G81" t="s">
        <v>74</v>
      </c>
      <c r="I81" s="38" t="s">
        <v>108</v>
      </c>
    </row>
    <row r="82" spans="1:9" ht="16">
      <c r="A82" s="172" t="s">
        <v>105</v>
      </c>
      <c r="B82" s="176"/>
      <c r="C82" s="172"/>
      <c r="D82" s="172" t="s">
        <v>106</v>
      </c>
      <c r="E82" s="172" t="s">
        <v>92</v>
      </c>
      <c r="F82" s="172" t="s">
        <v>107</v>
      </c>
      <c r="G82" s="172" t="s">
        <v>74</v>
      </c>
      <c r="H82" s="172"/>
      <c r="I82" s="173" t="s">
        <v>108</v>
      </c>
    </row>
    <row r="83" spans="1:9" ht="32">
      <c r="A83" s="172" t="s">
        <v>138</v>
      </c>
      <c r="B83" s="176"/>
      <c r="C83" s="172" t="s">
        <v>70</v>
      </c>
      <c r="D83" s="172" t="s">
        <v>106</v>
      </c>
      <c r="E83" s="172" t="s">
        <v>92</v>
      </c>
      <c r="F83" s="172" t="s">
        <v>107</v>
      </c>
      <c r="G83" s="172" t="s">
        <v>74</v>
      </c>
      <c r="H83" s="172"/>
      <c r="I83" s="173" t="s">
        <v>139</v>
      </c>
    </row>
    <row r="84" spans="1:9" ht="16" hidden="1">
      <c r="A84" t="s">
        <v>231</v>
      </c>
      <c r="B84" s="125">
        <v>3</v>
      </c>
      <c r="C84" t="s">
        <v>70</v>
      </c>
      <c r="D84" t="s">
        <v>71</v>
      </c>
      <c r="E84" t="s">
        <v>72</v>
      </c>
      <c r="I84" s="38" t="s">
        <v>232</v>
      </c>
    </row>
    <row r="85" spans="1:9" hidden="1">
      <c r="A85" t="s">
        <v>233</v>
      </c>
      <c r="C85" t="s">
        <v>234</v>
      </c>
      <c r="E85" t="s">
        <v>72</v>
      </c>
    </row>
    <row r="86" spans="1:9" hidden="1">
      <c r="A86" t="s">
        <v>235</v>
      </c>
      <c r="C86" t="s">
        <v>236</v>
      </c>
      <c r="E86" t="s">
        <v>236</v>
      </c>
    </row>
    <row r="87" spans="1:9" hidden="1">
      <c r="A87" t="s">
        <v>237</v>
      </c>
      <c r="E87" t="s">
        <v>72</v>
      </c>
    </row>
    <row r="88" spans="1:9" hidden="1">
      <c r="A88" t="s">
        <v>238</v>
      </c>
      <c r="C88" t="s">
        <v>70</v>
      </c>
      <c r="D88" t="s">
        <v>71</v>
      </c>
      <c r="E88" t="s">
        <v>72</v>
      </c>
      <c r="F88" t="s">
        <v>107</v>
      </c>
      <c r="H88" t="s">
        <v>106</v>
      </c>
    </row>
    <row r="89" spans="1:9" ht="32">
      <c r="A89" s="172" t="s">
        <v>188</v>
      </c>
      <c r="B89" s="176"/>
      <c r="C89" s="172" t="s">
        <v>70</v>
      </c>
      <c r="D89" s="172" t="s">
        <v>106</v>
      </c>
      <c r="E89" s="172" t="s">
        <v>92</v>
      </c>
      <c r="F89" s="172" t="s">
        <v>107</v>
      </c>
      <c r="G89" s="172" t="s">
        <v>74</v>
      </c>
      <c r="H89" s="172"/>
      <c r="I89" s="173" t="s">
        <v>189</v>
      </c>
    </row>
  </sheetData>
  <autoFilter ref="A1:N89" xr:uid="{E8BDA098-55C2-4F0D-BE95-1BB04C200FAC}">
    <filterColumn colId="4">
      <filters>
        <filter val="DBQuery"/>
      </filters>
    </filterColumn>
    <sortState xmlns:xlrd2="http://schemas.microsoft.com/office/spreadsheetml/2017/richdata2" ref="A7:N89">
      <sortCondition ref="B1:B89"/>
    </sortState>
  </autoFilter>
  <hyperlinks>
    <hyperlink ref="A75" r:id="rId1" tooltip="ALL - MAWM - Inventory Adjustment PIX w/ Null PO Line" display="https://awsssplunk01.corp.rndc-usa.com:8000/en-US/app/search/alert?s=%2FservicesNS%2Fnobody%2Fsplunk_app_db_connect%2Fsaved%2Fsearches%2FALL%2520-%2520MAWM%2520-%2520Inventory%2520Adjustment%2520PIX%2520w%25252F%2520Null%2520PO%2520Line" xr:uid="{F3DCDD82-815A-4BF1-8191-A6E404837E98}"/>
    <hyperlink ref="A76" r:id="rId2" tooltip="ALL - MAWM - In Packing oLPNS &gt; 5 Minutes" display="https://awsssplunk01.corp.rndc-usa.com:8000/en-US/app/search/alert?s=%2FservicesNS%2Fnobody%2Fsearch%2Fsaved%2Fsearches%2FALL%2520-%2520MAWM%2520-%2520In%2520Packing%2520oLPNS%2520%253E%25205%2520Minutes" xr:uid="{BD8AC9F9-EEC6-4491-9AB8-7E07A6B1C040}"/>
    <hyperlink ref="A77" r:id="rId3" tooltip="ALL - MAWM - Loaded Shipments w/ no Ship Confirm &gt; 6 hours" display="https://awsssplunk01.corp.rndc-usa.com:8000/en-US/app/search/alert?s=%2FservicesNS%2Fnobody%2Fsearch%2Fsaved%2Fsearches%2FALL%2520-%2520MAWM%2520-%2520Loaded%2520Shipments%2520w%25252F%2520no%2520Ship%2520Confirm%2520%253E%25206%2520hours" xr:uid="{B1D9BBF0-E59F-454C-92C5-0AE8DF946FF4}"/>
    <hyperlink ref="A78" r:id="rId4" tooltip="ALL - MAWM - Putaway Task is Open but iLPN is Putaway" display="https://awsssplunk01.corp.rndc-usa.com:8000/en-US/app/search/alert?s=%2FservicesNS%2Fnobody%2Fsearch%2Fsaved%2Fsearches%2FALL%2520-%2520MAWM%2520-%2520Putaway%2520Task%2520is%2520Open%2520but%2520iLPN%2520is%2520Putaway" xr:uid="{56E902EA-D560-43D9-9CD7-EDADC0665518}"/>
    <hyperlink ref="A79" r:id="rId5" tooltip="ALL - MAWM - Task Completed or Cancelled w/ Open Task Details" display="https://awsssplunk01.corp.rndc-usa.com:8000/en-US/app/search/alert?s=%2FservicesNS%2Fnobody%2Fsearch%2Fsaved%2Fsearches%2FALL%2520-%2520MAWM%2520-%2520Task%2520Completed%2520or%2520Cancelled%2520w%25252F%2520Open%2520Task%2520Details" xr:uid="{979250B9-2FAB-438C-B7C7-339DCB5B91E6}"/>
    <hyperlink ref="A80" r:id="rId6" tooltip="ALL - MAWM - Task Open w/ Completed or Cancelled Task Details" display="https://awsssplunk01.corp.rndc-usa.com:8000/en-US/app/search/alert?s=%2FservicesNS%2Fnobody%2Fsearch%2Fsaved%2Fsearches%2FALL%2520-%2520MAWM%2520-%2520Task%2520Open%2520w%25252F%2520Completed%2520or%2520Cancelled%2520Task%2520Details" xr:uid="{FBDB9039-D961-4006-BB50-6CC25B3FD4EC}"/>
    <hyperlink ref="A81" r:id="rId7" tooltip="ALL - MAWM - Task ‘In Progress’ w/ Completed or Cancelled Task Details" display="https://awsssplunk01.corp.rndc-usa.com:8000/en-US/app/search/alert?s=%2FservicesNS%2Fnobody%2Fsearch%2Fsaved%2Fsearches%2FALL%2520-%2520MAWM%2520-%2520Task%2520%25E2%2580%2598In%2520Progress%25E2%2580%2599%2520w%25252F%2520Completed%2520or%2520Cancelled%2520Task%2520Details" xr:uid="{A951BAFE-D115-47FD-9D5C-F17CE7A6C34D}"/>
    <hyperlink ref="A42" r:id="rId8" tooltip="ALL - MAWM - Unprocessed or Failed Ship Confirms Last 24 Hours" display="https://awsssplunk01.corp.rndc-usa.com:8000/en-US/app/search/alert?s=%2FservicesNS%2Fnobody%2Fsearch%2Fsaved%2Fsearches%2FALL%2520-%2520MAWM%2520-%2520Unprocessed%2520or%2520Failed%2520Ship%2520Confirms%2520Last%252024%2520Hours" xr:uid="{CB1040DC-B66E-48EA-B74F-E2DF554DE97F}"/>
    <hyperlink ref="A61" r:id="rId9" tooltip="All - MAWM - Multiple Order Lines Per Original Order Line" display="https://awsssplunk01.corp.rndc-usa.com:8000/en-US/app/search/alert?s=%2FservicesNS%2Fnobody%2Fsearch%2Fsaved%2Fsearches%2FAll%2520-%2520MAWM%2520-%2520Multiple%2520Order%2520Lines%2520Per%2520Original%2520Order%2520Line" xr:uid="{58CE0F3F-640E-424E-873F-D807883BB85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B834-24C3-4507-B549-BA4B8046FEE4}">
  <dimension ref="A2:P68"/>
  <sheetViews>
    <sheetView zoomScale="85" workbookViewId="0">
      <pane xSplit="1" ySplit="2" topLeftCell="B10" activePane="bottomRight" state="frozen"/>
      <selection pane="topRight" activeCell="B1" sqref="B1"/>
      <selection pane="bottomLeft" activeCell="A3" sqref="A3"/>
      <selection pane="bottomRight" activeCell="B34" sqref="B34:M65"/>
    </sheetView>
    <sheetView workbookViewId="1"/>
  </sheetViews>
  <sheetFormatPr baseColWidth="10" defaultColWidth="8.83203125" defaultRowHeight="15"/>
  <cols>
    <col min="2" max="2" width="54.83203125" style="38" bestFit="1" customWidth="1"/>
    <col min="3" max="3" width="10.5" customWidth="1"/>
    <col min="4" max="4" width="12.1640625" customWidth="1"/>
    <col min="5" max="5" width="74.1640625" style="38" customWidth="1"/>
    <col min="6" max="6" width="57.83203125" style="38" customWidth="1"/>
    <col min="7" max="7" width="11.5" style="38" customWidth="1"/>
    <col min="8" max="8" width="9.5" style="38" customWidth="1"/>
    <col min="9" max="9" width="12.1640625" style="38" customWidth="1"/>
    <col min="10" max="10" width="11.83203125" style="38" customWidth="1"/>
    <col min="11" max="12" width="12" style="38" customWidth="1"/>
    <col min="13" max="13" width="49" style="38" customWidth="1"/>
  </cols>
  <sheetData>
    <row r="2" spans="1:16" ht="16">
      <c r="A2" s="169" t="s">
        <v>106</v>
      </c>
      <c r="B2" s="171" t="str">
        <f>'Final_List-Alerts'!A1</f>
        <v>Tasks</v>
      </c>
      <c r="C2" s="169" t="s">
        <v>242</v>
      </c>
      <c r="D2" s="169" t="s">
        <v>56</v>
      </c>
      <c r="E2" s="171" t="s">
        <v>243</v>
      </c>
      <c r="F2" s="171" t="s">
        <v>244</v>
      </c>
      <c r="G2" s="171" t="s">
        <v>245</v>
      </c>
      <c r="H2" s="38" t="s">
        <v>246</v>
      </c>
      <c r="I2" s="171" t="s">
        <v>247</v>
      </c>
      <c r="J2" s="38" t="s">
        <v>248</v>
      </c>
      <c r="K2" s="38" t="s">
        <v>249</v>
      </c>
      <c r="L2" s="38" t="s">
        <v>250</v>
      </c>
      <c r="M2" s="38" t="s">
        <v>251</v>
      </c>
      <c r="N2" s="38" t="s">
        <v>252</v>
      </c>
      <c r="O2" s="171" t="s">
        <v>253</v>
      </c>
      <c r="P2" t="s">
        <v>254</v>
      </c>
    </row>
    <row r="3" spans="1:16" ht="30">
      <c r="A3">
        <v>1</v>
      </c>
      <c r="B3" s="192" t="str">
        <f>'Final_List-Alerts'!A58</f>
        <v>WILL CALL</v>
      </c>
      <c r="C3" s="190">
        <f t="shared" ref="C3:C9" si="0">D3</f>
        <v>1</v>
      </c>
      <c r="D3" s="190">
        <f>'Final_List-Alerts'!B58</f>
        <v>1</v>
      </c>
      <c r="E3" s="192"/>
      <c r="F3" s="192"/>
      <c r="G3" s="192"/>
      <c r="I3" s="192"/>
      <c r="J3" s="194">
        <v>1</v>
      </c>
      <c r="L3" s="194"/>
      <c r="M3" s="194">
        <v>1</v>
      </c>
      <c r="N3" s="194" t="s">
        <v>255</v>
      </c>
      <c r="O3" s="38"/>
    </row>
    <row r="4" spans="1:16" ht="75">
      <c r="A4">
        <f t="shared" ref="A4:A21" si="1">A3+1</f>
        <v>2</v>
      </c>
      <c r="B4" s="38" t="str">
        <f>'Final_List-Alerts'!A67</f>
        <v>AU01 FAILURE [URGENT]</v>
      </c>
      <c r="C4">
        <f t="shared" si="0"/>
        <v>2</v>
      </c>
      <c r="D4">
        <f>'Final_List-Alerts'!B67</f>
        <v>2</v>
      </c>
      <c r="E4" s="38" t="s">
        <v>256</v>
      </c>
      <c r="F4" s="38" t="s">
        <v>257</v>
      </c>
      <c r="J4" s="38">
        <v>1</v>
      </c>
      <c r="M4" s="38">
        <v>1</v>
      </c>
      <c r="N4" s="38"/>
      <c r="O4" s="38"/>
    </row>
    <row r="5" spans="1:16" ht="60">
      <c r="A5">
        <f t="shared" si="1"/>
        <v>3</v>
      </c>
      <c r="B5" s="38" t="str">
        <f>'Final_List-Alerts'!A84</f>
        <v>ATL In Transit RMA ASNs &gt; 30 Days Splunk Alert</v>
      </c>
      <c r="C5">
        <f t="shared" si="0"/>
        <v>3</v>
      </c>
      <c r="D5">
        <f>'Final_List-Alerts'!B84</f>
        <v>3</v>
      </c>
      <c r="E5" s="38" t="s">
        <v>258</v>
      </c>
      <c r="F5" s="38" t="s">
        <v>259</v>
      </c>
      <c r="I5" s="38">
        <v>1</v>
      </c>
      <c r="J5" s="38">
        <v>1</v>
      </c>
      <c r="M5" s="38">
        <v>1</v>
      </c>
      <c r="N5" s="38"/>
      <c r="O5" s="38" t="str">
        <f>"questions at " &amp; misc.questions!A3 &amp; "." &amp; misc.questions!B3&amp; " org id haw, kap, kau, mau, oah "</f>
        <v xml:space="preserve">questions at hawaii-in-transit-rma-asns.do we need to do both stage and prod org id haw, kap, kau, mau, oah </v>
      </c>
      <c r="P5" t="str">
        <f>MID(E5, LEN("source=""/splunk/manhattan_active/"), FIND("csv", E5) - LEN("source=""/splunk/manhattan_active/")+3)</f>
        <v>/ALLMAWM/hawaii-in-transit-rma-asns/Logs/hawaii-in-transit-rma-asns-HAW.csv</v>
      </c>
    </row>
    <row r="6" spans="1:16" ht="60">
      <c r="A6">
        <f t="shared" si="1"/>
        <v>4</v>
      </c>
      <c r="B6" s="38" t="str">
        <f>'Final_List-Alerts'!A18</f>
        <v>INVENTORY SYNC SCHEDULE API FAILED</v>
      </c>
      <c r="C6">
        <f t="shared" si="0"/>
        <v>13</v>
      </c>
      <c r="D6">
        <f>'Final_List-Alerts'!B18</f>
        <v>13</v>
      </c>
      <c r="E6" s="38" t="s">
        <v>260</v>
      </c>
      <c r="I6" s="38">
        <v>1</v>
      </c>
      <c r="J6" s="38">
        <v>1</v>
      </c>
      <c r="M6" s="38">
        <v>1</v>
      </c>
      <c r="N6" s="38"/>
      <c r="P6" t="str">
        <f>MID(E6, LEN("source=""/splunk/manhattan_active/"), FIND("csv", E6) - LEN("source=""/splunk/manhattan_active/")+3)</f>
        <v>/ABQ/inventory_sync_schedule/inventory_sync_schedule_check_status.csv</v>
      </c>
    </row>
    <row r="7" spans="1:16">
      <c r="A7">
        <f t="shared" si="1"/>
        <v>5</v>
      </c>
      <c r="B7" s="41" t="str">
        <f>'Final_List-Alerts'!A62</f>
        <v>Mark Dynamic Case Pick (dynamic_casepick_liquor)</v>
      </c>
      <c r="C7">
        <f t="shared" si="0"/>
        <v>14</v>
      </c>
      <c r="D7">
        <f>'Final_List-Alerts'!B62</f>
        <v>14</v>
      </c>
      <c r="N7" s="38"/>
      <c r="O7" s="38"/>
    </row>
    <row r="8" spans="1:16">
      <c r="A8">
        <f t="shared" si="1"/>
        <v>6</v>
      </c>
      <c r="B8" s="41" t="str">
        <f>'Final_List-Alerts'!A63</f>
        <v>Mark Dynamic Wine (dynamic_casepick_wine)</v>
      </c>
      <c r="C8">
        <f t="shared" si="0"/>
        <v>15</v>
      </c>
      <c r="D8">
        <f>'Final_List-Alerts'!B63</f>
        <v>15</v>
      </c>
      <c r="N8" s="38"/>
      <c r="O8" s="38"/>
    </row>
    <row r="9" spans="1:16" ht="64">
      <c r="A9">
        <f t="shared" si="1"/>
        <v>7</v>
      </c>
      <c r="B9" s="38" t="str">
        <f>'Final_List-Alerts'!A19</f>
        <v>ITEM IMAGE URL FAILURE</v>
      </c>
      <c r="C9">
        <f t="shared" si="0"/>
        <v>17</v>
      </c>
      <c r="D9">
        <f>'Final_List-Alerts'!B19</f>
        <v>17</v>
      </c>
      <c r="E9" s="41" t="s">
        <v>261</v>
      </c>
      <c r="G9" s="41">
        <v>1</v>
      </c>
      <c r="I9" s="38">
        <v>1</v>
      </c>
      <c r="J9" s="38">
        <v>1</v>
      </c>
      <c r="M9" s="38">
        <v>1</v>
      </c>
      <c r="N9" s="38"/>
      <c r="P9" t="str">
        <f t="shared" ref="P9:P28" si="2">MID(E9, LEN("source=""/splunk/manhattan_active/"), FIND("csv", E9) - LEN("source=""/splunk/manhattan_active/")+3)</f>
        <v>/ABQ/item_image_url/itemURL_bulk_import_check_status.csv</v>
      </c>
    </row>
    <row r="10" spans="1:16" ht="80">
      <c r="A10">
        <f t="shared" si="1"/>
        <v>8</v>
      </c>
      <c r="B10" s="38" t="str">
        <f>'Final_List-Alerts'!A9</f>
        <v>DIVERT CONFIRMATION DOWN</v>
      </c>
      <c r="C10">
        <v>100</v>
      </c>
      <c r="D10" t="str">
        <f>'Final_List-Alerts'!B9</f>
        <v>High</v>
      </c>
      <c r="E10" s="38" t="s">
        <v>262</v>
      </c>
      <c r="I10" s="38">
        <v>1</v>
      </c>
      <c r="J10" s="38">
        <v>1</v>
      </c>
      <c r="M10" s="38">
        <v>1</v>
      </c>
      <c r="N10" s="38"/>
      <c r="O10" s="38"/>
      <c r="P10" t="str">
        <f t="shared" si="2"/>
        <v>/ALLMAWM/au02_divert_confirm_source_destination_down/au02_divert_confirm_source_destination_down_Prod.csv</v>
      </c>
    </row>
    <row r="11" spans="1:16" ht="75">
      <c r="A11">
        <f t="shared" si="1"/>
        <v>9</v>
      </c>
      <c r="B11" s="38" t="str">
        <f>'Final_List-Alerts'!A36</f>
        <v>PICK LOCATIONS WITH NEGATIVE TBF API FAILURE</v>
      </c>
      <c r="C11">
        <v>100</v>
      </c>
      <c r="D11" t="str">
        <f>'Final_List-Alerts'!B36</f>
        <v>High</v>
      </c>
      <c r="E11" s="38" t="s">
        <v>263</v>
      </c>
      <c r="I11" s="38">
        <v>1</v>
      </c>
      <c r="J11" s="38">
        <v>1</v>
      </c>
      <c r="L11" s="38">
        <v>1</v>
      </c>
      <c r="M11" s="38">
        <v>1</v>
      </c>
      <c r="N11" s="38"/>
      <c r="O11" s="38"/>
      <c r="P11" t="str">
        <f t="shared" si="2"/>
        <v>/ABQ/pick_loc_negative_tbf/pick_loc_negative_tbf_status.csv</v>
      </c>
    </row>
    <row r="12" spans="1:16" ht="75">
      <c r="A12">
        <f t="shared" si="1"/>
        <v>10</v>
      </c>
      <c r="B12" s="38" t="str">
        <f>'Final_List-Alerts'!A37</f>
        <v>PICK LOCATIONS WITH TBF QUANTITY AND NO OPEN TASK DETAILS API FAILURE</v>
      </c>
      <c r="C12">
        <v>100</v>
      </c>
      <c r="D12" t="str">
        <f>'Final_List-Alerts'!B37</f>
        <v>High</v>
      </c>
      <c r="E12" s="38" t="s">
        <v>264</v>
      </c>
      <c r="I12" s="38">
        <v>1</v>
      </c>
      <c r="J12" s="38">
        <v>1</v>
      </c>
      <c r="L12" s="38">
        <v>1</v>
      </c>
      <c r="M12" s="38">
        <v>1</v>
      </c>
      <c r="N12" s="38"/>
      <c r="O12" s="38"/>
      <c r="P12" t="str">
        <f t="shared" si="2"/>
        <v>/ABQ/pick_loc_tbf_qty_taskdtls/pick_loc_tbf_qty_taskdtls_status.csv</v>
      </c>
    </row>
    <row r="13" spans="1:16" ht="75">
      <c r="A13">
        <f t="shared" si="1"/>
        <v>11</v>
      </c>
      <c r="B13" s="38" t="str">
        <f>'Final_List-Alerts'!A43</f>
        <v>SLOTTING ITEM DEMAND PACK FAILURE</v>
      </c>
      <c r="C13">
        <v>100</v>
      </c>
      <c r="D13" t="str">
        <f>'Final_List-Alerts'!B43</f>
        <v>High</v>
      </c>
      <c r="E13" s="38" t="s">
        <v>265</v>
      </c>
      <c r="I13" s="38">
        <v>1</v>
      </c>
      <c r="J13" s="38">
        <v>1</v>
      </c>
      <c r="L13" s="38">
        <v>1</v>
      </c>
      <c r="M13" s="38">
        <v>1</v>
      </c>
      <c r="N13" s="38"/>
      <c r="O13" s="38"/>
      <c r="P13" t="str">
        <f t="shared" si="2"/>
        <v>/ABQ/slot_itemdemand_pack/slotitemdemand_pack_check_status.csv</v>
      </c>
    </row>
    <row r="14" spans="1:16" ht="75">
      <c r="A14">
        <f t="shared" si="1"/>
        <v>12</v>
      </c>
      <c r="B14" s="38" t="str">
        <f>'Final_List-Alerts'!A44</f>
        <v>SLOTTING ITEM DEMAND UNIT FAILURE</v>
      </c>
      <c r="C14">
        <v>100</v>
      </c>
      <c r="D14" t="str">
        <f>'Final_List-Alerts'!B44</f>
        <v>High</v>
      </c>
      <c r="E14" s="38" t="s">
        <v>266</v>
      </c>
      <c r="I14" s="38">
        <v>1</v>
      </c>
      <c r="J14" s="38">
        <v>1</v>
      </c>
      <c r="L14" s="38">
        <v>1</v>
      </c>
      <c r="M14" s="38">
        <v>1</v>
      </c>
      <c r="N14" s="38"/>
      <c r="O14" s="38"/>
      <c r="P14" t="str">
        <f t="shared" si="2"/>
        <v>/ABQ/slot_itemdemand_unit/slotitemdemand_unit_check_status.csv</v>
      </c>
    </row>
    <row r="15" spans="1:16" ht="120">
      <c r="A15">
        <f t="shared" si="1"/>
        <v>13</v>
      </c>
      <c r="B15" s="38" t="str">
        <f>'Final_List-Alerts'!A14</f>
        <v>ENDPOINT STATUS</v>
      </c>
      <c r="C15">
        <v>200</v>
      </c>
      <c r="D15" t="str">
        <f>'Final_List-Alerts'!B14</f>
        <v>Medium</v>
      </c>
      <c r="E15" s="38" t="s">
        <v>267</v>
      </c>
      <c r="I15" s="38">
        <v>1</v>
      </c>
      <c r="J15" s="38">
        <v>1</v>
      </c>
      <c r="M15" s="38">
        <v>1</v>
      </c>
      <c r="N15" s="38"/>
      <c r="O15" s="38"/>
      <c r="P15" t="str">
        <f t="shared" si="2"/>
        <v>/AUB/endpoint_status/endpoint_status.csv</v>
      </c>
    </row>
    <row r="16" spans="1:16" ht="60">
      <c r="A16">
        <f t="shared" si="1"/>
        <v>14</v>
      </c>
      <c r="B16" s="38" t="str">
        <f>'Final_List-Alerts'!A26</f>
        <v>LPNS WITH CONSUMED/CANCELLED ALLOCATED QUANTITY API FAILURE</v>
      </c>
      <c r="C16">
        <v>200</v>
      </c>
      <c r="D16" t="str">
        <f>'Final_List-Alerts'!B26</f>
        <v>Meium</v>
      </c>
      <c r="E16" s="38" t="s">
        <v>268</v>
      </c>
      <c r="I16" s="38">
        <v>1</v>
      </c>
      <c r="J16" s="38">
        <v>1</v>
      </c>
      <c r="L16" s="38">
        <v>1</v>
      </c>
      <c r="M16" s="38">
        <v>1</v>
      </c>
      <c r="N16" s="38"/>
      <c r="O16" s="38"/>
      <c r="P16" t="str">
        <f t="shared" si="2"/>
        <v>/ABQ/alloclpns_noopntskdtls/rebuild_lpn_status.csv</v>
      </c>
    </row>
    <row r="17" spans="1:16" ht="60">
      <c r="A17">
        <f t="shared" si="1"/>
        <v>15</v>
      </c>
      <c r="B17" s="38" t="str">
        <f>'Final_List-Alerts'!A38</f>
        <v>PUTAWAY TASK DETAILS API FAILURE</v>
      </c>
      <c r="C17">
        <v>200</v>
      </c>
      <c r="D17" t="str">
        <f>'Final_List-Alerts'!B38</f>
        <v>Medium</v>
      </c>
      <c r="E17" s="38" t="s">
        <v>269</v>
      </c>
      <c r="I17" s="38">
        <v>1</v>
      </c>
      <c r="J17" s="38">
        <v>1</v>
      </c>
      <c r="L17" s="38">
        <v>1</v>
      </c>
      <c r="M17" s="38">
        <v>1</v>
      </c>
      <c r="N17" s="38"/>
      <c r="O17" s="38"/>
      <c r="P17" t="str">
        <f t="shared" si="2"/>
        <v>/ABQ/ptwytskdtlsopen_nottiedtskhdr/putaway_task_details_status.csv</v>
      </c>
    </row>
    <row r="18" spans="1:16" ht="60">
      <c r="A18">
        <f t="shared" si="1"/>
        <v>16</v>
      </c>
      <c r="B18" s="38" t="str">
        <f>'Final_List-Alerts'!A39</f>
        <v>RECOUP SORTING UPDATE API FAILURE</v>
      </c>
      <c r="C18">
        <v>200</v>
      </c>
      <c r="D18" t="str">
        <f>'Final_List-Alerts'!B39</f>
        <v>Medium</v>
      </c>
      <c r="E18" s="38" t="s">
        <v>270</v>
      </c>
      <c r="I18" s="38">
        <v>1</v>
      </c>
      <c r="J18" s="38">
        <v>1</v>
      </c>
      <c r="L18" s="38">
        <v>1</v>
      </c>
      <c r="M18" s="38">
        <v>1</v>
      </c>
      <c r="N18" s="38"/>
      <c r="O18" s="38"/>
      <c r="P18" t="str">
        <f t="shared" si="2"/>
        <v>/DFB/recoup_sort_update_lpn/update_lpn_status.csv</v>
      </c>
    </row>
    <row r="19" spans="1:16" ht="60">
      <c r="A19">
        <f t="shared" si="1"/>
        <v>17</v>
      </c>
      <c r="B19" s="38" t="str">
        <f>'Final_List-Alerts'!A45</f>
        <v>SLOTTING LIA DELETE PK RECORDS API FAILURE</v>
      </c>
      <c r="C19">
        <v>200</v>
      </c>
      <c r="D19" t="str">
        <f>'Final_List-Alerts'!B45</f>
        <v>Medium</v>
      </c>
      <c r="E19" s="38" t="s">
        <v>271</v>
      </c>
      <c r="I19" s="38">
        <v>1</v>
      </c>
      <c r="J19" s="38">
        <v>1</v>
      </c>
      <c r="L19" s="38">
        <v>1</v>
      </c>
      <c r="M19" s="38">
        <v>1</v>
      </c>
      <c r="N19" s="38"/>
      <c r="O19" s="38"/>
      <c r="P19" t="str">
        <f t="shared" si="2"/>
        <v>/ABQ/slotting_lia_delete/slotting_lia_delete_status.csv</v>
      </c>
    </row>
    <row r="20" spans="1:16" ht="60">
      <c r="A20">
        <f t="shared" si="1"/>
        <v>18</v>
      </c>
      <c r="B20" s="38" t="str">
        <f>'Final_List-Alerts'!A2</f>
        <v>ALLOCATED LPNS WITH NO OPEN TASK DETAILS API FAILURE</v>
      </c>
      <c r="C20">
        <v>300</v>
      </c>
      <c r="D20" t="str">
        <f>'Final_List-Alerts'!B2</f>
        <v>Low</v>
      </c>
      <c r="E20" s="38" t="s">
        <v>268</v>
      </c>
      <c r="F20" s="191" t="s">
        <v>272</v>
      </c>
      <c r="G20" s="191"/>
      <c r="I20" s="191">
        <v>1</v>
      </c>
      <c r="J20" s="191">
        <v>1</v>
      </c>
      <c r="L20" s="191">
        <v>1</v>
      </c>
      <c r="M20" s="191"/>
      <c r="N20" s="191"/>
      <c r="O20" s="38"/>
      <c r="P20" t="str">
        <f t="shared" si="2"/>
        <v>/ABQ/alloclpns_noopntskdtls/rebuild_lpn_status.csv</v>
      </c>
    </row>
    <row r="21" spans="1:16" ht="105">
      <c r="A21">
        <f t="shared" si="1"/>
        <v>19</v>
      </c>
      <c r="B21" s="38" t="str">
        <f>'Final_List-Alerts'!A13</f>
        <v>ENDPOINT QUEUE FAILURES</v>
      </c>
      <c r="C21">
        <v>300</v>
      </c>
      <c r="D21" t="str">
        <f>'Final_List-Alerts'!B13</f>
        <v>Low</v>
      </c>
      <c r="E21" s="38" t="s">
        <v>273</v>
      </c>
      <c r="I21" s="38">
        <v>1</v>
      </c>
      <c r="J21" s="38">
        <v>1</v>
      </c>
      <c r="M21" s="38">
        <v>1</v>
      </c>
      <c r="N21" s="38"/>
      <c r="O21" s="38"/>
      <c r="P21" t="str">
        <f t="shared" si="2"/>
        <v>/ABQ/failure_count/message_failure_count_list.csv</v>
      </c>
    </row>
    <row r="22" spans="1:16" ht="60">
      <c r="A22">
        <v>1</v>
      </c>
      <c r="B22" s="38" t="str">
        <f>'Final_List-Alerts'!A16</f>
        <v>ILPNS WITH NEGATIVE ALLOCATED QUANTITY API FAILURE</v>
      </c>
      <c r="C22">
        <v>300</v>
      </c>
      <c r="D22" t="str">
        <f>'Final_List-Alerts'!B16</f>
        <v>Low</v>
      </c>
      <c r="E22" s="38" t="s">
        <v>274</v>
      </c>
      <c r="I22" s="38">
        <v>1</v>
      </c>
      <c r="J22" s="38">
        <v>1</v>
      </c>
      <c r="M22" s="38">
        <v>1</v>
      </c>
      <c r="N22" s="38"/>
      <c r="O22" s="38"/>
      <c r="P22" t="str">
        <f t="shared" si="2"/>
        <v>/ABQ/lpn_negative_allocation/update_lpn_inv_check_status.csv</v>
      </c>
    </row>
    <row r="23" spans="1:16" ht="60">
      <c r="A23">
        <f t="shared" ref="A23:A30" si="3">A22+1</f>
        <v>2</v>
      </c>
      <c r="B23" s="38" t="str">
        <f>'Final_List-Alerts'!A23</f>
        <v>LOCATION REBUILD FAILURE</v>
      </c>
      <c r="C23">
        <v>300</v>
      </c>
      <c r="D23" t="str">
        <f>'Final_List-Alerts'!B23</f>
        <v>Low</v>
      </c>
      <c r="E23" s="38" t="s">
        <v>275</v>
      </c>
      <c r="I23" s="38">
        <v>1</v>
      </c>
      <c r="J23" s="38">
        <v>1</v>
      </c>
      <c r="M23" s="38">
        <v>1</v>
      </c>
      <c r="N23" s="38"/>
      <c r="O23" s="38"/>
      <c r="P23" t="str">
        <f t="shared" si="2"/>
        <v>/ABQ/location_rebuild/location_rebuild_check_status.csv</v>
      </c>
    </row>
    <row r="24" spans="1:16" ht="75">
      <c r="A24">
        <f t="shared" si="3"/>
        <v>3</v>
      </c>
      <c r="B24" s="38" t="str">
        <f>'Final_List-Alerts'!A29</f>
        <v>OPEN PICK PACK TASK DETAILS API FAILURE</v>
      </c>
      <c r="C24">
        <v>300</v>
      </c>
      <c r="D24" t="str">
        <f>'Final_List-Alerts'!B29</f>
        <v>Low</v>
      </c>
      <c r="E24" s="38" t="s">
        <v>276</v>
      </c>
      <c r="I24" s="38">
        <v>1</v>
      </c>
      <c r="J24" s="38">
        <v>1</v>
      </c>
      <c r="L24" s="38">
        <v>1</v>
      </c>
      <c r="M24" s="38">
        <v>1</v>
      </c>
      <c r="N24" s="38"/>
      <c r="O24" s="38"/>
      <c r="P24" t="str">
        <f t="shared" si="2"/>
        <v>/ABQ/tskdtls_comp_openpickpacktskdtls/open_pickpack_task_details_status.csv</v>
      </c>
    </row>
    <row r="25" spans="1:16" ht="60">
      <c r="A25">
        <f t="shared" si="3"/>
        <v>4</v>
      </c>
      <c r="B25" s="38" t="str">
        <f>'Final_List-Alerts'!A31</f>
        <v>OPEN TASK API FAILURE</v>
      </c>
      <c r="C25">
        <v>300</v>
      </c>
      <c r="D25" t="str">
        <f>'Final_List-Alerts'!B31</f>
        <v>Low</v>
      </c>
      <c r="E25" s="38" t="s">
        <v>277</v>
      </c>
      <c r="I25" s="38">
        <v>1</v>
      </c>
      <c r="J25" s="38">
        <v>1</v>
      </c>
      <c r="L25" s="38">
        <v>1</v>
      </c>
      <c r="M25" s="38">
        <v>1</v>
      </c>
      <c r="N25" s="38"/>
      <c r="O25" s="38"/>
      <c r="P25" t="str">
        <f t="shared" si="2"/>
        <v>/ABQ/open_task/open_task_status.csv</v>
      </c>
    </row>
    <row r="26" spans="1:16" ht="60">
      <c r="A26">
        <f t="shared" si="3"/>
        <v>5</v>
      </c>
      <c r="B26" s="38" t="str">
        <f>'Final_List-Alerts'!A32</f>
        <v>OPEN TASK DETAILS API FAILURE</v>
      </c>
      <c r="C26">
        <v>300</v>
      </c>
      <c r="D26" t="str">
        <f>'Final_List-Alerts'!B32</f>
        <v>Low</v>
      </c>
      <c r="E26" s="38" t="s">
        <v>278</v>
      </c>
      <c r="I26" s="38">
        <v>1</v>
      </c>
      <c r="J26" s="38">
        <v>1</v>
      </c>
      <c r="L26" s="38">
        <v>1</v>
      </c>
      <c r="M26" s="38">
        <v>1</v>
      </c>
      <c r="N26" s="38"/>
      <c r="O26" s="38"/>
      <c r="P26" t="str">
        <f t="shared" si="2"/>
        <v>/ABQ/open_task_details/open_task_details_status.csv</v>
      </c>
    </row>
    <row r="27" spans="1:16" ht="60">
      <c r="A27">
        <f t="shared" si="3"/>
        <v>6</v>
      </c>
      <c r="B27" s="38" t="str">
        <f>'Final_List-Alerts'!A56</f>
        <v>USER TASK GROUP BULK IMPORT FAILURE</v>
      </c>
      <c r="C27">
        <v>300</v>
      </c>
      <c r="D27" t="str">
        <f>'Final_List-Alerts'!B56</f>
        <v>Low</v>
      </c>
      <c r="E27" s="38" t="s">
        <v>279</v>
      </c>
      <c r="I27" s="38">
        <v>1</v>
      </c>
      <c r="J27" s="38">
        <v>1</v>
      </c>
      <c r="L27" s="38">
        <v>1</v>
      </c>
      <c r="M27" s="38">
        <v>1</v>
      </c>
      <c r="N27" s="38"/>
      <c r="O27" s="38"/>
      <c r="P27" t="str">
        <f t="shared" si="2"/>
        <v>/ABQ/user_task_group/user_task_group_status.csv</v>
      </c>
    </row>
    <row r="28" spans="1:16" ht="60">
      <c r="A28">
        <f t="shared" si="3"/>
        <v>7</v>
      </c>
      <c r="B28" s="38" t="str">
        <f>'Final_List-Alerts'!A87</f>
        <v>inventory_sync_schedule</v>
      </c>
      <c r="C28">
        <v>1000</v>
      </c>
      <c r="D28">
        <f>'Final_List-Alerts'!B87</f>
        <v>0</v>
      </c>
      <c r="E28" s="38" t="s">
        <v>260</v>
      </c>
      <c r="I28" s="38">
        <v>1</v>
      </c>
      <c r="J28" s="38">
        <v>1</v>
      </c>
      <c r="M28" s="38">
        <v>1</v>
      </c>
      <c r="N28" s="38"/>
      <c r="O28" s="38"/>
      <c r="P28" t="str">
        <f t="shared" si="2"/>
        <v>/ABQ/inventory_sync_schedule/inventory_sync_schedule_check_status.csv</v>
      </c>
    </row>
    <row r="29" spans="1:16" ht="150">
      <c r="A29">
        <f t="shared" si="3"/>
        <v>8</v>
      </c>
      <c r="B29" s="38" t="str">
        <f>'Final_List-Alerts'!A85</f>
        <v>mawm_consolidation_report</v>
      </c>
      <c r="C29">
        <v>1000</v>
      </c>
      <c r="D29">
        <f>'Final_List-Alerts'!B85</f>
        <v>0</v>
      </c>
      <c r="N29" s="38"/>
      <c r="O29" s="38" t="s">
        <v>280</v>
      </c>
    </row>
    <row r="30" spans="1:16" ht="300">
      <c r="A30">
        <f t="shared" si="3"/>
        <v>9</v>
      </c>
      <c r="B30" s="38" t="str">
        <f>'Final_List-Alerts'!A88</f>
        <v>update_ext_display_barcode</v>
      </c>
      <c r="C30">
        <v>1000</v>
      </c>
      <c r="D30">
        <f>'Final_List-Alerts'!B88</f>
        <v>0</v>
      </c>
      <c r="E30" s="38" t="s">
        <v>281</v>
      </c>
      <c r="J30" s="38">
        <v>1</v>
      </c>
      <c r="K30" s="38">
        <v>1</v>
      </c>
      <c r="L30" s="38">
        <v>1</v>
      </c>
      <c r="M30" s="38">
        <v>1</v>
      </c>
      <c r="N30" s="38"/>
      <c r="O30" s="38"/>
    </row>
    <row r="31" spans="1:16">
      <c r="B31" s="193" t="s">
        <v>282</v>
      </c>
    </row>
    <row r="32" spans="1:16">
      <c r="B32" s="193" t="s">
        <v>283</v>
      </c>
    </row>
    <row r="34" spans="1:6" ht="16" customHeight="1"/>
    <row r="43" spans="1:6" ht="16">
      <c r="B43" s="202" t="str">
        <f>B2</f>
        <v>Tasks</v>
      </c>
      <c r="C43" s="203" t="str">
        <f>P2</f>
        <v>csv file name</v>
      </c>
    </row>
    <row r="44" spans="1:6" ht="16">
      <c r="A44" s="38"/>
      <c r="B44" s="38" t="str">
        <f>B5</f>
        <v>ATL In Transit RMA ASNs &gt; 30 Days Splunk Alert</v>
      </c>
      <c r="C44" t="str">
        <f>P5</f>
        <v>/ALLMAWM/hawaii-in-transit-rma-asns/Logs/hawaii-in-transit-rma-asns-HAW.csv</v>
      </c>
      <c r="F44" s="38" t="s">
        <v>284</v>
      </c>
    </row>
    <row r="45" spans="1:6" ht="16">
      <c r="A45" s="38"/>
      <c r="B45" s="38" t="str">
        <f>B6</f>
        <v>INVENTORY SYNC SCHEDULE API FAILED</v>
      </c>
      <c r="C45" t="str">
        <f>P6</f>
        <v>/ABQ/inventory_sync_schedule/inventory_sync_schedule_check_status.csv</v>
      </c>
      <c r="F45" s="38" t="s">
        <v>285</v>
      </c>
    </row>
    <row r="46" spans="1:6" ht="16">
      <c r="A46" s="38"/>
      <c r="B46" s="38" t="str">
        <f t="shared" ref="B46:B65" si="4">B9</f>
        <v>ITEM IMAGE URL FAILURE</v>
      </c>
      <c r="C46" t="str">
        <f t="shared" ref="C46:C65" si="5">P9</f>
        <v>/ABQ/item_image_url/itemURL_bulk_import_check_status.csv</v>
      </c>
      <c r="F46" s="38" t="s">
        <v>286</v>
      </c>
    </row>
    <row r="47" spans="1:6" ht="17" customHeight="1">
      <c r="A47" s="38"/>
      <c r="B47" s="38" t="str">
        <f t="shared" si="4"/>
        <v>DIVERT CONFIRMATION DOWN</v>
      </c>
      <c r="C47" t="str">
        <f t="shared" si="5"/>
        <v>/ALLMAWM/au02_divert_confirm_source_destination_down/au02_divert_confirm_source_destination_down_Prod.csv</v>
      </c>
    </row>
    <row r="48" spans="1:6" ht="16">
      <c r="A48" s="38"/>
      <c r="B48" s="38" t="str">
        <f t="shared" si="4"/>
        <v>PICK LOCATIONS WITH NEGATIVE TBF API FAILURE</v>
      </c>
      <c r="C48" t="str">
        <f t="shared" si="5"/>
        <v>/ABQ/pick_loc_negative_tbf/pick_loc_negative_tbf_status.csv</v>
      </c>
    </row>
    <row r="49" spans="1:3" ht="32">
      <c r="A49" s="38"/>
      <c r="B49" s="38" t="str">
        <f t="shared" si="4"/>
        <v>PICK LOCATIONS WITH TBF QUANTITY AND NO OPEN TASK DETAILS API FAILURE</v>
      </c>
      <c r="C49" t="str">
        <f t="shared" si="5"/>
        <v>/ABQ/pick_loc_tbf_qty_taskdtls/pick_loc_tbf_qty_taskdtls_status.csv</v>
      </c>
    </row>
    <row r="50" spans="1:3" ht="16">
      <c r="A50" s="38"/>
      <c r="B50" s="38" t="str">
        <f t="shared" si="4"/>
        <v>SLOTTING ITEM DEMAND PACK FAILURE</v>
      </c>
      <c r="C50" t="str">
        <f t="shared" si="5"/>
        <v>/ABQ/slot_itemdemand_pack/slotitemdemand_pack_check_status.csv</v>
      </c>
    </row>
    <row r="51" spans="1:3" ht="16">
      <c r="A51" s="38"/>
      <c r="B51" s="38" t="str">
        <f t="shared" si="4"/>
        <v>SLOTTING ITEM DEMAND UNIT FAILURE</v>
      </c>
      <c r="C51" t="str">
        <f t="shared" si="5"/>
        <v>/ABQ/slot_itemdemand_unit/slotitemdemand_unit_check_status.csv</v>
      </c>
    </row>
    <row r="52" spans="1:3" ht="16">
      <c r="A52" s="38"/>
      <c r="B52" s="38" t="str">
        <f t="shared" si="4"/>
        <v>ENDPOINT STATUS</v>
      </c>
      <c r="C52" t="str">
        <f t="shared" si="5"/>
        <v>/AUB/endpoint_status/endpoint_status.csv</v>
      </c>
    </row>
    <row r="53" spans="1:3" ht="32">
      <c r="A53" s="38"/>
      <c r="B53" s="38" t="str">
        <f t="shared" si="4"/>
        <v>LPNS WITH CONSUMED/CANCELLED ALLOCATED QUANTITY API FAILURE</v>
      </c>
      <c r="C53" t="str">
        <f t="shared" si="5"/>
        <v>/ABQ/alloclpns_noopntskdtls/rebuild_lpn_status.csv</v>
      </c>
    </row>
    <row r="54" spans="1:3" ht="16">
      <c r="A54" s="38"/>
      <c r="B54" s="38" t="str">
        <f t="shared" si="4"/>
        <v>PUTAWAY TASK DETAILS API FAILURE</v>
      </c>
      <c r="C54" t="str">
        <f t="shared" si="5"/>
        <v>/ABQ/ptwytskdtlsopen_nottiedtskhdr/putaway_task_details_status.csv</v>
      </c>
    </row>
    <row r="55" spans="1:3" ht="16">
      <c r="A55" s="38"/>
      <c r="B55" s="38" t="str">
        <f t="shared" si="4"/>
        <v>RECOUP SORTING UPDATE API FAILURE</v>
      </c>
      <c r="C55" t="str">
        <f t="shared" si="5"/>
        <v>/DFB/recoup_sort_update_lpn/update_lpn_status.csv</v>
      </c>
    </row>
    <row r="56" spans="1:3" ht="16">
      <c r="A56" s="38"/>
      <c r="B56" s="38" t="str">
        <f t="shared" si="4"/>
        <v>SLOTTING LIA DELETE PK RECORDS API FAILURE</v>
      </c>
      <c r="C56" t="str">
        <f t="shared" si="5"/>
        <v>/ABQ/slotting_lia_delete/slotting_lia_delete_status.csv</v>
      </c>
    </row>
    <row r="57" spans="1:3" ht="16">
      <c r="A57" s="38"/>
      <c r="B57" s="38" t="str">
        <f t="shared" si="4"/>
        <v>ALLOCATED LPNS WITH NO OPEN TASK DETAILS API FAILURE</v>
      </c>
      <c r="C57" t="str">
        <f t="shared" si="5"/>
        <v>/ABQ/alloclpns_noopntskdtls/rebuild_lpn_status.csv</v>
      </c>
    </row>
    <row r="58" spans="1:3" ht="16">
      <c r="B58" s="38" t="str">
        <f t="shared" si="4"/>
        <v>ENDPOINT QUEUE FAILURES</v>
      </c>
      <c r="C58" t="str">
        <f t="shared" si="5"/>
        <v>/ABQ/failure_count/message_failure_count_list.csv</v>
      </c>
    </row>
    <row r="59" spans="1:3" ht="16">
      <c r="A59" s="38"/>
      <c r="B59" s="38" t="str">
        <f t="shared" si="4"/>
        <v>ILPNS WITH NEGATIVE ALLOCATED QUANTITY API FAILURE</v>
      </c>
      <c r="C59" t="str">
        <f t="shared" si="5"/>
        <v>/ABQ/lpn_negative_allocation/update_lpn_inv_check_status.csv</v>
      </c>
    </row>
    <row r="60" spans="1:3" ht="16">
      <c r="A60" s="38"/>
      <c r="B60" s="38" t="str">
        <f t="shared" si="4"/>
        <v>LOCATION REBUILD FAILURE</v>
      </c>
      <c r="C60" t="str">
        <f t="shared" si="5"/>
        <v>/ABQ/location_rebuild/location_rebuild_check_status.csv</v>
      </c>
    </row>
    <row r="61" spans="1:3" ht="16">
      <c r="A61" s="38"/>
      <c r="B61" s="38" t="str">
        <f t="shared" si="4"/>
        <v>OPEN PICK PACK TASK DETAILS API FAILURE</v>
      </c>
      <c r="C61" t="str">
        <f t="shared" si="5"/>
        <v>/ABQ/tskdtls_comp_openpickpacktskdtls/open_pickpack_task_details_status.csv</v>
      </c>
    </row>
    <row r="62" spans="1:3" ht="16">
      <c r="A62" s="38"/>
      <c r="B62" s="38" t="str">
        <f t="shared" si="4"/>
        <v>OPEN TASK API FAILURE</v>
      </c>
      <c r="C62" t="str">
        <f t="shared" si="5"/>
        <v>/ABQ/open_task/open_task_status.csv</v>
      </c>
    </row>
    <row r="63" spans="1:3" ht="16">
      <c r="A63" s="38"/>
      <c r="B63" s="38" t="str">
        <f t="shared" si="4"/>
        <v>OPEN TASK DETAILS API FAILURE</v>
      </c>
      <c r="C63" t="str">
        <f t="shared" si="5"/>
        <v>/ABQ/open_task_details/open_task_details_status.csv</v>
      </c>
    </row>
    <row r="64" spans="1:3" ht="16">
      <c r="A64" s="38"/>
      <c r="B64" s="38" t="str">
        <f t="shared" si="4"/>
        <v>USER TASK GROUP BULK IMPORT FAILURE</v>
      </c>
      <c r="C64" t="str">
        <f t="shared" si="5"/>
        <v>/ABQ/user_task_group/user_task_group_status.csv</v>
      </c>
    </row>
    <row r="65" spans="1:3" ht="16">
      <c r="A65" s="38"/>
      <c r="B65" s="38" t="str">
        <f t="shared" si="4"/>
        <v>inventory_sync_schedule</v>
      </c>
      <c r="C65" t="str">
        <f t="shared" si="5"/>
        <v>/ABQ/inventory_sync_schedule/inventory_sync_schedule_check_status.csv</v>
      </c>
    </row>
    <row r="67" spans="1:3" ht="16">
      <c r="B67" s="202" t="str">
        <f>G2</f>
        <v>FTP</v>
      </c>
      <c r="C67" s="203" t="str">
        <f>C43</f>
        <v>csv file name</v>
      </c>
    </row>
    <row r="68" spans="1:3">
      <c r="B68" s="38" t="str">
        <f>B9</f>
        <v>ITEM IMAGE URL FAILURE</v>
      </c>
      <c r="C68" t="str">
        <f>P9</f>
        <v>/ABQ/item_image_url/itemURL_bulk_import_check_status.csv</v>
      </c>
    </row>
  </sheetData>
  <autoFilter ref="A2:G32" xr:uid="{9FFEB834-24C3-4507-B549-BA4B8046FEE4}"/>
  <sortState xmlns:xlrd2="http://schemas.microsoft.com/office/spreadsheetml/2017/richdata2" ref="B3:F30">
    <sortCondition ref="C3:C30"/>
    <sortCondition ref="B3:B3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2E793-CB5E-4715-9224-61B5BE799EE1}">
  <sheetPr filterMode="1"/>
  <dimension ref="A1:AY214"/>
  <sheetViews>
    <sheetView topLeftCell="B1" zoomScale="85" zoomScaleNormal="85" workbookViewId="0">
      <pane ySplit="2" topLeftCell="A74" activePane="bottomLeft" state="frozen"/>
      <selection pane="bottomLeft" activeCell="D74" sqref="D74"/>
    </sheetView>
    <sheetView workbookViewId="1"/>
  </sheetViews>
  <sheetFormatPr baseColWidth="10" defaultColWidth="9.5" defaultRowHeight="15"/>
  <cols>
    <col min="1" max="1" width="30" style="2" customWidth="1"/>
    <col min="2" max="2" width="32.5" style="2" customWidth="1"/>
    <col min="3" max="3" width="21" style="4" customWidth="1"/>
    <col min="4" max="4" width="44.5" style="4" customWidth="1"/>
    <col min="5" max="5" width="53" style="4" bestFit="1" customWidth="1"/>
    <col min="6" max="6" width="27.5" style="2" bestFit="1" customWidth="1"/>
    <col min="7" max="7" width="17.5" style="2" customWidth="1"/>
    <col min="8" max="8" width="44.5" style="2" bestFit="1" customWidth="1"/>
    <col min="9" max="9" width="14" style="2" customWidth="1"/>
    <col min="10" max="11" width="38.5" style="4" customWidth="1"/>
    <col min="12" max="12" width="9.5" style="2" customWidth="1"/>
    <col min="13" max="13" width="11.5" style="2" customWidth="1"/>
    <col min="14" max="29" width="9.5" style="2" customWidth="1"/>
    <col min="30" max="16384" width="9.5" style="2"/>
  </cols>
  <sheetData>
    <row r="1" spans="1:51" ht="22">
      <c r="A1" s="56" t="s">
        <v>287</v>
      </c>
      <c r="B1" s="56"/>
      <c r="C1" s="56"/>
      <c r="D1" s="56"/>
      <c r="E1" s="56"/>
      <c r="F1" s="56"/>
      <c r="G1" s="56"/>
      <c r="H1" s="56"/>
      <c r="I1" s="56"/>
      <c r="J1" s="56"/>
      <c r="K1" s="55"/>
      <c r="L1" s="228" t="s">
        <v>288</v>
      </c>
      <c r="M1" s="228"/>
      <c r="N1" s="228"/>
      <c r="O1" s="228"/>
      <c r="P1" s="228"/>
      <c r="Q1" s="228"/>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row>
    <row r="2" spans="1:51" ht="16" customHeight="1">
      <c r="A2" s="1" t="s">
        <v>289</v>
      </c>
      <c r="B2" s="1" t="s">
        <v>290</v>
      </c>
      <c r="C2" s="3" t="s">
        <v>291</v>
      </c>
      <c r="D2" s="3" t="s">
        <v>292</v>
      </c>
      <c r="E2" s="3" t="s">
        <v>293</v>
      </c>
      <c r="F2" s="1" t="s">
        <v>294</v>
      </c>
      <c r="G2" s="1" t="s">
        <v>295</v>
      </c>
      <c r="H2" s="1" t="s">
        <v>296</v>
      </c>
      <c r="I2" s="1" t="s">
        <v>56</v>
      </c>
      <c r="J2" s="3" t="s">
        <v>297</v>
      </c>
      <c r="K2" s="3" t="s">
        <v>298</v>
      </c>
      <c r="L2" s="2" t="s">
        <v>299</v>
      </c>
      <c r="M2" s="2" t="s">
        <v>300</v>
      </c>
      <c r="N2" s="2" t="s">
        <v>301</v>
      </c>
      <c r="O2" s="2" t="s">
        <v>302</v>
      </c>
      <c r="P2" s="2" t="s">
        <v>303</v>
      </c>
      <c r="Q2" s="2" t="s">
        <v>304</v>
      </c>
      <c r="R2" s="2" t="s">
        <v>305</v>
      </c>
      <c r="S2" s="2" t="s">
        <v>306</v>
      </c>
      <c r="T2" s="2" t="s">
        <v>307</v>
      </c>
      <c r="U2" s="2" t="s">
        <v>308</v>
      </c>
      <c r="V2" s="2" t="s">
        <v>309</v>
      </c>
      <c r="W2" s="2" t="s">
        <v>310</v>
      </c>
      <c r="X2" s="2" t="s">
        <v>311</v>
      </c>
      <c r="Y2" s="2" t="s">
        <v>312</v>
      </c>
      <c r="Z2" s="2" t="s">
        <v>313</v>
      </c>
      <c r="AA2" s="2" t="s">
        <v>314</v>
      </c>
      <c r="AB2" s="2" t="s">
        <v>315</v>
      </c>
      <c r="AC2" s="2" t="s">
        <v>316</v>
      </c>
      <c r="AD2" s="2" t="s">
        <v>317</v>
      </c>
      <c r="AE2" s="2" t="s">
        <v>318</v>
      </c>
      <c r="AF2" s="2" t="s">
        <v>319</v>
      </c>
      <c r="AG2" s="2" t="s">
        <v>320</v>
      </c>
      <c r="AH2" s="2" t="s">
        <v>321</v>
      </c>
      <c r="AI2" s="2" t="s">
        <v>322</v>
      </c>
      <c r="AJ2" s="2" t="s">
        <v>323</v>
      </c>
      <c r="AK2" s="2" t="s">
        <v>324</v>
      </c>
      <c r="AL2" s="2" t="s">
        <v>325</v>
      </c>
      <c r="AM2" s="2" t="s">
        <v>326</v>
      </c>
      <c r="AN2" s="2" t="s">
        <v>327</v>
      </c>
      <c r="AO2" s="2" t="s">
        <v>328</v>
      </c>
      <c r="AP2" s="2" t="s">
        <v>329</v>
      </c>
      <c r="AQ2" s="2" t="s">
        <v>330</v>
      </c>
      <c r="AR2" s="2" t="s">
        <v>331</v>
      </c>
      <c r="AS2" s="2" t="s">
        <v>332</v>
      </c>
      <c r="AT2" s="2" t="s">
        <v>333</v>
      </c>
      <c r="AU2" s="2" t="s">
        <v>334</v>
      </c>
      <c r="AV2" s="2" t="s">
        <v>335</v>
      </c>
      <c r="AW2" s="2" t="s">
        <v>336</v>
      </c>
      <c r="AX2" s="2" t="s">
        <v>337</v>
      </c>
      <c r="AY2" s="2" t="s">
        <v>338</v>
      </c>
    </row>
    <row r="3" spans="1:51" ht="16" hidden="1">
      <c r="A3" s="2" t="s">
        <v>339</v>
      </c>
      <c r="B3" s="2" t="s">
        <v>106</v>
      </c>
      <c r="D3" s="4" t="s">
        <v>340</v>
      </c>
      <c r="E3" s="4" t="s">
        <v>341</v>
      </c>
      <c r="J3" s="4" t="s">
        <v>342</v>
      </c>
      <c r="L3" s="2" t="s">
        <v>106</v>
      </c>
      <c r="M3" s="2" t="s">
        <v>106</v>
      </c>
      <c r="N3" s="2" t="s">
        <v>106</v>
      </c>
      <c r="O3" s="2" t="s">
        <v>106</v>
      </c>
      <c r="P3" s="2" t="s">
        <v>106</v>
      </c>
      <c r="Q3" s="2" t="s">
        <v>106</v>
      </c>
      <c r="R3" s="2" t="s">
        <v>106</v>
      </c>
      <c r="S3" s="2" t="s">
        <v>106</v>
      </c>
      <c r="T3" s="2" t="s">
        <v>106</v>
      </c>
      <c r="U3" s="2" t="s">
        <v>106</v>
      </c>
      <c r="V3" s="2" t="s">
        <v>106</v>
      </c>
      <c r="W3" s="2" t="s">
        <v>106</v>
      </c>
      <c r="X3" s="2" t="s">
        <v>106</v>
      </c>
      <c r="Y3" s="2" t="s">
        <v>106</v>
      </c>
      <c r="Z3" s="2" t="s">
        <v>106</v>
      </c>
      <c r="AA3" s="2" t="s">
        <v>106</v>
      </c>
      <c r="AB3" s="2" t="s">
        <v>106</v>
      </c>
      <c r="AC3" s="2" t="s">
        <v>106</v>
      </c>
      <c r="AD3" s="2" t="s">
        <v>106</v>
      </c>
      <c r="AE3" s="2" t="s">
        <v>106</v>
      </c>
      <c r="AF3" s="2" t="s">
        <v>106</v>
      </c>
      <c r="AG3" s="2" t="s">
        <v>106</v>
      </c>
      <c r="AH3" s="2" t="s">
        <v>106</v>
      </c>
      <c r="AI3" s="2" t="s">
        <v>106</v>
      </c>
      <c r="AJ3" s="2" t="s">
        <v>106</v>
      </c>
      <c r="AK3" s="2" t="s">
        <v>106</v>
      </c>
      <c r="AL3" s="2" t="s">
        <v>106</v>
      </c>
      <c r="AM3" s="2" t="s">
        <v>106</v>
      </c>
      <c r="AN3" s="2" t="s">
        <v>106</v>
      </c>
      <c r="AO3" s="2" t="s">
        <v>106</v>
      </c>
      <c r="AP3" s="2" t="s">
        <v>106</v>
      </c>
      <c r="AQ3" s="2" t="s">
        <v>106</v>
      </c>
      <c r="AR3" s="2" t="s">
        <v>106</v>
      </c>
      <c r="AS3" s="2" t="s">
        <v>106</v>
      </c>
      <c r="AT3" s="2" t="s">
        <v>106</v>
      </c>
      <c r="AU3" s="2" t="s">
        <v>106</v>
      </c>
      <c r="AV3" s="2" t="s">
        <v>106</v>
      </c>
      <c r="AW3" s="2" t="s">
        <v>106</v>
      </c>
      <c r="AX3" s="2" t="s">
        <v>106</v>
      </c>
      <c r="AY3" s="2" t="s">
        <v>106</v>
      </c>
    </row>
    <row r="4" spans="1:51" ht="16" hidden="1" customHeight="1">
      <c r="A4" s="2" t="s">
        <v>343</v>
      </c>
      <c r="B4" s="2" t="s">
        <v>71</v>
      </c>
      <c r="C4" s="4" t="s">
        <v>344</v>
      </c>
      <c r="D4" s="38" t="s">
        <v>345</v>
      </c>
      <c r="E4" s="4" t="s">
        <v>346</v>
      </c>
      <c r="F4" s="2" t="s">
        <v>347</v>
      </c>
      <c r="G4" s="2" t="s">
        <v>348</v>
      </c>
      <c r="H4" s="2" t="s">
        <v>349</v>
      </c>
      <c r="J4" s="4" t="s">
        <v>16</v>
      </c>
      <c r="K4" s="4" t="s">
        <v>9</v>
      </c>
      <c r="L4" s="2" t="s">
        <v>71</v>
      </c>
      <c r="M4" s="2" t="s">
        <v>71</v>
      </c>
      <c r="N4" s="2" t="s">
        <v>71</v>
      </c>
      <c r="O4" s="2" t="s">
        <v>71</v>
      </c>
      <c r="P4" s="2" t="s">
        <v>71</v>
      </c>
      <c r="Q4" s="2" t="s">
        <v>71</v>
      </c>
      <c r="R4" s="2" t="s">
        <v>71</v>
      </c>
      <c r="S4" s="2" t="s">
        <v>71</v>
      </c>
      <c r="T4" s="2" t="s">
        <v>71</v>
      </c>
      <c r="U4" s="2" t="s">
        <v>71</v>
      </c>
      <c r="V4" s="2" t="s">
        <v>71</v>
      </c>
      <c r="W4" s="2" t="s">
        <v>71</v>
      </c>
      <c r="X4" s="2" t="s">
        <v>71</v>
      </c>
      <c r="Y4" s="2" t="s">
        <v>106</v>
      </c>
      <c r="Z4" s="2" t="s">
        <v>71</v>
      </c>
      <c r="AA4" s="2" t="s">
        <v>71</v>
      </c>
      <c r="AB4" s="2" t="s">
        <v>71</v>
      </c>
      <c r="AC4" s="2" t="s">
        <v>71</v>
      </c>
      <c r="AD4" s="2" t="s">
        <v>106</v>
      </c>
      <c r="AE4" s="2" t="s">
        <v>106</v>
      </c>
      <c r="AF4" s="2" t="s">
        <v>71</v>
      </c>
      <c r="AG4" s="2" t="s">
        <v>71</v>
      </c>
      <c r="AH4" s="2" t="s">
        <v>71</v>
      </c>
      <c r="AI4" s="2" t="s">
        <v>71</v>
      </c>
      <c r="AJ4" s="2" t="s">
        <v>106</v>
      </c>
      <c r="AK4" s="2" t="s">
        <v>106</v>
      </c>
      <c r="AL4" s="2" t="s">
        <v>106</v>
      </c>
      <c r="AM4" s="2" t="s">
        <v>71</v>
      </c>
      <c r="AN4" s="2" t="s">
        <v>71</v>
      </c>
      <c r="AO4" s="2" t="s">
        <v>71</v>
      </c>
      <c r="AP4" s="2" t="s">
        <v>71</v>
      </c>
      <c r="AQ4" s="2" t="s">
        <v>106</v>
      </c>
      <c r="AR4" s="2" t="s">
        <v>71</v>
      </c>
      <c r="AS4" s="2" t="s">
        <v>106</v>
      </c>
      <c r="AT4" s="2" t="s">
        <v>71</v>
      </c>
      <c r="AU4" s="2" t="s">
        <v>71</v>
      </c>
      <c r="AV4" s="2" t="s">
        <v>71</v>
      </c>
      <c r="AW4" s="2" t="s">
        <v>71</v>
      </c>
      <c r="AX4" s="2" t="s">
        <v>106</v>
      </c>
      <c r="AY4" s="2" t="s">
        <v>71</v>
      </c>
    </row>
    <row r="5" spans="1:51" ht="16" hidden="1" customHeight="1">
      <c r="A5" s="2" t="s">
        <v>343</v>
      </c>
      <c r="B5" s="2" t="s">
        <v>71</v>
      </c>
      <c r="C5" s="4" t="s">
        <v>344</v>
      </c>
      <c r="D5" s="38" t="s">
        <v>345</v>
      </c>
      <c r="E5" s="4" t="s">
        <v>350</v>
      </c>
      <c r="F5" s="2" t="s">
        <v>347</v>
      </c>
      <c r="G5" s="2" t="s">
        <v>351</v>
      </c>
      <c r="H5" s="2" t="s">
        <v>349</v>
      </c>
      <c r="K5" s="4" t="s">
        <v>9</v>
      </c>
      <c r="L5" s="2" t="s">
        <v>71</v>
      </c>
      <c r="M5" s="2" t="s">
        <v>71</v>
      </c>
      <c r="N5" s="2" t="s">
        <v>71</v>
      </c>
      <c r="O5" s="2" t="s">
        <v>71</v>
      </c>
      <c r="P5" s="2" t="s">
        <v>71</v>
      </c>
      <c r="Q5" s="2" t="s">
        <v>71</v>
      </c>
      <c r="R5" s="2" t="s">
        <v>71</v>
      </c>
      <c r="S5" s="2" t="s">
        <v>71</v>
      </c>
      <c r="T5" s="2" t="s">
        <v>71</v>
      </c>
      <c r="U5" s="2" t="s">
        <v>71</v>
      </c>
      <c r="V5" s="2" t="s">
        <v>71</v>
      </c>
      <c r="W5" s="2" t="s">
        <v>71</v>
      </c>
      <c r="X5" s="2" t="s">
        <v>71</v>
      </c>
      <c r="Y5" s="2" t="s">
        <v>106</v>
      </c>
      <c r="Z5" s="2" t="s">
        <v>71</v>
      </c>
      <c r="AA5" s="2" t="s">
        <v>71</v>
      </c>
      <c r="AB5" s="2" t="s">
        <v>71</v>
      </c>
      <c r="AC5" s="2" t="s">
        <v>71</v>
      </c>
      <c r="AD5" s="2" t="s">
        <v>106</v>
      </c>
      <c r="AE5" s="2" t="s">
        <v>106</v>
      </c>
      <c r="AF5" s="2" t="s">
        <v>71</v>
      </c>
      <c r="AG5" s="2" t="s">
        <v>71</v>
      </c>
      <c r="AH5" s="2" t="s">
        <v>71</v>
      </c>
      <c r="AI5" s="2" t="s">
        <v>71</v>
      </c>
      <c r="AJ5" s="2" t="s">
        <v>106</v>
      </c>
      <c r="AK5" s="2" t="s">
        <v>106</v>
      </c>
      <c r="AL5" s="2" t="s">
        <v>106</v>
      </c>
      <c r="AM5" s="2" t="s">
        <v>71</v>
      </c>
      <c r="AN5" s="2" t="s">
        <v>71</v>
      </c>
      <c r="AO5" s="2" t="s">
        <v>71</v>
      </c>
      <c r="AP5" s="2" t="s">
        <v>71</v>
      </c>
      <c r="AQ5" s="2" t="s">
        <v>106</v>
      </c>
      <c r="AR5" s="2" t="s">
        <v>71</v>
      </c>
      <c r="AS5" s="2" t="s">
        <v>106</v>
      </c>
      <c r="AT5" s="2" t="s">
        <v>71</v>
      </c>
      <c r="AU5" s="2" t="s">
        <v>71</v>
      </c>
      <c r="AV5" s="2" t="s">
        <v>71</v>
      </c>
      <c r="AW5" s="2" t="s">
        <v>71</v>
      </c>
      <c r="AX5" s="2" t="s">
        <v>106</v>
      </c>
      <c r="AY5" s="2" t="s">
        <v>71</v>
      </c>
    </row>
    <row r="6" spans="1:51" ht="16" hidden="1">
      <c r="A6" s="2" t="s">
        <v>352</v>
      </c>
      <c r="B6" s="2" t="s">
        <v>106</v>
      </c>
      <c r="D6" s="4" t="s">
        <v>353</v>
      </c>
      <c r="E6" s="4" t="s">
        <v>341</v>
      </c>
      <c r="J6" s="4" t="s">
        <v>354</v>
      </c>
      <c r="L6" s="2" t="s">
        <v>106</v>
      </c>
      <c r="M6" s="2" t="s">
        <v>106</v>
      </c>
      <c r="N6" s="2" t="s">
        <v>106</v>
      </c>
      <c r="O6" s="2" t="s">
        <v>106</v>
      </c>
      <c r="P6" s="2" t="s">
        <v>106</v>
      </c>
      <c r="Q6" s="2" t="s">
        <v>106</v>
      </c>
      <c r="R6" s="2" t="s">
        <v>106</v>
      </c>
      <c r="S6" s="2" t="s">
        <v>106</v>
      </c>
      <c r="T6" s="2" t="s">
        <v>106</v>
      </c>
      <c r="U6" s="2" t="s">
        <v>106</v>
      </c>
      <c r="V6" s="2" t="s">
        <v>106</v>
      </c>
      <c r="W6" s="2" t="s">
        <v>106</v>
      </c>
      <c r="X6" s="2" t="s">
        <v>106</v>
      </c>
      <c r="Y6" s="2" t="s">
        <v>106</v>
      </c>
      <c r="Z6" s="2" t="s">
        <v>106</v>
      </c>
      <c r="AA6" s="2" t="s">
        <v>106</v>
      </c>
      <c r="AB6" s="2" t="s">
        <v>106</v>
      </c>
      <c r="AC6" s="2" t="s">
        <v>106</v>
      </c>
      <c r="AD6" s="2" t="s">
        <v>106</v>
      </c>
      <c r="AE6" s="2" t="s">
        <v>106</v>
      </c>
      <c r="AF6" s="2" t="s">
        <v>106</v>
      </c>
      <c r="AG6" s="2" t="s">
        <v>106</v>
      </c>
      <c r="AH6" s="2" t="s">
        <v>106</v>
      </c>
      <c r="AI6" s="2" t="s">
        <v>106</v>
      </c>
      <c r="AJ6" s="2" t="s">
        <v>106</v>
      </c>
      <c r="AK6" s="2" t="s">
        <v>106</v>
      </c>
      <c r="AL6" s="2" t="s">
        <v>106</v>
      </c>
      <c r="AM6" s="2" t="s">
        <v>106</v>
      </c>
      <c r="AN6" s="2" t="s">
        <v>106</v>
      </c>
      <c r="AO6" s="2" t="s">
        <v>106</v>
      </c>
      <c r="AP6" s="2" t="s">
        <v>106</v>
      </c>
      <c r="AQ6" s="2" t="s">
        <v>106</v>
      </c>
      <c r="AR6" s="2" t="s">
        <v>106</v>
      </c>
      <c r="AS6" s="2" t="s">
        <v>106</v>
      </c>
      <c r="AT6" s="2" t="s">
        <v>106</v>
      </c>
      <c r="AU6" s="2" t="s">
        <v>106</v>
      </c>
      <c r="AV6" s="2" t="s">
        <v>106</v>
      </c>
      <c r="AW6" s="2" t="s">
        <v>106</v>
      </c>
      <c r="AX6" s="2" t="s">
        <v>106</v>
      </c>
      <c r="AY6" s="2" t="s">
        <v>106</v>
      </c>
    </row>
    <row r="7" spans="1:51" ht="16" hidden="1" customHeight="1">
      <c r="A7" s="2" t="s">
        <v>355</v>
      </c>
      <c r="B7" s="2" t="s">
        <v>71</v>
      </c>
      <c r="C7" s="4" t="s">
        <v>356</v>
      </c>
      <c r="D7" s="4" t="s">
        <v>357</v>
      </c>
      <c r="E7" s="4" t="s">
        <v>358</v>
      </c>
      <c r="F7" s="2" t="s">
        <v>72</v>
      </c>
      <c r="G7" s="2" t="s">
        <v>351</v>
      </c>
      <c r="H7" s="2" t="s">
        <v>349</v>
      </c>
      <c r="J7" s="4" t="s">
        <v>359</v>
      </c>
      <c r="K7" s="4" t="s">
        <v>9</v>
      </c>
      <c r="L7" s="2" t="s">
        <v>71</v>
      </c>
      <c r="M7" s="2" t="s">
        <v>71</v>
      </c>
      <c r="N7" s="2" t="s">
        <v>71</v>
      </c>
      <c r="O7" s="2" t="s">
        <v>71</v>
      </c>
      <c r="P7" s="2" t="s">
        <v>71</v>
      </c>
      <c r="Q7" s="2" t="s">
        <v>71</v>
      </c>
      <c r="R7" s="2" t="s">
        <v>71</v>
      </c>
      <c r="S7" s="2" t="s">
        <v>71</v>
      </c>
      <c r="T7" s="2" t="s">
        <v>71</v>
      </c>
      <c r="U7" s="2" t="s">
        <v>71</v>
      </c>
      <c r="V7" s="2" t="s">
        <v>71</v>
      </c>
      <c r="W7" s="2" t="s">
        <v>71</v>
      </c>
      <c r="X7" s="2" t="s">
        <v>71</v>
      </c>
      <c r="Y7" s="2" t="s">
        <v>106</v>
      </c>
      <c r="Z7" s="2" t="s">
        <v>71</v>
      </c>
      <c r="AA7" s="2" t="s">
        <v>71</v>
      </c>
      <c r="AB7" s="2" t="s">
        <v>71</v>
      </c>
      <c r="AC7" s="2" t="s">
        <v>71</v>
      </c>
      <c r="AD7" s="2" t="s">
        <v>106</v>
      </c>
      <c r="AE7" s="2" t="s">
        <v>106</v>
      </c>
      <c r="AF7" s="2" t="s">
        <v>71</v>
      </c>
      <c r="AG7" s="2" t="s">
        <v>71</v>
      </c>
      <c r="AH7" s="2" t="s">
        <v>71</v>
      </c>
      <c r="AI7" s="2" t="s">
        <v>71</v>
      </c>
      <c r="AJ7" s="2" t="s">
        <v>106</v>
      </c>
      <c r="AK7" s="2" t="s">
        <v>106</v>
      </c>
      <c r="AL7" s="2" t="s">
        <v>106</v>
      </c>
      <c r="AM7" s="2" t="s">
        <v>71</v>
      </c>
      <c r="AN7" s="2" t="s">
        <v>71</v>
      </c>
      <c r="AO7" s="2" t="s">
        <v>71</v>
      </c>
      <c r="AP7" s="2" t="s">
        <v>71</v>
      </c>
      <c r="AQ7" s="2" t="s">
        <v>106</v>
      </c>
      <c r="AR7" s="2" t="s">
        <v>71</v>
      </c>
      <c r="AS7" s="2" t="s">
        <v>106</v>
      </c>
      <c r="AT7" s="2" t="s">
        <v>71</v>
      </c>
      <c r="AU7" s="2" t="s">
        <v>71</v>
      </c>
      <c r="AV7" s="2" t="s">
        <v>71</v>
      </c>
      <c r="AW7" s="2" t="s">
        <v>71</v>
      </c>
      <c r="AX7" s="2" t="s">
        <v>106</v>
      </c>
      <c r="AY7" s="2" t="s">
        <v>71</v>
      </c>
    </row>
    <row r="8" spans="1:51" ht="16" hidden="1" customHeight="1">
      <c r="A8" s="2" t="s">
        <v>355</v>
      </c>
      <c r="B8" s="2" t="s">
        <v>71</v>
      </c>
      <c r="C8" s="4" t="s">
        <v>356</v>
      </c>
      <c r="D8" s="4" t="s">
        <v>357</v>
      </c>
      <c r="E8" s="4" t="s">
        <v>360</v>
      </c>
      <c r="F8" s="2" t="s">
        <v>72</v>
      </c>
      <c r="G8" s="2" t="s">
        <v>351</v>
      </c>
      <c r="H8" s="2" t="s">
        <v>349</v>
      </c>
      <c r="K8" s="4" t="s">
        <v>9</v>
      </c>
      <c r="L8" s="2" t="s">
        <v>71</v>
      </c>
      <c r="M8" s="2" t="s">
        <v>71</v>
      </c>
      <c r="N8" s="2" t="s">
        <v>71</v>
      </c>
      <c r="O8" s="2" t="s">
        <v>71</v>
      </c>
      <c r="P8" s="2" t="s">
        <v>71</v>
      </c>
      <c r="Q8" s="2" t="s">
        <v>71</v>
      </c>
      <c r="R8" s="2" t="s">
        <v>71</v>
      </c>
      <c r="S8" s="2" t="s">
        <v>71</v>
      </c>
      <c r="T8" s="2" t="s">
        <v>71</v>
      </c>
      <c r="U8" s="2" t="s">
        <v>71</v>
      </c>
      <c r="V8" s="2" t="s">
        <v>71</v>
      </c>
      <c r="W8" s="2" t="s">
        <v>71</v>
      </c>
      <c r="X8" s="2" t="s">
        <v>71</v>
      </c>
      <c r="Y8" s="2" t="s">
        <v>106</v>
      </c>
      <c r="Z8" s="2" t="s">
        <v>71</v>
      </c>
      <c r="AA8" s="2" t="s">
        <v>71</v>
      </c>
      <c r="AB8" s="2" t="s">
        <v>71</v>
      </c>
      <c r="AC8" s="2" t="s">
        <v>71</v>
      </c>
      <c r="AD8" s="2" t="s">
        <v>106</v>
      </c>
      <c r="AE8" s="2" t="s">
        <v>106</v>
      </c>
      <c r="AF8" s="2" t="s">
        <v>71</v>
      </c>
      <c r="AG8" s="2" t="s">
        <v>71</v>
      </c>
      <c r="AH8" s="2" t="s">
        <v>71</v>
      </c>
      <c r="AI8" s="2" t="s">
        <v>71</v>
      </c>
      <c r="AJ8" s="2" t="s">
        <v>106</v>
      </c>
      <c r="AK8" s="2" t="s">
        <v>106</v>
      </c>
      <c r="AL8" s="2" t="s">
        <v>106</v>
      </c>
      <c r="AM8" s="2" t="s">
        <v>71</v>
      </c>
      <c r="AN8" s="2" t="s">
        <v>71</v>
      </c>
      <c r="AO8" s="2" t="s">
        <v>71</v>
      </c>
      <c r="AP8" s="2" t="s">
        <v>71</v>
      </c>
      <c r="AQ8" s="2" t="s">
        <v>106</v>
      </c>
      <c r="AR8" s="2" t="s">
        <v>71</v>
      </c>
      <c r="AS8" s="2" t="s">
        <v>106</v>
      </c>
      <c r="AT8" s="2" t="s">
        <v>71</v>
      </c>
      <c r="AU8" s="2" t="s">
        <v>71</v>
      </c>
      <c r="AV8" s="2" t="s">
        <v>71</v>
      </c>
      <c r="AW8" s="2" t="s">
        <v>71</v>
      </c>
      <c r="AX8" s="2" t="s">
        <v>106</v>
      </c>
      <c r="AY8" s="2" t="s">
        <v>71</v>
      </c>
    </row>
    <row r="9" spans="1:51" ht="16" hidden="1" customHeight="1">
      <c r="A9" s="2" t="s">
        <v>361</v>
      </c>
      <c r="B9" s="2" t="s">
        <v>71</v>
      </c>
      <c r="C9" s="4" t="s">
        <v>362</v>
      </c>
      <c r="D9" s="4" t="s">
        <v>363</v>
      </c>
      <c r="E9" s="4" t="s">
        <v>364</v>
      </c>
      <c r="F9" s="2" t="s">
        <v>347</v>
      </c>
      <c r="G9" s="2" t="s">
        <v>351</v>
      </c>
      <c r="H9" s="2" t="s">
        <v>349</v>
      </c>
      <c r="J9" s="4" t="s">
        <v>365</v>
      </c>
      <c r="K9" s="4" t="s">
        <v>9</v>
      </c>
      <c r="L9" s="2" t="s">
        <v>71</v>
      </c>
      <c r="M9" s="2" t="s">
        <v>71</v>
      </c>
      <c r="N9" s="2" t="s">
        <v>71</v>
      </c>
      <c r="O9" s="2" t="s">
        <v>71</v>
      </c>
      <c r="P9" s="2" t="s">
        <v>71</v>
      </c>
      <c r="Q9" s="2" t="s">
        <v>71</v>
      </c>
      <c r="R9" s="2" t="s">
        <v>71</v>
      </c>
      <c r="S9" s="2" t="s">
        <v>71</v>
      </c>
      <c r="T9" s="2" t="s">
        <v>71</v>
      </c>
      <c r="U9" s="2" t="s">
        <v>71</v>
      </c>
      <c r="V9" s="2" t="s">
        <v>71</v>
      </c>
      <c r="W9" s="2" t="s">
        <v>71</v>
      </c>
      <c r="X9" s="2" t="s">
        <v>71</v>
      </c>
      <c r="Y9" s="2" t="s">
        <v>106</v>
      </c>
      <c r="Z9" s="2" t="s">
        <v>71</v>
      </c>
      <c r="AA9" s="2" t="s">
        <v>71</v>
      </c>
      <c r="AB9" s="2" t="s">
        <v>71</v>
      </c>
      <c r="AC9" s="2" t="s">
        <v>71</v>
      </c>
      <c r="AD9" s="2" t="s">
        <v>106</v>
      </c>
      <c r="AE9" s="2" t="s">
        <v>106</v>
      </c>
      <c r="AF9" s="2" t="s">
        <v>71</v>
      </c>
      <c r="AG9" s="2" t="s">
        <v>71</v>
      </c>
      <c r="AH9" s="2" t="s">
        <v>71</v>
      </c>
      <c r="AI9" s="2" t="s">
        <v>71</v>
      </c>
      <c r="AJ9" s="2" t="s">
        <v>106</v>
      </c>
      <c r="AK9" s="2" t="s">
        <v>106</v>
      </c>
      <c r="AL9" s="2" t="s">
        <v>106</v>
      </c>
      <c r="AM9" s="2" t="s">
        <v>71</v>
      </c>
      <c r="AN9" s="2" t="s">
        <v>71</v>
      </c>
      <c r="AO9" s="2" t="s">
        <v>71</v>
      </c>
      <c r="AP9" s="2" t="s">
        <v>71</v>
      </c>
      <c r="AQ9" s="2" t="s">
        <v>106</v>
      </c>
      <c r="AR9" s="2" t="s">
        <v>71</v>
      </c>
      <c r="AS9" s="2" t="s">
        <v>106</v>
      </c>
      <c r="AT9" s="2" t="s">
        <v>71</v>
      </c>
      <c r="AU9" s="2" t="s">
        <v>71</v>
      </c>
      <c r="AV9" s="2" t="s">
        <v>71</v>
      </c>
      <c r="AW9" s="2" t="s">
        <v>71</v>
      </c>
      <c r="AX9" s="2" t="s">
        <v>106</v>
      </c>
      <c r="AY9" s="2" t="s">
        <v>71</v>
      </c>
    </row>
    <row r="10" spans="1:51" ht="16" hidden="1" customHeight="1">
      <c r="A10" s="2" t="s">
        <v>361</v>
      </c>
      <c r="B10" s="2" t="s">
        <v>71</v>
      </c>
      <c r="C10" s="4" t="s">
        <v>362</v>
      </c>
      <c r="D10" s="4" t="s">
        <v>363</v>
      </c>
      <c r="E10" s="4" t="s">
        <v>366</v>
      </c>
      <c r="F10" s="2" t="s">
        <v>347</v>
      </c>
      <c r="G10" s="2" t="s">
        <v>351</v>
      </c>
      <c r="H10" s="2" t="s">
        <v>349</v>
      </c>
      <c r="K10" s="4" t="s">
        <v>9</v>
      </c>
      <c r="L10" s="2" t="s">
        <v>71</v>
      </c>
      <c r="M10" s="2" t="s">
        <v>71</v>
      </c>
      <c r="N10" s="2" t="s">
        <v>71</v>
      </c>
      <c r="O10" s="2" t="s">
        <v>71</v>
      </c>
      <c r="P10" s="2" t="s">
        <v>71</v>
      </c>
      <c r="Q10" s="2" t="s">
        <v>71</v>
      </c>
      <c r="R10" s="2" t="s">
        <v>71</v>
      </c>
      <c r="S10" s="2" t="s">
        <v>71</v>
      </c>
      <c r="T10" s="2" t="s">
        <v>71</v>
      </c>
      <c r="U10" s="2" t="s">
        <v>71</v>
      </c>
      <c r="V10" s="2" t="s">
        <v>71</v>
      </c>
      <c r="W10" s="2" t="s">
        <v>71</v>
      </c>
      <c r="X10" s="2" t="s">
        <v>71</v>
      </c>
      <c r="Y10" s="2" t="s">
        <v>106</v>
      </c>
      <c r="Z10" s="2" t="s">
        <v>71</v>
      </c>
      <c r="AA10" s="2" t="s">
        <v>71</v>
      </c>
      <c r="AB10" s="2" t="s">
        <v>71</v>
      </c>
      <c r="AC10" s="2" t="s">
        <v>71</v>
      </c>
      <c r="AD10" s="2" t="s">
        <v>106</v>
      </c>
      <c r="AE10" s="2" t="s">
        <v>106</v>
      </c>
      <c r="AF10" s="2" t="s">
        <v>71</v>
      </c>
      <c r="AG10" s="2" t="s">
        <v>71</v>
      </c>
      <c r="AH10" s="2" t="s">
        <v>71</v>
      </c>
      <c r="AI10" s="2" t="s">
        <v>71</v>
      </c>
      <c r="AJ10" s="2" t="s">
        <v>106</v>
      </c>
      <c r="AK10" s="2" t="s">
        <v>106</v>
      </c>
      <c r="AL10" s="2" t="s">
        <v>106</v>
      </c>
      <c r="AM10" s="2" t="s">
        <v>71</v>
      </c>
      <c r="AN10" s="2" t="s">
        <v>71</v>
      </c>
      <c r="AO10" s="2" t="s">
        <v>71</v>
      </c>
      <c r="AP10" s="2" t="s">
        <v>71</v>
      </c>
      <c r="AQ10" s="2" t="s">
        <v>106</v>
      </c>
      <c r="AR10" s="2" t="s">
        <v>71</v>
      </c>
      <c r="AS10" s="2" t="s">
        <v>106</v>
      </c>
      <c r="AT10" s="2" t="s">
        <v>71</v>
      </c>
      <c r="AU10" s="2" t="s">
        <v>71</v>
      </c>
      <c r="AV10" s="2" t="s">
        <v>71</v>
      </c>
      <c r="AW10" s="2" t="s">
        <v>71</v>
      </c>
      <c r="AX10" s="2" t="s">
        <v>106</v>
      </c>
      <c r="AY10" s="2" t="s">
        <v>71</v>
      </c>
    </row>
    <row r="11" spans="1:51" ht="16" hidden="1" customHeight="1">
      <c r="A11" s="2" t="s">
        <v>367</v>
      </c>
      <c r="B11" s="2" t="s">
        <v>71</v>
      </c>
      <c r="C11" s="4" t="s">
        <v>368</v>
      </c>
      <c r="D11" s="4" t="s">
        <v>369</v>
      </c>
      <c r="E11" s="4" t="s">
        <v>370</v>
      </c>
      <c r="F11" s="2" t="s">
        <v>347</v>
      </c>
      <c r="G11" s="2" t="s">
        <v>348</v>
      </c>
      <c r="H11" s="2" t="s">
        <v>349</v>
      </c>
      <c r="J11" s="4" t="s">
        <v>371</v>
      </c>
      <c r="K11" s="4" t="s">
        <v>9</v>
      </c>
      <c r="L11" s="2" t="s">
        <v>71</v>
      </c>
      <c r="M11" s="2" t="s">
        <v>71</v>
      </c>
      <c r="N11" s="2" t="s">
        <v>71</v>
      </c>
      <c r="O11" s="2" t="s">
        <v>71</v>
      </c>
      <c r="P11" s="2" t="s">
        <v>71</v>
      </c>
      <c r="Q11" s="2" t="s">
        <v>71</v>
      </c>
      <c r="R11" s="2" t="s">
        <v>71</v>
      </c>
      <c r="S11" s="2" t="s">
        <v>71</v>
      </c>
      <c r="T11" s="2" t="s">
        <v>71</v>
      </c>
      <c r="U11" s="2" t="s">
        <v>71</v>
      </c>
      <c r="V11" s="2" t="s">
        <v>71</v>
      </c>
      <c r="W11" s="2" t="s">
        <v>71</v>
      </c>
      <c r="X11" s="2" t="s">
        <v>71</v>
      </c>
      <c r="Y11" s="2" t="s">
        <v>106</v>
      </c>
      <c r="Z11" s="2" t="s">
        <v>71</v>
      </c>
      <c r="AA11" s="2" t="s">
        <v>71</v>
      </c>
      <c r="AB11" s="2" t="s">
        <v>71</v>
      </c>
      <c r="AC11" s="2" t="s">
        <v>71</v>
      </c>
      <c r="AD11" s="2" t="s">
        <v>106</v>
      </c>
      <c r="AE11" s="2" t="s">
        <v>106</v>
      </c>
      <c r="AF11" s="2" t="s">
        <v>71</v>
      </c>
      <c r="AG11" s="2" t="s">
        <v>71</v>
      </c>
      <c r="AH11" s="2" t="s">
        <v>71</v>
      </c>
      <c r="AI11" s="2" t="s">
        <v>71</v>
      </c>
      <c r="AJ11" s="2" t="s">
        <v>106</v>
      </c>
      <c r="AK11" s="2" t="s">
        <v>106</v>
      </c>
      <c r="AL11" s="2" t="s">
        <v>106</v>
      </c>
      <c r="AM11" s="2" t="s">
        <v>71</v>
      </c>
      <c r="AN11" s="2" t="s">
        <v>71</v>
      </c>
      <c r="AO11" s="2" t="s">
        <v>71</v>
      </c>
      <c r="AP11" s="2" t="s">
        <v>71</v>
      </c>
      <c r="AQ11" s="2" t="s">
        <v>106</v>
      </c>
      <c r="AR11" s="2" t="s">
        <v>71</v>
      </c>
      <c r="AS11" s="2" t="s">
        <v>106</v>
      </c>
      <c r="AT11" s="2" t="s">
        <v>71</v>
      </c>
      <c r="AU11" s="2" t="s">
        <v>71</v>
      </c>
      <c r="AV11" s="2" t="s">
        <v>71</v>
      </c>
      <c r="AW11" s="2" t="s">
        <v>71</v>
      </c>
      <c r="AX11" s="2" t="s">
        <v>106</v>
      </c>
      <c r="AY11" s="2" t="s">
        <v>71</v>
      </c>
    </row>
    <row r="12" spans="1:51" ht="32">
      <c r="A12" s="2" t="s">
        <v>372</v>
      </c>
      <c r="B12" s="2" t="s">
        <v>71</v>
      </c>
      <c r="C12" s="4" t="s">
        <v>373</v>
      </c>
      <c r="D12" s="4" t="s">
        <v>374</v>
      </c>
      <c r="E12" s="4" t="s">
        <v>375</v>
      </c>
      <c r="F12" s="2" t="s">
        <v>347</v>
      </c>
      <c r="G12" s="2" t="s">
        <v>348</v>
      </c>
      <c r="H12" s="2" t="s">
        <v>16</v>
      </c>
      <c r="I12" s="2">
        <v>5</v>
      </c>
      <c r="J12" s="4" t="s">
        <v>376</v>
      </c>
      <c r="K12" s="4" t="s">
        <v>7</v>
      </c>
      <c r="L12" s="2" t="s">
        <v>106</v>
      </c>
      <c r="M12" s="2" t="s">
        <v>106</v>
      </c>
      <c r="N12" s="2" t="s">
        <v>106</v>
      </c>
      <c r="O12" s="2" t="s">
        <v>106</v>
      </c>
      <c r="P12" s="2" t="s">
        <v>106</v>
      </c>
      <c r="Q12" s="2" t="s">
        <v>106</v>
      </c>
      <c r="R12" s="2" t="s">
        <v>106</v>
      </c>
      <c r="S12" s="2" t="s">
        <v>106</v>
      </c>
      <c r="T12" s="2" t="s">
        <v>106</v>
      </c>
      <c r="U12" s="2" t="s">
        <v>106</v>
      </c>
      <c r="V12" s="2" t="s">
        <v>106</v>
      </c>
      <c r="W12" s="2" t="s">
        <v>106</v>
      </c>
      <c r="X12" s="2" t="s">
        <v>106</v>
      </c>
      <c r="Y12" s="2" t="s">
        <v>106</v>
      </c>
      <c r="Z12" s="2" t="s">
        <v>106</v>
      </c>
      <c r="AA12" s="2" t="s">
        <v>106</v>
      </c>
      <c r="AB12" s="2" t="s">
        <v>106</v>
      </c>
      <c r="AC12" s="2" t="s">
        <v>106</v>
      </c>
      <c r="AD12" s="2" t="s">
        <v>106</v>
      </c>
      <c r="AE12" s="2" t="s">
        <v>106</v>
      </c>
      <c r="AF12" s="2" t="s">
        <v>106</v>
      </c>
      <c r="AG12" s="2" t="s">
        <v>71</v>
      </c>
      <c r="AH12" s="2" t="s">
        <v>106</v>
      </c>
      <c r="AI12" s="2" t="s">
        <v>106</v>
      </c>
      <c r="AJ12" s="2" t="s">
        <v>106</v>
      </c>
      <c r="AK12" s="2" t="s">
        <v>106</v>
      </c>
      <c r="AL12" s="2" t="s">
        <v>106</v>
      </c>
      <c r="AM12" s="2" t="s">
        <v>106</v>
      </c>
      <c r="AN12" s="2" t="s">
        <v>106</v>
      </c>
      <c r="AO12" s="2" t="s">
        <v>106</v>
      </c>
      <c r="AP12" s="2" t="s">
        <v>106</v>
      </c>
      <c r="AQ12" s="2" t="s">
        <v>106</v>
      </c>
      <c r="AR12" s="2" t="s">
        <v>106</v>
      </c>
      <c r="AS12" s="2" t="s">
        <v>106</v>
      </c>
      <c r="AT12" s="2" t="s">
        <v>106</v>
      </c>
      <c r="AU12" s="2" t="s">
        <v>106</v>
      </c>
      <c r="AV12" s="2" t="s">
        <v>106</v>
      </c>
      <c r="AW12" s="2" t="s">
        <v>106</v>
      </c>
      <c r="AX12" s="2" t="s">
        <v>106</v>
      </c>
      <c r="AY12" s="2" t="s">
        <v>106</v>
      </c>
    </row>
    <row r="13" spans="1:51" ht="32">
      <c r="A13" s="7" t="s">
        <v>377</v>
      </c>
      <c r="B13" s="7" t="s">
        <v>71</v>
      </c>
      <c r="C13" s="179" t="s">
        <v>378</v>
      </c>
      <c r="D13" s="179" t="s">
        <v>374</v>
      </c>
      <c r="E13" s="179" t="s">
        <v>379</v>
      </c>
      <c r="F13" s="7" t="s">
        <v>347</v>
      </c>
      <c r="G13" s="7" t="s">
        <v>348</v>
      </c>
      <c r="H13" s="7" t="s">
        <v>16</v>
      </c>
      <c r="I13" s="7">
        <v>4</v>
      </c>
      <c r="J13" s="4" t="s">
        <v>376</v>
      </c>
      <c r="K13" s="4" t="s">
        <v>7</v>
      </c>
      <c r="L13" s="2" t="s">
        <v>106</v>
      </c>
      <c r="M13" s="2" t="s">
        <v>106</v>
      </c>
      <c r="N13" s="2" t="s">
        <v>106</v>
      </c>
      <c r="O13" s="2" t="s">
        <v>106</v>
      </c>
      <c r="P13" s="2" t="s">
        <v>106</v>
      </c>
      <c r="Q13" s="2" t="s">
        <v>106</v>
      </c>
      <c r="R13" s="2" t="s">
        <v>106</v>
      </c>
      <c r="S13" s="2" t="s">
        <v>106</v>
      </c>
      <c r="T13" s="2" t="s">
        <v>106</v>
      </c>
      <c r="U13" s="2" t="s">
        <v>106</v>
      </c>
      <c r="V13" s="2" t="s">
        <v>106</v>
      </c>
      <c r="W13" s="2" t="s">
        <v>106</v>
      </c>
      <c r="X13" s="2" t="s">
        <v>106</v>
      </c>
      <c r="Y13" s="2" t="s">
        <v>106</v>
      </c>
      <c r="Z13" s="2" t="s">
        <v>106</v>
      </c>
      <c r="AA13" s="2" t="s">
        <v>106</v>
      </c>
      <c r="AB13" s="2" t="s">
        <v>106</v>
      </c>
      <c r="AC13" s="2" t="s">
        <v>106</v>
      </c>
      <c r="AD13" s="2" t="s">
        <v>106</v>
      </c>
      <c r="AE13" s="2" t="s">
        <v>106</v>
      </c>
      <c r="AF13" s="2" t="s">
        <v>106</v>
      </c>
      <c r="AG13" s="2" t="s">
        <v>71</v>
      </c>
      <c r="AH13" s="2" t="s">
        <v>106</v>
      </c>
      <c r="AI13" s="2" t="s">
        <v>106</v>
      </c>
      <c r="AJ13" s="2" t="s">
        <v>106</v>
      </c>
      <c r="AK13" s="2" t="s">
        <v>106</v>
      </c>
      <c r="AL13" s="2" t="s">
        <v>106</v>
      </c>
      <c r="AM13" s="2" t="s">
        <v>106</v>
      </c>
      <c r="AN13" s="2" t="s">
        <v>106</v>
      </c>
      <c r="AO13" s="2" t="s">
        <v>106</v>
      </c>
      <c r="AP13" s="2" t="s">
        <v>106</v>
      </c>
      <c r="AQ13" s="2" t="s">
        <v>106</v>
      </c>
      <c r="AR13" s="2" t="s">
        <v>106</v>
      </c>
      <c r="AS13" s="2" t="s">
        <v>106</v>
      </c>
      <c r="AT13" s="2" t="s">
        <v>106</v>
      </c>
      <c r="AU13" s="2" t="s">
        <v>106</v>
      </c>
      <c r="AV13" s="2" t="s">
        <v>106</v>
      </c>
      <c r="AW13" s="2" t="s">
        <v>106</v>
      </c>
      <c r="AX13" s="2" t="s">
        <v>106</v>
      </c>
      <c r="AY13" s="2" t="s">
        <v>106</v>
      </c>
    </row>
    <row r="14" spans="1:51" ht="32">
      <c r="A14" s="7" t="s">
        <v>377</v>
      </c>
      <c r="B14" s="7" t="s">
        <v>71</v>
      </c>
      <c r="C14" s="179" t="s">
        <v>378</v>
      </c>
      <c r="D14" s="179" t="s">
        <v>374</v>
      </c>
      <c r="E14" s="179" t="s">
        <v>380</v>
      </c>
      <c r="F14" s="7" t="s">
        <v>347</v>
      </c>
      <c r="G14" s="7" t="s">
        <v>348</v>
      </c>
      <c r="H14" s="7" t="s">
        <v>16</v>
      </c>
      <c r="I14" s="7">
        <v>4</v>
      </c>
      <c r="J14" s="4" t="s">
        <v>376</v>
      </c>
      <c r="K14" s="4" t="s">
        <v>7</v>
      </c>
      <c r="L14" s="2" t="s">
        <v>106</v>
      </c>
      <c r="M14" s="2" t="s">
        <v>106</v>
      </c>
      <c r="N14" s="2" t="s">
        <v>106</v>
      </c>
      <c r="O14" s="2" t="s">
        <v>106</v>
      </c>
      <c r="P14" s="2" t="s">
        <v>106</v>
      </c>
      <c r="Q14" s="2" t="s">
        <v>106</v>
      </c>
      <c r="R14" s="2" t="s">
        <v>106</v>
      </c>
      <c r="S14" s="2" t="s">
        <v>106</v>
      </c>
      <c r="T14" s="2" t="s">
        <v>106</v>
      </c>
      <c r="U14" s="2" t="s">
        <v>106</v>
      </c>
      <c r="V14" s="2" t="s">
        <v>106</v>
      </c>
      <c r="W14" s="2" t="s">
        <v>106</v>
      </c>
      <c r="X14" s="2" t="s">
        <v>106</v>
      </c>
      <c r="Y14" s="2" t="s">
        <v>106</v>
      </c>
      <c r="Z14" s="2" t="s">
        <v>106</v>
      </c>
      <c r="AA14" s="2" t="s">
        <v>106</v>
      </c>
      <c r="AB14" s="2" t="s">
        <v>106</v>
      </c>
      <c r="AC14" s="2" t="s">
        <v>106</v>
      </c>
      <c r="AD14" s="2" t="s">
        <v>106</v>
      </c>
      <c r="AE14" s="2" t="s">
        <v>106</v>
      </c>
      <c r="AF14" s="2" t="s">
        <v>106</v>
      </c>
      <c r="AG14" s="2" t="s">
        <v>71</v>
      </c>
      <c r="AH14" s="2" t="s">
        <v>106</v>
      </c>
      <c r="AI14" s="2" t="s">
        <v>106</v>
      </c>
      <c r="AJ14" s="2" t="s">
        <v>106</v>
      </c>
      <c r="AK14" s="2" t="s">
        <v>106</v>
      </c>
      <c r="AL14" s="2" t="s">
        <v>106</v>
      </c>
      <c r="AM14" s="2" t="s">
        <v>106</v>
      </c>
      <c r="AN14" s="2" t="s">
        <v>106</v>
      </c>
      <c r="AO14" s="2" t="s">
        <v>106</v>
      </c>
      <c r="AP14" s="2" t="s">
        <v>106</v>
      </c>
      <c r="AQ14" s="2" t="s">
        <v>106</v>
      </c>
      <c r="AR14" s="2" t="s">
        <v>106</v>
      </c>
      <c r="AS14" s="2" t="s">
        <v>106</v>
      </c>
      <c r="AT14" s="2" t="s">
        <v>106</v>
      </c>
      <c r="AU14" s="2" t="s">
        <v>106</v>
      </c>
      <c r="AV14" s="2" t="s">
        <v>106</v>
      </c>
      <c r="AW14" s="2" t="s">
        <v>106</v>
      </c>
      <c r="AX14" s="2" t="s">
        <v>106</v>
      </c>
      <c r="AY14" s="2" t="s">
        <v>106</v>
      </c>
    </row>
    <row r="15" spans="1:51" ht="16" hidden="1">
      <c r="A15" s="2" t="s">
        <v>381</v>
      </c>
      <c r="B15" s="2" t="s">
        <v>71</v>
      </c>
      <c r="C15" s="4" t="s">
        <v>382</v>
      </c>
      <c r="D15" s="4" t="s">
        <v>383</v>
      </c>
      <c r="E15" s="4" t="s">
        <v>384</v>
      </c>
      <c r="F15" s="2" t="s">
        <v>385</v>
      </c>
      <c r="G15" s="2" t="s">
        <v>348</v>
      </c>
      <c r="H15" s="2" t="s">
        <v>386</v>
      </c>
      <c r="K15" s="4" t="s">
        <v>7</v>
      </c>
      <c r="L15" s="2" t="s">
        <v>71</v>
      </c>
      <c r="M15" s="2" t="s">
        <v>71</v>
      </c>
      <c r="N15" s="2" t="s">
        <v>71</v>
      </c>
      <c r="O15" s="2" t="s">
        <v>71</v>
      </c>
      <c r="P15" s="2" t="s">
        <v>106</v>
      </c>
      <c r="Q15" s="2" t="s">
        <v>71</v>
      </c>
      <c r="R15" s="2" t="s">
        <v>106</v>
      </c>
      <c r="S15" s="2" t="s">
        <v>71</v>
      </c>
      <c r="T15" s="2" t="s">
        <v>71</v>
      </c>
      <c r="U15" s="2" t="s">
        <v>71</v>
      </c>
      <c r="V15" s="2" t="s">
        <v>71</v>
      </c>
      <c r="W15" s="2" t="s">
        <v>71</v>
      </c>
      <c r="X15" s="2" t="s">
        <v>71</v>
      </c>
      <c r="Y15" s="2" t="s">
        <v>106</v>
      </c>
      <c r="Z15" s="2" t="s">
        <v>71</v>
      </c>
      <c r="AA15" s="2" t="s">
        <v>71</v>
      </c>
      <c r="AB15" s="2" t="s">
        <v>71</v>
      </c>
      <c r="AC15" s="2" t="s">
        <v>71</v>
      </c>
      <c r="AD15" s="2" t="s">
        <v>106</v>
      </c>
      <c r="AE15" s="2" t="s">
        <v>106</v>
      </c>
      <c r="AF15" s="2" t="s">
        <v>71</v>
      </c>
      <c r="AG15" s="2" t="s">
        <v>71</v>
      </c>
      <c r="AH15" s="2" t="s">
        <v>71</v>
      </c>
      <c r="AI15" s="2" t="s">
        <v>71</v>
      </c>
      <c r="AJ15" s="2" t="s">
        <v>106</v>
      </c>
      <c r="AK15" s="2" t="s">
        <v>106</v>
      </c>
      <c r="AL15" s="2" t="s">
        <v>106</v>
      </c>
      <c r="AM15" s="2" t="s">
        <v>71</v>
      </c>
      <c r="AN15" s="2" t="s">
        <v>71</v>
      </c>
      <c r="AO15" s="2" t="s">
        <v>71</v>
      </c>
      <c r="AP15" s="2" t="s">
        <v>71</v>
      </c>
      <c r="AQ15" s="2" t="s">
        <v>106</v>
      </c>
      <c r="AR15" s="2" t="s">
        <v>106</v>
      </c>
      <c r="AS15" s="2" t="s">
        <v>106</v>
      </c>
      <c r="AT15" s="2" t="s">
        <v>106</v>
      </c>
      <c r="AU15" s="2" t="s">
        <v>71</v>
      </c>
      <c r="AV15" s="2" t="s">
        <v>71</v>
      </c>
      <c r="AW15" s="2" t="s">
        <v>71</v>
      </c>
      <c r="AX15" s="2" t="s">
        <v>106</v>
      </c>
      <c r="AY15" s="2" t="s">
        <v>71</v>
      </c>
    </row>
    <row r="16" spans="1:51" ht="16" hidden="1">
      <c r="A16" s="11" t="s">
        <v>387</v>
      </c>
      <c r="B16" s="11" t="s">
        <v>71</v>
      </c>
      <c r="C16" s="181" t="s">
        <v>388</v>
      </c>
      <c r="D16" s="181" t="s">
        <v>389</v>
      </c>
      <c r="E16" s="181" t="s">
        <v>390</v>
      </c>
      <c r="F16" s="11" t="s">
        <v>391</v>
      </c>
      <c r="G16" s="11" t="s">
        <v>348</v>
      </c>
      <c r="H16" s="11" t="s">
        <v>392</v>
      </c>
      <c r="L16" s="2" t="s">
        <v>71</v>
      </c>
      <c r="M16" s="2" t="s">
        <v>71</v>
      </c>
      <c r="N16" s="2" t="s">
        <v>71</v>
      </c>
      <c r="O16" s="2" t="s">
        <v>71</v>
      </c>
      <c r="P16" s="2" t="s">
        <v>71</v>
      </c>
      <c r="Q16" s="2" t="s">
        <v>71</v>
      </c>
      <c r="R16" s="2" t="s">
        <v>71</v>
      </c>
      <c r="S16" s="2" t="s">
        <v>71</v>
      </c>
      <c r="T16" s="2" t="s">
        <v>71</v>
      </c>
      <c r="U16" s="2" t="s">
        <v>71</v>
      </c>
      <c r="V16" s="2" t="s">
        <v>71</v>
      </c>
      <c r="W16" s="2" t="s">
        <v>71</v>
      </c>
      <c r="X16" s="2" t="s">
        <v>71</v>
      </c>
      <c r="Y16" s="2" t="s">
        <v>106</v>
      </c>
      <c r="Z16" s="2" t="s">
        <v>71</v>
      </c>
      <c r="AA16" s="2" t="s">
        <v>71</v>
      </c>
      <c r="AB16" s="2" t="s">
        <v>71</v>
      </c>
      <c r="AC16" s="2" t="s">
        <v>71</v>
      </c>
      <c r="AD16" s="2" t="s">
        <v>106</v>
      </c>
      <c r="AE16" s="2" t="s">
        <v>106</v>
      </c>
      <c r="AF16" s="2" t="s">
        <v>71</v>
      </c>
      <c r="AG16" s="2" t="s">
        <v>71</v>
      </c>
      <c r="AH16" s="2" t="s">
        <v>71</v>
      </c>
      <c r="AI16" s="2" t="s">
        <v>71</v>
      </c>
      <c r="AJ16" s="2" t="s">
        <v>106</v>
      </c>
      <c r="AK16" s="2" t="s">
        <v>106</v>
      </c>
      <c r="AL16" s="2" t="s">
        <v>106</v>
      </c>
      <c r="AM16" s="2" t="s">
        <v>71</v>
      </c>
      <c r="AN16" s="2" t="s">
        <v>71</v>
      </c>
      <c r="AO16" s="2" t="s">
        <v>71</v>
      </c>
      <c r="AP16" s="2" t="s">
        <v>71</v>
      </c>
      <c r="AQ16" s="2" t="s">
        <v>106</v>
      </c>
      <c r="AR16" s="2" t="s">
        <v>71</v>
      </c>
      <c r="AS16" s="2" t="s">
        <v>106</v>
      </c>
      <c r="AT16" s="2" t="s">
        <v>71</v>
      </c>
      <c r="AU16" s="2" t="s">
        <v>71</v>
      </c>
      <c r="AV16" s="2" t="s">
        <v>71</v>
      </c>
      <c r="AW16" s="2" t="s">
        <v>71</v>
      </c>
      <c r="AX16" s="2" t="s">
        <v>106</v>
      </c>
      <c r="AY16" s="2" t="s">
        <v>71</v>
      </c>
    </row>
    <row r="17" spans="1:51" s="44" customFormat="1" ht="16">
      <c r="A17" s="44" t="s">
        <v>393</v>
      </c>
      <c r="B17" s="44" t="s">
        <v>106</v>
      </c>
      <c r="C17" s="45"/>
      <c r="D17" s="45" t="s">
        <v>394</v>
      </c>
      <c r="E17" s="45" t="s">
        <v>341</v>
      </c>
      <c r="F17" s="44" t="s">
        <v>395</v>
      </c>
      <c r="G17" s="44" t="s">
        <v>348</v>
      </c>
      <c r="H17" s="44" t="s">
        <v>16</v>
      </c>
      <c r="J17" s="45" t="s">
        <v>342</v>
      </c>
      <c r="K17" s="45"/>
      <c r="L17" s="44" t="s">
        <v>106</v>
      </c>
      <c r="M17" s="44" t="s">
        <v>106</v>
      </c>
      <c r="N17" s="44" t="s">
        <v>106</v>
      </c>
      <c r="O17" s="44" t="s">
        <v>106</v>
      </c>
      <c r="P17" s="44" t="s">
        <v>106</v>
      </c>
      <c r="Q17" s="44" t="s">
        <v>106</v>
      </c>
      <c r="R17" s="44" t="s">
        <v>106</v>
      </c>
      <c r="S17" s="44" t="s">
        <v>106</v>
      </c>
      <c r="T17" s="44" t="s">
        <v>106</v>
      </c>
      <c r="U17" s="44" t="s">
        <v>106</v>
      </c>
      <c r="V17" s="44" t="s">
        <v>106</v>
      </c>
      <c r="W17" s="44" t="s">
        <v>106</v>
      </c>
      <c r="X17" s="44" t="s">
        <v>106</v>
      </c>
      <c r="Y17" s="44" t="s">
        <v>106</v>
      </c>
      <c r="Z17" s="44" t="s">
        <v>106</v>
      </c>
      <c r="AA17" s="44" t="s">
        <v>106</v>
      </c>
      <c r="AB17" s="44" t="s">
        <v>106</v>
      </c>
      <c r="AC17" s="44" t="s">
        <v>106</v>
      </c>
      <c r="AD17" s="44" t="s">
        <v>106</v>
      </c>
      <c r="AE17" s="44" t="s">
        <v>106</v>
      </c>
      <c r="AF17" s="44" t="s">
        <v>106</v>
      </c>
      <c r="AG17" s="44" t="s">
        <v>106</v>
      </c>
      <c r="AH17" s="44" t="s">
        <v>106</v>
      </c>
      <c r="AI17" s="44" t="s">
        <v>106</v>
      </c>
      <c r="AJ17" s="44" t="s">
        <v>106</v>
      </c>
      <c r="AK17" s="44" t="s">
        <v>106</v>
      </c>
      <c r="AL17" s="44" t="s">
        <v>106</v>
      </c>
      <c r="AM17" s="44" t="s">
        <v>106</v>
      </c>
      <c r="AN17" s="44" t="s">
        <v>106</v>
      </c>
      <c r="AO17" s="44" t="s">
        <v>106</v>
      </c>
      <c r="AP17" s="44" t="s">
        <v>106</v>
      </c>
      <c r="AQ17" s="44" t="s">
        <v>106</v>
      </c>
      <c r="AR17" s="44" t="s">
        <v>106</v>
      </c>
      <c r="AS17" s="44" t="s">
        <v>106</v>
      </c>
      <c r="AT17" s="44" t="s">
        <v>106</v>
      </c>
      <c r="AU17" s="44" t="s">
        <v>106</v>
      </c>
      <c r="AV17" s="44" t="s">
        <v>106</v>
      </c>
      <c r="AW17" s="44" t="s">
        <v>106</v>
      </c>
      <c r="AX17" s="44" t="s">
        <v>106</v>
      </c>
      <c r="AY17" s="44" t="s">
        <v>106</v>
      </c>
    </row>
    <row r="18" spans="1:51" ht="16">
      <c r="A18" s="2" t="s">
        <v>237</v>
      </c>
      <c r="B18" s="2" t="s">
        <v>71</v>
      </c>
      <c r="C18" s="4" t="s">
        <v>396</v>
      </c>
      <c r="D18" s="4" t="s">
        <v>397</v>
      </c>
      <c r="E18" s="4" t="s">
        <v>384</v>
      </c>
      <c r="G18" s="2" t="s">
        <v>351</v>
      </c>
      <c r="H18" s="2" t="s">
        <v>16</v>
      </c>
      <c r="I18" s="2">
        <v>1</v>
      </c>
      <c r="J18" s="4" t="s">
        <v>398</v>
      </c>
      <c r="K18" s="4" t="s">
        <v>7</v>
      </c>
      <c r="L18" s="2" t="s">
        <v>71</v>
      </c>
      <c r="M18" s="2" t="s">
        <v>71</v>
      </c>
      <c r="N18" s="2" t="s">
        <v>71</v>
      </c>
      <c r="O18" s="2" t="s">
        <v>71</v>
      </c>
      <c r="P18" s="2" t="s">
        <v>71</v>
      </c>
      <c r="Q18" s="2" t="s">
        <v>71</v>
      </c>
      <c r="R18" s="2" t="s">
        <v>71</v>
      </c>
      <c r="S18" s="2" t="s">
        <v>71</v>
      </c>
      <c r="T18" s="2" t="s">
        <v>71</v>
      </c>
      <c r="U18" s="2" t="s">
        <v>71</v>
      </c>
      <c r="V18" s="2" t="s">
        <v>71</v>
      </c>
      <c r="W18" s="2" t="s">
        <v>71</v>
      </c>
      <c r="X18" s="2" t="s">
        <v>71</v>
      </c>
      <c r="Y18" s="2" t="s">
        <v>106</v>
      </c>
      <c r="Z18" s="2" t="s">
        <v>71</v>
      </c>
      <c r="AA18" s="2" t="s">
        <v>71</v>
      </c>
      <c r="AB18" s="2" t="s">
        <v>71</v>
      </c>
      <c r="AC18" s="2" t="s">
        <v>71</v>
      </c>
      <c r="AD18" s="2" t="s">
        <v>106</v>
      </c>
      <c r="AE18" s="2" t="s">
        <v>106</v>
      </c>
      <c r="AF18" s="2" t="s">
        <v>71</v>
      </c>
      <c r="AG18" s="2" t="s">
        <v>71</v>
      </c>
      <c r="AH18" s="2" t="s">
        <v>71</v>
      </c>
      <c r="AI18" s="2" t="s">
        <v>71</v>
      </c>
      <c r="AJ18" s="2" t="s">
        <v>106</v>
      </c>
      <c r="AK18" s="2" t="s">
        <v>106</v>
      </c>
      <c r="AL18" s="2" t="s">
        <v>106</v>
      </c>
      <c r="AM18" s="2" t="s">
        <v>71</v>
      </c>
      <c r="AN18" s="2" t="s">
        <v>71</v>
      </c>
      <c r="AO18" s="2" t="s">
        <v>71</v>
      </c>
      <c r="AP18" s="2" t="s">
        <v>71</v>
      </c>
      <c r="AQ18" s="2" t="s">
        <v>106</v>
      </c>
      <c r="AR18" s="2" t="s">
        <v>71</v>
      </c>
      <c r="AS18" s="2" t="s">
        <v>106</v>
      </c>
      <c r="AT18" s="2" t="s">
        <v>71</v>
      </c>
      <c r="AU18" s="2" t="s">
        <v>71</v>
      </c>
      <c r="AV18" s="2" t="s">
        <v>71</v>
      </c>
      <c r="AW18" s="2" t="s">
        <v>71</v>
      </c>
      <c r="AX18" s="2" t="s">
        <v>106</v>
      </c>
      <c r="AY18" s="2" t="s">
        <v>71</v>
      </c>
    </row>
    <row r="19" spans="1:51" ht="32">
      <c r="A19" s="180" t="s">
        <v>399</v>
      </c>
      <c r="B19" s="2" t="s">
        <v>71</v>
      </c>
      <c r="C19" s="4" t="s">
        <v>400</v>
      </c>
      <c r="D19" s="4" t="s">
        <v>401</v>
      </c>
      <c r="E19" s="4" t="s">
        <v>384</v>
      </c>
      <c r="F19" s="2" t="s">
        <v>402</v>
      </c>
      <c r="G19" s="2" t="s">
        <v>351</v>
      </c>
      <c r="H19" s="2" t="s">
        <v>16</v>
      </c>
      <c r="I19" s="180" t="s">
        <v>32</v>
      </c>
      <c r="J19" s="4" t="s">
        <v>403</v>
      </c>
      <c r="K19" s="4" t="s">
        <v>7</v>
      </c>
      <c r="L19" s="2" t="s">
        <v>71</v>
      </c>
      <c r="M19" s="2" t="s">
        <v>71</v>
      </c>
      <c r="N19" s="2" t="s">
        <v>71</v>
      </c>
      <c r="O19" s="2" t="s">
        <v>71</v>
      </c>
      <c r="P19" s="2" t="s">
        <v>71</v>
      </c>
      <c r="Q19" s="2" t="s">
        <v>71</v>
      </c>
      <c r="R19" s="2" t="s">
        <v>71</v>
      </c>
      <c r="S19" s="2" t="s">
        <v>71</v>
      </c>
      <c r="T19" s="2" t="s">
        <v>71</v>
      </c>
      <c r="U19" s="2" t="s">
        <v>71</v>
      </c>
      <c r="V19" s="2" t="s">
        <v>71</v>
      </c>
      <c r="W19" s="2" t="s">
        <v>71</v>
      </c>
      <c r="X19" s="2" t="s">
        <v>71</v>
      </c>
      <c r="Y19" s="2" t="s">
        <v>106</v>
      </c>
      <c r="Z19" s="2" t="s">
        <v>71</v>
      </c>
      <c r="AA19" s="2" t="s">
        <v>71</v>
      </c>
      <c r="AB19" s="2" t="s">
        <v>71</v>
      </c>
      <c r="AC19" s="2" t="s">
        <v>71</v>
      </c>
      <c r="AD19" s="2" t="s">
        <v>106</v>
      </c>
      <c r="AE19" s="2" t="s">
        <v>106</v>
      </c>
      <c r="AF19" s="2" t="s">
        <v>71</v>
      </c>
      <c r="AG19" s="2" t="s">
        <v>71</v>
      </c>
      <c r="AH19" s="2" t="s">
        <v>71</v>
      </c>
      <c r="AI19" s="2" t="s">
        <v>71</v>
      </c>
      <c r="AJ19" s="2" t="s">
        <v>106</v>
      </c>
      <c r="AK19" s="2" t="s">
        <v>106</v>
      </c>
      <c r="AL19" s="2" t="s">
        <v>106</v>
      </c>
      <c r="AM19" s="2" t="s">
        <v>71</v>
      </c>
      <c r="AN19" s="2" t="s">
        <v>71</v>
      </c>
      <c r="AO19" s="2" t="s">
        <v>71</v>
      </c>
      <c r="AP19" s="2" t="s">
        <v>71</v>
      </c>
      <c r="AQ19" s="2" t="s">
        <v>106</v>
      </c>
      <c r="AR19" s="2" t="s">
        <v>71</v>
      </c>
      <c r="AS19" s="2" t="s">
        <v>106</v>
      </c>
      <c r="AT19" s="2" t="s">
        <v>71</v>
      </c>
      <c r="AU19" s="2" t="s">
        <v>71</v>
      </c>
      <c r="AV19" s="2" t="s">
        <v>71</v>
      </c>
      <c r="AW19" s="2" t="s">
        <v>71</v>
      </c>
      <c r="AX19" s="2" t="s">
        <v>106</v>
      </c>
      <c r="AY19" s="2" t="s">
        <v>71</v>
      </c>
    </row>
    <row r="20" spans="1:51" ht="32">
      <c r="A20" s="2" t="s">
        <v>404</v>
      </c>
      <c r="B20" s="2" t="s">
        <v>71</v>
      </c>
      <c r="C20" s="4" t="s">
        <v>405</v>
      </c>
      <c r="D20" s="4" t="s">
        <v>406</v>
      </c>
      <c r="E20" s="4" t="s">
        <v>384</v>
      </c>
      <c r="F20" s="2" t="s">
        <v>407</v>
      </c>
      <c r="G20" s="2" t="s">
        <v>351</v>
      </c>
      <c r="H20" s="2" t="s">
        <v>16</v>
      </c>
      <c r="I20" s="2">
        <v>3</v>
      </c>
      <c r="J20" s="4" t="s">
        <v>408</v>
      </c>
      <c r="K20" s="4" t="s">
        <v>7</v>
      </c>
      <c r="L20" s="2" t="s">
        <v>71</v>
      </c>
      <c r="M20" s="2" t="s">
        <v>71</v>
      </c>
      <c r="N20" s="2" t="s">
        <v>71</v>
      </c>
      <c r="O20" s="2" t="s">
        <v>71</v>
      </c>
      <c r="P20" s="2" t="s">
        <v>71</v>
      </c>
      <c r="Q20" s="2" t="s">
        <v>71</v>
      </c>
      <c r="R20" s="2" t="s">
        <v>71</v>
      </c>
      <c r="S20" s="2" t="s">
        <v>71</v>
      </c>
      <c r="T20" s="2" t="s">
        <v>71</v>
      </c>
      <c r="U20" s="2" t="s">
        <v>71</v>
      </c>
      <c r="V20" s="2" t="s">
        <v>71</v>
      </c>
      <c r="W20" s="2" t="s">
        <v>71</v>
      </c>
      <c r="X20" s="2" t="s">
        <v>71</v>
      </c>
      <c r="Y20" s="2" t="s">
        <v>106</v>
      </c>
      <c r="Z20" s="2" t="s">
        <v>71</v>
      </c>
      <c r="AA20" s="2" t="s">
        <v>71</v>
      </c>
      <c r="AB20" s="2" t="s">
        <v>71</v>
      </c>
      <c r="AC20" s="2" t="s">
        <v>71</v>
      </c>
      <c r="AD20" s="2" t="s">
        <v>106</v>
      </c>
      <c r="AE20" s="2" t="s">
        <v>106</v>
      </c>
      <c r="AF20" s="2" t="s">
        <v>71</v>
      </c>
      <c r="AG20" s="2" t="s">
        <v>71</v>
      </c>
      <c r="AH20" s="2" t="s">
        <v>71</v>
      </c>
      <c r="AI20" s="2" t="s">
        <v>71</v>
      </c>
      <c r="AJ20" s="2" t="s">
        <v>106</v>
      </c>
      <c r="AK20" s="2" t="s">
        <v>106</v>
      </c>
      <c r="AL20" s="2" t="s">
        <v>106</v>
      </c>
      <c r="AM20" s="2" t="s">
        <v>71</v>
      </c>
      <c r="AN20" s="2" t="s">
        <v>71</v>
      </c>
      <c r="AO20" s="2" t="s">
        <v>71</v>
      </c>
      <c r="AP20" s="2" t="s">
        <v>71</v>
      </c>
      <c r="AQ20" s="2" t="s">
        <v>106</v>
      </c>
      <c r="AR20" s="2" t="s">
        <v>71</v>
      </c>
      <c r="AS20" s="2" t="s">
        <v>106</v>
      </c>
      <c r="AT20" s="2" t="s">
        <v>71</v>
      </c>
      <c r="AU20" s="2" t="s">
        <v>71</v>
      </c>
      <c r="AV20" s="2" t="s">
        <v>71</v>
      </c>
      <c r="AW20" s="2" t="s">
        <v>71</v>
      </c>
      <c r="AX20" s="2" t="s">
        <v>106</v>
      </c>
      <c r="AY20" s="2" t="s">
        <v>71</v>
      </c>
    </row>
    <row r="21" spans="1:51" ht="16" hidden="1" customHeight="1">
      <c r="A21" s="2" t="s">
        <v>409</v>
      </c>
      <c r="B21" s="2" t="s">
        <v>71</v>
      </c>
      <c r="C21" s="4" t="s">
        <v>410</v>
      </c>
      <c r="D21" s="4" t="s">
        <v>411</v>
      </c>
      <c r="E21" s="4" t="s">
        <v>412</v>
      </c>
      <c r="F21" s="2" t="s">
        <v>407</v>
      </c>
      <c r="G21" s="2" t="s">
        <v>351</v>
      </c>
      <c r="H21" s="2" t="s">
        <v>349</v>
      </c>
      <c r="J21" s="4" t="s">
        <v>413</v>
      </c>
      <c r="K21" s="4" t="s">
        <v>9</v>
      </c>
      <c r="L21" s="2" t="s">
        <v>71</v>
      </c>
      <c r="M21" s="2" t="s">
        <v>71</v>
      </c>
      <c r="N21" s="2" t="s">
        <v>71</v>
      </c>
      <c r="O21" s="2" t="s">
        <v>71</v>
      </c>
      <c r="P21" s="2" t="s">
        <v>71</v>
      </c>
      <c r="Q21" s="2" t="s">
        <v>71</v>
      </c>
      <c r="R21" s="2" t="s">
        <v>71</v>
      </c>
      <c r="S21" s="2" t="s">
        <v>71</v>
      </c>
      <c r="T21" s="2" t="s">
        <v>71</v>
      </c>
      <c r="U21" s="2" t="s">
        <v>71</v>
      </c>
      <c r="V21" s="2" t="s">
        <v>71</v>
      </c>
      <c r="W21" s="2" t="s">
        <v>71</v>
      </c>
      <c r="X21" s="2" t="s">
        <v>71</v>
      </c>
      <c r="Y21" s="2" t="s">
        <v>106</v>
      </c>
      <c r="Z21" s="2" t="s">
        <v>71</v>
      </c>
      <c r="AA21" s="2" t="s">
        <v>71</v>
      </c>
      <c r="AB21" s="2" t="s">
        <v>71</v>
      </c>
      <c r="AC21" s="2" t="s">
        <v>71</v>
      </c>
      <c r="AD21" s="2" t="s">
        <v>106</v>
      </c>
      <c r="AE21" s="2" t="s">
        <v>106</v>
      </c>
      <c r="AF21" s="2" t="s">
        <v>71</v>
      </c>
      <c r="AG21" s="2" t="s">
        <v>71</v>
      </c>
      <c r="AH21" s="2" t="s">
        <v>71</v>
      </c>
      <c r="AI21" s="2" t="s">
        <v>71</v>
      </c>
      <c r="AJ21" s="2" t="s">
        <v>106</v>
      </c>
      <c r="AK21" s="2" t="s">
        <v>106</v>
      </c>
      <c r="AL21" s="2" t="s">
        <v>106</v>
      </c>
      <c r="AM21" s="2" t="s">
        <v>71</v>
      </c>
      <c r="AN21" s="2" t="s">
        <v>71</v>
      </c>
      <c r="AO21" s="2" t="s">
        <v>71</v>
      </c>
      <c r="AP21" s="2" t="s">
        <v>71</v>
      </c>
      <c r="AQ21" s="2" t="s">
        <v>106</v>
      </c>
      <c r="AR21" s="2" t="s">
        <v>71</v>
      </c>
      <c r="AS21" s="2" t="s">
        <v>106</v>
      </c>
      <c r="AT21" s="2" t="s">
        <v>71</v>
      </c>
      <c r="AU21" s="2" t="s">
        <v>71</v>
      </c>
      <c r="AV21" s="2" t="s">
        <v>71</v>
      </c>
      <c r="AW21" s="2" t="s">
        <v>71</v>
      </c>
      <c r="AX21" s="2" t="s">
        <v>106</v>
      </c>
      <c r="AY21" s="2" t="s">
        <v>71</v>
      </c>
    </row>
    <row r="22" spans="1:51" ht="16" hidden="1">
      <c r="A22" s="39" t="s">
        <v>414</v>
      </c>
      <c r="B22" s="39" t="s">
        <v>71</v>
      </c>
      <c r="E22" s="4" t="s">
        <v>415</v>
      </c>
      <c r="J22" s="4" t="s">
        <v>416</v>
      </c>
      <c r="L22" s="2" t="s">
        <v>71</v>
      </c>
      <c r="M22" s="2" t="s">
        <v>71</v>
      </c>
      <c r="N22" s="2" t="s">
        <v>71</v>
      </c>
      <c r="O22" s="2" t="s">
        <v>71</v>
      </c>
      <c r="P22" s="2" t="s">
        <v>71</v>
      </c>
      <c r="Q22" s="2" t="s">
        <v>71</v>
      </c>
      <c r="R22" s="2" t="s">
        <v>71</v>
      </c>
      <c r="S22" s="2" t="s">
        <v>71</v>
      </c>
      <c r="T22" s="2" t="s">
        <v>71</v>
      </c>
      <c r="U22" s="2" t="s">
        <v>71</v>
      </c>
      <c r="V22" s="2" t="s">
        <v>71</v>
      </c>
      <c r="W22" s="2" t="s">
        <v>71</v>
      </c>
      <c r="X22" s="2" t="s">
        <v>71</v>
      </c>
      <c r="Y22" s="2" t="s">
        <v>106</v>
      </c>
      <c r="Z22" s="2" t="s">
        <v>71</v>
      </c>
      <c r="AA22" s="2" t="s">
        <v>71</v>
      </c>
      <c r="AB22" s="2" t="s">
        <v>71</v>
      </c>
      <c r="AC22" s="2" t="s">
        <v>71</v>
      </c>
      <c r="AD22" s="2" t="s">
        <v>106</v>
      </c>
      <c r="AE22" s="2" t="s">
        <v>106</v>
      </c>
      <c r="AF22" s="2" t="s">
        <v>71</v>
      </c>
      <c r="AG22" s="2" t="s">
        <v>71</v>
      </c>
      <c r="AH22" s="2" t="s">
        <v>71</v>
      </c>
      <c r="AI22" s="2" t="s">
        <v>71</v>
      </c>
      <c r="AJ22" s="2" t="s">
        <v>106</v>
      </c>
      <c r="AK22" s="2" t="s">
        <v>106</v>
      </c>
      <c r="AL22" s="2" t="s">
        <v>106</v>
      </c>
      <c r="AM22" s="2" t="s">
        <v>71</v>
      </c>
      <c r="AN22" s="2" t="s">
        <v>71</v>
      </c>
      <c r="AO22" s="2" t="s">
        <v>71</v>
      </c>
      <c r="AP22" s="2" t="s">
        <v>71</v>
      </c>
      <c r="AQ22" s="2" t="s">
        <v>106</v>
      </c>
      <c r="AR22" s="2" t="s">
        <v>71</v>
      </c>
      <c r="AS22" s="2" t="s">
        <v>106</v>
      </c>
      <c r="AT22" s="2" t="s">
        <v>71</v>
      </c>
      <c r="AU22" s="2" t="s">
        <v>71</v>
      </c>
      <c r="AV22" s="2" t="s">
        <v>71</v>
      </c>
      <c r="AW22" s="2" t="s">
        <v>71</v>
      </c>
      <c r="AX22" s="2" t="s">
        <v>106</v>
      </c>
      <c r="AY22" s="2" t="s">
        <v>71</v>
      </c>
    </row>
    <row r="23" spans="1:51" ht="32">
      <c r="A23" s="2" t="s">
        <v>417</v>
      </c>
      <c r="B23" s="2" t="s">
        <v>71</v>
      </c>
      <c r="C23" s="4" t="s">
        <v>418</v>
      </c>
      <c r="D23" s="4" t="s">
        <v>419</v>
      </c>
      <c r="E23" s="4" t="s">
        <v>384</v>
      </c>
      <c r="F23" s="2" t="s">
        <v>420</v>
      </c>
      <c r="G23" s="2" t="s">
        <v>351</v>
      </c>
      <c r="H23" s="2" t="s">
        <v>16</v>
      </c>
      <c r="I23" s="2">
        <v>2</v>
      </c>
      <c r="J23" s="4" t="s">
        <v>421</v>
      </c>
      <c r="K23" s="4" t="s">
        <v>7</v>
      </c>
      <c r="L23" s="2" t="s">
        <v>71</v>
      </c>
      <c r="M23" s="2" t="s">
        <v>71</v>
      </c>
      <c r="N23" s="2" t="s">
        <v>71</v>
      </c>
      <c r="O23" s="2" t="s">
        <v>71</v>
      </c>
      <c r="P23" s="2" t="s">
        <v>106</v>
      </c>
      <c r="Q23" s="2" t="s">
        <v>71</v>
      </c>
      <c r="R23" s="2" t="s">
        <v>106</v>
      </c>
      <c r="S23" s="2" t="s">
        <v>71</v>
      </c>
      <c r="T23" s="2" t="s">
        <v>71</v>
      </c>
      <c r="U23" s="2" t="s">
        <v>71</v>
      </c>
      <c r="V23" s="2" t="s">
        <v>71</v>
      </c>
      <c r="W23" s="2" t="s">
        <v>71</v>
      </c>
      <c r="X23" s="2" t="s">
        <v>71</v>
      </c>
      <c r="Y23" s="2" t="s">
        <v>106</v>
      </c>
      <c r="Z23" s="2" t="s">
        <v>71</v>
      </c>
      <c r="AA23" s="2" t="s">
        <v>71</v>
      </c>
      <c r="AB23" s="2" t="s">
        <v>71</v>
      </c>
      <c r="AC23" s="2" t="s">
        <v>71</v>
      </c>
      <c r="AD23" s="2" t="s">
        <v>106</v>
      </c>
      <c r="AE23" s="2" t="s">
        <v>106</v>
      </c>
      <c r="AF23" s="2" t="s">
        <v>71</v>
      </c>
      <c r="AG23" s="2" t="s">
        <v>71</v>
      </c>
      <c r="AH23" s="2" t="s">
        <v>71</v>
      </c>
      <c r="AI23" s="2" t="s">
        <v>71</v>
      </c>
      <c r="AJ23" s="2" t="s">
        <v>106</v>
      </c>
      <c r="AK23" s="2" t="s">
        <v>106</v>
      </c>
      <c r="AL23" s="2" t="s">
        <v>106</v>
      </c>
      <c r="AM23" s="2" t="s">
        <v>71</v>
      </c>
      <c r="AN23" s="2" t="s">
        <v>71</v>
      </c>
      <c r="AO23" s="2" t="s">
        <v>71</v>
      </c>
      <c r="AP23" s="2" t="s">
        <v>71</v>
      </c>
      <c r="AQ23" s="2" t="s">
        <v>106</v>
      </c>
      <c r="AR23" s="2" t="s">
        <v>106</v>
      </c>
      <c r="AS23" s="2" t="s">
        <v>106</v>
      </c>
      <c r="AT23" s="2" t="s">
        <v>106</v>
      </c>
      <c r="AU23" s="2" t="s">
        <v>71</v>
      </c>
      <c r="AV23" s="2" t="s">
        <v>71</v>
      </c>
      <c r="AW23" s="2" t="s">
        <v>71</v>
      </c>
      <c r="AX23" s="2" t="s">
        <v>106</v>
      </c>
      <c r="AY23" s="2" t="s">
        <v>71</v>
      </c>
    </row>
    <row r="24" spans="1:51" ht="16" hidden="1">
      <c r="A24" s="2" t="s">
        <v>422</v>
      </c>
      <c r="B24" s="2" t="s">
        <v>106</v>
      </c>
      <c r="C24" s="4" t="s">
        <v>423</v>
      </c>
      <c r="D24" s="4" t="s">
        <v>424</v>
      </c>
      <c r="E24" s="4" t="s">
        <v>341</v>
      </c>
      <c r="F24" s="2" t="s">
        <v>72</v>
      </c>
      <c r="J24" s="4" t="s">
        <v>342</v>
      </c>
      <c r="L24" s="2" t="s">
        <v>106</v>
      </c>
      <c r="M24" s="2" t="s">
        <v>106</v>
      </c>
      <c r="N24" s="2" t="s">
        <v>106</v>
      </c>
      <c r="O24" s="2" t="s">
        <v>106</v>
      </c>
      <c r="P24" s="2" t="s">
        <v>106</v>
      </c>
      <c r="Q24" s="2" t="s">
        <v>106</v>
      </c>
      <c r="R24" s="2" t="s">
        <v>106</v>
      </c>
      <c r="S24" s="2" t="s">
        <v>106</v>
      </c>
      <c r="T24" s="2" t="s">
        <v>106</v>
      </c>
      <c r="U24" s="2" t="s">
        <v>106</v>
      </c>
      <c r="V24" s="2" t="s">
        <v>106</v>
      </c>
      <c r="W24" s="2" t="s">
        <v>106</v>
      </c>
      <c r="X24" s="2" t="s">
        <v>106</v>
      </c>
      <c r="Y24" s="2" t="s">
        <v>106</v>
      </c>
      <c r="Z24" s="2" t="s">
        <v>106</v>
      </c>
      <c r="AA24" s="2" t="s">
        <v>106</v>
      </c>
      <c r="AB24" s="2" t="s">
        <v>106</v>
      </c>
      <c r="AC24" s="2" t="s">
        <v>106</v>
      </c>
      <c r="AD24" s="2" t="s">
        <v>106</v>
      </c>
      <c r="AE24" s="2" t="s">
        <v>106</v>
      </c>
      <c r="AF24" s="2" t="s">
        <v>106</v>
      </c>
      <c r="AG24" s="2" t="s">
        <v>106</v>
      </c>
      <c r="AH24" s="2" t="s">
        <v>106</v>
      </c>
      <c r="AI24" s="2" t="s">
        <v>106</v>
      </c>
      <c r="AJ24" s="2" t="s">
        <v>106</v>
      </c>
      <c r="AK24" s="2" t="s">
        <v>106</v>
      </c>
      <c r="AL24" s="2" t="s">
        <v>106</v>
      </c>
      <c r="AM24" s="2" t="s">
        <v>106</v>
      </c>
      <c r="AN24" s="2" t="s">
        <v>106</v>
      </c>
      <c r="AO24" s="2" t="s">
        <v>106</v>
      </c>
      <c r="AP24" s="2" t="s">
        <v>106</v>
      </c>
      <c r="AQ24" s="2" t="s">
        <v>106</v>
      </c>
      <c r="AR24" s="2" t="s">
        <v>106</v>
      </c>
      <c r="AS24" s="2" t="s">
        <v>106</v>
      </c>
      <c r="AT24" s="2" t="s">
        <v>106</v>
      </c>
      <c r="AU24" s="2" t="s">
        <v>106</v>
      </c>
      <c r="AV24" s="2" t="s">
        <v>106</v>
      </c>
      <c r="AW24" s="2" t="s">
        <v>106</v>
      </c>
      <c r="AX24" s="2" t="s">
        <v>106</v>
      </c>
      <c r="AY24" s="2" t="s">
        <v>106</v>
      </c>
    </row>
    <row r="25" spans="1:51" ht="16" hidden="1">
      <c r="A25" s="2" t="s">
        <v>425</v>
      </c>
      <c r="B25" s="2" t="s">
        <v>106</v>
      </c>
      <c r="D25" s="4" t="s">
        <v>353</v>
      </c>
      <c r="E25" s="4" t="s">
        <v>341</v>
      </c>
      <c r="J25" s="4" t="s">
        <v>342</v>
      </c>
      <c r="L25" s="2" t="s">
        <v>71</v>
      </c>
      <c r="M25" s="2" t="s">
        <v>106</v>
      </c>
      <c r="N25" s="2" t="s">
        <v>71</v>
      </c>
      <c r="O25" s="2" t="s">
        <v>71</v>
      </c>
      <c r="P25" s="2" t="s">
        <v>106</v>
      </c>
      <c r="Q25" s="2" t="s">
        <v>71</v>
      </c>
      <c r="R25" s="2" t="s">
        <v>106</v>
      </c>
      <c r="S25" s="2" t="s">
        <v>71</v>
      </c>
      <c r="T25" s="2" t="s">
        <v>71</v>
      </c>
      <c r="U25" s="2" t="s">
        <v>71</v>
      </c>
      <c r="V25" s="2" t="s">
        <v>71</v>
      </c>
      <c r="W25" s="2" t="s">
        <v>71</v>
      </c>
      <c r="X25" s="2" t="s">
        <v>71</v>
      </c>
      <c r="Y25" s="2" t="s">
        <v>106</v>
      </c>
      <c r="Z25" s="2" t="s">
        <v>71</v>
      </c>
      <c r="AA25" s="2" t="s">
        <v>71</v>
      </c>
      <c r="AB25" s="2" t="s">
        <v>71</v>
      </c>
      <c r="AC25" s="2" t="s">
        <v>71</v>
      </c>
      <c r="AD25" s="2" t="s">
        <v>106</v>
      </c>
      <c r="AE25" s="2" t="s">
        <v>106</v>
      </c>
      <c r="AF25" s="2" t="s">
        <v>71</v>
      </c>
      <c r="AG25" s="2" t="s">
        <v>71</v>
      </c>
      <c r="AH25" s="2" t="s">
        <v>71</v>
      </c>
      <c r="AI25" s="2" t="s">
        <v>71</v>
      </c>
      <c r="AJ25" s="2" t="s">
        <v>106</v>
      </c>
      <c r="AK25" s="2" t="s">
        <v>106</v>
      </c>
      <c r="AL25" s="2" t="s">
        <v>106</v>
      </c>
      <c r="AM25" s="2" t="s">
        <v>71</v>
      </c>
      <c r="AN25" s="2" t="s">
        <v>71</v>
      </c>
      <c r="AO25" s="2" t="s">
        <v>71</v>
      </c>
      <c r="AP25" s="2" t="s">
        <v>71</v>
      </c>
      <c r="AQ25" s="2" t="s">
        <v>106</v>
      </c>
      <c r="AR25" s="2" t="s">
        <v>71</v>
      </c>
      <c r="AS25" s="2" t="s">
        <v>106</v>
      </c>
      <c r="AT25" s="2" t="s">
        <v>106</v>
      </c>
      <c r="AU25" s="2" t="s">
        <v>71</v>
      </c>
      <c r="AV25" s="2" t="s">
        <v>71</v>
      </c>
      <c r="AW25" s="2" t="s">
        <v>71</v>
      </c>
      <c r="AX25" s="2" t="s">
        <v>106</v>
      </c>
      <c r="AY25" s="2" t="s">
        <v>71</v>
      </c>
    </row>
    <row r="26" spans="1:51" s="44" customFormat="1" ht="16" hidden="1">
      <c r="A26" s="44" t="s">
        <v>426</v>
      </c>
      <c r="B26" s="44" t="s">
        <v>106</v>
      </c>
      <c r="C26" s="45" t="s">
        <v>427</v>
      </c>
      <c r="D26" s="45" t="s">
        <v>428</v>
      </c>
      <c r="E26" s="45" t="s">
        <v>429</v>
      </c>
      <c r="F26" s="44" t="s">
        <v>430</v>
      </c>
      <c r="G26" s="44" t="s">
        <v>348</v>
      </c>
      <c r="J26" s="45"/>
      <c r="K26" s="45"/>
      <c r="L26" s="44" t="s">
        <v>106</v>
      </c>
      <c r="M26" s="44" t="s">
        <v>106</v>
      </c>
      <c r="N26" s="44" t="s">
        <v>106</v>
      </c>
      <c r="O26" s="44" t="s">
        <v>106</v>
      </c>
      <c r="P26" s="44" t="s">
        <v>106</v>
      </c>
      <c r="Q26" s="44" t="s">
        <v>106</v>
      </c>
      <c r="R26" s="44" t="s">
        <v>106</v>
      </c>
      <c r="S26" s="44" t="s">
        <v>106</v>
      </c>
      <c r="T26" s="44" t="s">
        <v>106</v>
      </c>
      <c r="U26" s="44" t="s">
        <v>106</v>
      </c>
      <c r="V26" s="44" t="s">
        <v>106</v>
      </c>
      <c r="W26" s="44" t="s">
        <v>106</v>
      </c>
      <c r="X26" s="44" t="s">
        <v>71</v>
      </c>
      <c r="Y26" s="44" t="s">
        <v>106</v>
      </c>
      <c r="Z26" s="44" t="s">
        <v>106</v>
      </c>
      <c r="AA26" s="44" t="s">
        <v>106</v>
      </c>
      <c r="AB26" s="44" t="s">
        <v>106</v>
      </c>
      <c r="AC26" s="44" t="s">
        <v>106</v>
      </c>
      <c r="AD26" s="44" t="s">
        <v>106</v>
      </c>
      <c r="AE26" s="44" t="s">
        <v>106</v>
      </c>
      <c r="AF26" s="44" t="s">
        <v>106</v>
      </c>
      <c r="AG26" s="44" t="s">
        <v>106</v>
      </c>
      <c r="AH26" s="44" t="s">
        <v>106</v>
      </c>
      <c r="AI26" s="44" t="s">
        <v>106</v>
      </c>
      <c r="AJ26" s="44" t="s">
        <v>106</v>
      </c>
      <c r="AK26" s="44" t="s">
        <v>106</v>
      </c>
      <c r="AL26" s="44" t="s">
        <v>106</v>
      </c>
      <c r="AM26" s="44" t="s">
        <v>106</v>
      </c>
      <c r="AN26" s="44" t="s">
        <v>106</v>
      </c>
      <c r="AO26" s="44" t="s">
        <v>106</v>
      </c>
      <c r="AP26" s="44" t="s">
        <v>106</v>
      </c>
      <c r="AQ26" s="44" t="s">
        <v>106</v>
      </c>
      <c r="AR26" s="44" t="s">
        <v>106</v>
      </c>
      <c r="AS26" s="44" t="s">
        <v>106</v>
      </c>
      <c r="AT26" s="44" t="s">
        <v>106</v>
      </c>
      <c r="AU26" s="44" t="s">
        <v>106</v>
      </c>
      <c r="AV26" s="44" t="s">
        <v>106</v>
      </c>
      <c r="AW26" s="44" t="s">
        <v>106</v>
      </c>
      <c r="AX26" s="44" t="s">
        <v>106</v>
      </c>
      <c r="AY26" s="44" t="s">
        <v>106</v>
      </c>
    </row>
    <row r="27" spans="1:51" ht="16" hidden="1">
      <c r="A27" s="2" t="s">
        <v>431</v>
      </c>
      <c r="B27" s="2" t="s">
        <v>106</v>
      </c>
      <c r="D27" s="4" t="s">
        <v>353</v>
      </c>
      <c r="E27" s="4" t="s">
        <v>341</v>
      </c>
      <c r="J27" s="4" t="s">
        <v>342</v>
      </c>
      <c r="L27" s="2" t="s">
        <v>71</v>
      </c>
      <c r="M27" s="2" t="s">
        <v>106</v>
      </c>
      <c r="N27" s="2" t="s">
        <v>71</v>
      </c>
      <c r="O27" s="2" t="s">
        <v>71</v>
      </c>
      <c r="P27" s="2" t="s">
        <v>106</v>
      </c>
      <c r="Q27" s="2" t="s">
        <v>71</v>
      </c>
      <c r="R27" s="2" t="s">
        <v>106</v>
      </c>
      <c r="S27" s="2" t="s">
        <v>71</v>
      </c>
      <c r="T27" s="2" t="s">
        <v>71</v>
      </c>
      <c r="U27" s="2" t="s">
        <v>71</v>
      </c>
      <c r="V27" s="2" t="s">
        <v>71</v>
      </c>
      <c r="W27" s="2" t="s">
        <v>71</v>
      </c>
      <c r="X27" s="2" t="s">
        <v>71</v>
      </c>
      <c r="Y27" s="2" t="s">
        <v>106</v>
      </c>
      <c r="Z27" s="2" t="s">
        <v>71</v>
      </c>
      <c r="AA27" s="2" t="s">
        <v>71</v>
      </c>
      <c r="AB27" s="2" t="s">
        <v>71</v>
      </c>
      <c r="AC27" s="2" t="s">
        <v>71</v>
      </c>
      <c r="AD27" s="2" t="s">
        <v>106</v>
      </c>
      <c r="AE27" s="2" t="s">
        <v>106</v>
      </c>
      <c r="AF27" s="2" t="s">
        <v>71</v>
      </c>
      <c r="AG27" s="2" t="s">
        <v>71</v>
      </c>
      <c r="AH27" s="2" t="s">
        <v>71</v>
      </c>
      <c r="AI27" s="2" t="s">
        <v>71</v>
      </c>
      <c r="AJ27" s="2" t="s">
        <v>106</v>
      </c>
      <c r="AK27" s="2" t="s">
        <v>106</v>
      </c>
      <c r="AL27" s="2" t="s">
        <v>106</v>
      </c>
      <c r="AM27" s="2" t="s">
        <v>71</v>
      </c>
      <c r="AN27" s="2" t="s">
        <v>71</v>
      </c>
      <c r="AO27" s="2" t="s">
        <v>71</v>
      </c>
      <c r="AP27" s="2" t="s">
        <v>71</v>
      </c>
      <c r="AQ27" s="2" t="s">
        <v>106</v>
      </c>
      <c r="AR27" s="2" t="s">
        <v>71</v>
      </c>
      <c r="AS27" s="2" t="s">
        <v>106</v>
      </c>
      <c r="AT27" s="2" t="s">
        <v>106</v>
      </c>
      <c r="AU27" s="2" t="s">
        <v>71</v>
      </c>
      <c r="AV27" s="2" t="s">
        <v>71</v>
      </c>
      <c r="AW27" s="2" t="s">
        <v>71</v>
      </c>
      <c r="AX27" s="2" t="s">
        <v>106</v>
      </c>
      <c r="AY27" s="2" t="s">
        <v>71</v>
      </c>
    </row>
    <row r="28" spans="1:51" ht="48" hidden="1">
      <c r="A28" s="11" t="s">
        <v>233</v>
      </c>
      <c r="B28" s="11" t="s">
        <v>71</v>
      </c>
      <c r="C28" s="181" t="s">
        <v>432</v>
      </c>
      <c r="D28" s="181" t="s">
        <v>433</v>
      </c>
      <c r="E28" s="181" t="s">
        <v>384</v>
      </c>
      <c r="F28" s="11" t="s">
        <v>434</v>
      </c>
      <c r="G28" s="11" t="s">
        <v>351</v>
      </c>
      <c r="H28" s="11" t="s">
        <v>203</v>
      </c>
      <c r="J28" s="4" t="s">
        <v>435</v>
      </c>
      <c r="L28" s="2" t="s">
        <v>71</v>
      </c>
      <c r="M28" s="2" t="s">
        <v>71</v>
      </c>
      <c r="N28" s="2" t="s">
        <v>71</v>
      </c>
      <c r="O28" s="2" t="s">
        <v>71</v>
      </c>
      <c r="P28" s="2" t="s">
        <v>71</v>
      </c>
      <c r="Q28" s="2" t="s">
        <v>71</v>
      </c>
      <c r="R28" s="2" t="s">
        <v>71</v>
      </c>
      <c r="S28" s="2" t="s">
        <v>71</v>
      </c>
      <c r="T28" s="2" t="s">
        <v>71</v>
      </c>
      <c r="U28" s="2" t="s">
        <v>71</v>
      </c>
      <c r="V28" s="2" t="s">
        <v>71</v>
      </c>
      <c r="W28" s="2" t="s">
        <v>71</v>
      </c>
      <c r="X28" s="2" t="s">
        <v>71</v>
      </c>
      <c r="Y28" s="2" t="s">
        <v>106</v>
      </c>
      <c r="Z28" s="2" t="s">
        <v>71</v>
      </c>
      <c r="AA28" s="2" t="s">
        <v>71</v>
      </c>
      <c r="AB28" s="2" t="s">
        <v>71</v>
      </c>
      <c r="AC28" s="2" t="s">
        <v>71</v>
      </c>
      <c r="AD28" s="2" t="s">
        <v>106</v>
      </c>
      <c r="AE28" s="2" t="s">
        <v>106</v>
      </c>
      <c r="AF28" s="2" t="s">
        <v>71</v>
      </c>
      <c r="AG28" s="2" t="s">
        <v>71</v>
      </c>
      <c r="AH28" s="2" t="s">
        <v>71</v>
      </c>
      <c r="AI28" s="2" t="s">
        <v>71</v>
      </c>
      <c r="AJ28" s="2" t="s">
        <v>106</v>
      </c>
      <c r="AK28" s="2" t="s">
        <v>106</v>
      </c>
      <c r="AL28" s="2" t="s">
        <v>106</v>
      </c>
      <c r="AM28" s="2" t="s">
        <v>71</v>
      </c>
      <c r="AN28" s="2" t="s">
        <v>71</v>
      </c>
      <c r="AO28" s="2" t="s">
        <v>71</v>
      </c>
      <c r="AP28" s="2" t="s">
        <v>71</v>
      </c>
      <c r="AQ28" s="2" t="s">
        <v>106</v>
      </c>
      <c r="AR28" s="2" t="s">
        <v>71</v>
      </c>
      <c r="AS28" s="2" t="s">
        <v>106</v>
      </c>
      <c r="AT28" s="2" t="s">
        <v>71</v>
      </c>
      <c r="AU28" s="2" t="s">
        <v>71</v>
      </c>
      <c r="AV28" s="2" t="s">
        <v>71</v>
      </c>
      <c r="AW28" s="2" t="s">
        <v>71</v>
      </c>
      <c r="AX28" s="2" t="s">
        <v>106</v>
      </c>
      <c r="AY28" s="2" t="s">
        <v>71</v>
      </c>
    </row>
    <row r="29" spans="1:51" ht="32" hidden="1">
      <c r="A29" s="11" t="s">
        <v>436</v>
      </c>
      <c r="B29" s="11" t="s">
        <v>71</v>
      </c>
      <c r="C29" s="181" t="s">
        <v>437</v>
      </c>
      <c r="D29" s="181" t="s">
        <v>438</v>
      </c>
      <c r="E29" s="181" t="s">
        <v>439</v>
      </c>
      <c r="F29" s="11" t="s">
        <v>347</v>
      </c>
      <c r="G29" s="11" t="s">
        <v>348</v>
      </c>
      <c r="H29" s="11" t="s">
        <v>392</v>
      </c>
      <c r="L29" s="2" t="s">
        <v>71</v>
      </c>
      <c r="M29" s="2" t="s">
        <v>71</v>
      </c>
      <c r="N29" s="2" t="s">
        <v>71</v>
      </c>
      <c r="O29" s="2" t="s">
        <v>71</v>
      </c>
      <c r="P29" s="2" t="s">
        <v>71</v>
      </c>
      <c r="Q29" s="2" t="s">
        <v>71</v>
      </c>
      <c r="R29" s="2" t="s">
        <v>71</v>
      </c>
      <c r="S29" s="2" t="s">
        <v>71</v>
      </c>
      <c r="T29" s="2" t="s">
        <v>71</v>
      </c>
      <c r="U29" s="2" t="s">
        <v>71</v>
      </c>
      <c r="V29" s="2" t="s">
        <v>71</v>
      </c>
      <c r="W29" s="2" t="s">
        <v>71</v>
      </c>
      <c r="X29" s="2" t="s">
        <v>71</v>
      </c>
      <c r="Y29" s="2" t="s">
        <v>106</v>
      </c>
      <c r="Z29" s="2" t="s">
        <v>71</v>
      </c>
      <c r="AA29" s="2" t="s">
        <v>71</v>
      </c>
      <c r="AB29" s="2" t="s">
        <v>71</v>
      </c>
      <c r="AC29" s="2" t="s">
        <v>71</v>
      </c>
      <c r="AD29" s="2" t="s">
        <v>106</v>
      </c>
      <c r="AE29" s="2" t="s">
        <v>106</v>
      </c>
      <c r="AF29" s="2" t="s">
        <v>71</v>
      </c>
      <c r="AG29" s="2" t="s">
        <v>71</v>
      </c>
      <c r="AH29" s="2" t="s">
        <v>71</v>
      </c>
      <c r="AI29" s="2" t="s">
        <v>71</v>
      </c>
      <c r="AJ29" s="2" t="s">
        <v>106</v>
      </c>
      <c r="AK29" s="2" t="s">
        <v>106</v>
      </c>
      <c r="AL29" s="2" t="s">
        <v>106</v>
      </c>
      <c r="AM29" s="2" t="s">
        <v>71</v>
      </c>
      <c r="AN29" s="2" t="s">
        <v>71</v>
      </c>
      <c r="AO29" s="2" t="s">
        <v>71</v>
      </c>
      <c r="AP29" s="2" t="s">
        <v>71</v>
      </c>
      <c r="AQ29" s="2" t="s">
        <v>106</v>
      </c>
      <c r="AR29" s="2" t="s">
        <v>71</v>
      </c>
      <c r="AS29" s="2" t="s">
        <v>106</v>
      </c>
      <c r="AT29" s="2" t="s">
        <v>71</v>
      </c>
      <c r="AU29" s="2" t="s">
        <v>71</v>
      </c>
      <c r="AV29" s="2" t="s">
        <v>71</v>
      </c>
      <c r="AW29" s="2" t="s">
        <v>71</v>
      </c>
      <c r="AX29" s="2" t="s">
        <v>106</v>
      </c>
      <c r="AY29" s="2" t="s">
        <v>71</v>
      </c>
    </row>
    <row r="30" spans="1:51" ht="32" hidden="1">
      <c r="A30" s="11" t="s">
        <v>440</v>
      </c>
      <c r="B30" s="11" t="s">
        <v>71</v>
      </c>
      <c r="C30" s="181" t="s">
        <v>441</v>
      </c>
      <c r="D30" s="181" t="s">
        <v>442</v>
      </c>
      <c r="E30" s="181" t="s">
        <v>443</v>
      </c>
      <c r="F30" s="11" t="s">
        <v>347</v>
      </c>
      <c r="G30" s="11" t="s">
        <v>348</v>
      </c>
      <c r="H30" s="11" t="s">
        <v>392</v>
      </c>
      <c r="L30" s="2" t="s">
        <v>71</v>
      </c>
      <c r="M30" s="2" t="s">
        <v>71</v>
      </c>
      <c r="N30" s="2" t="s">
        <v>71</v>
      </c>
      <c r="O30" s="2" t="s">
        <v>71</v>
      </c>
      <c r="P30" s="2" t="s">
        <v>71</v>
      </c>
      <c r="Q30" s="2" t="s">
        <v>71</v>
      </c>
      <c r="R30" s="2" t="s">
        <v>71</v>
      </c>
      <c r="S30" s="2" t="s">
        <v>71</v>
      </c>
      <c r="T30" s="2" t="s">
        <v>71</v>
      </c>
      <c r="U30" s="2" t="s">
        <v>71</v>
      </c>
      <c r="V30" s="2" t="s">
        <v>71</v>
      </c>
      <c r="W30" s="2" t="s">
        <v>71</v>
      </c>
      <c r="X30" s="2" t="s">
        <v>71</v>
      </c>
      <c r="Y30" s="2" t="s">
        <v>106</v>
      </c>
      <c r="Z30" s="2" t="s">
        <v>71</v>
      </c>
      <c r="AA30" s="2" t="s">
        <v>71</v>
      </c>
      <c r="AB30" s="2" t="s">
        <v>71</v>
      </c>
      <c r="AC30" s="2" t="s">
        <v>71</v>
      </c>
      <c r="AD30" s="2" t="s">
        <v>106</v>
      </c>
      <c r="AE30" s="2" t="s">
        <v>106</v>
      </c>
      <c r="AF30" s="2" t="s">
        <v>71</v>
      </c>
      <c r="AG30" s="2" t="s">
        <v>71</v>
      </c>
      <c r="AH30" s="2" t="s">
        <v>71</v>
      </c>
      <c r="AI30" s="2" t="s">
        <v>71</v>
      </c>
      <c r="AJ30" s="2" t="s">
        <v>106</v>
      </c>
      <c r="AK30" s="2" t="s">
        <v>106</v>
      </c>
      <c r="AL30" s="2" t="s">
        <v>106</v>
      </c>
      <c r="AM30" s="2" t="s">
        <v>71</v>
      </c>
      <c r="AN30" s="2" t="s">
        <v>71</v>
      </c>
      <c r="AO30" s="2" t="s">
        <v>71</v>
      </c>
      <c r="AP30" s="2" t="s">
        <v>71</v>
      </c>
      <c r="AQ30" s="2" t="s">
        <v>106</v>
      </c>
      <c r="AR30" s="2" t="s">
        <v>71</v>
      </c>
      <c r="AS30" s="2" t="s">
        <v>106</v>
      </c>
      <c r="AT30" s="2" t="s">
        <v>71</v>
      </c>
      <c r="AU30" s="2" t="s">
        <v>71</v>
      </c>
      <c r="AV30" s="2" t="s">
        <v>71</v>
      </c>
      <c r="AW30" s="2" t="s">
        <v>71</v>
      </c>
      <c r="AX30" s="2" t="s">
        <v>106</v>
      </c>
      <c r="AY30" s="2" t="s">
        <v>71</v>
      </c>
    </row>
    <row r="31" spans="1:51" ht="16" hidden="1">
      <c r="A31" s="2" t="s">
        <v>367</v>
      </c>
      <c r="B31" s="2" t="s">
        <v>106</v>
      </c>
      <c r="D31" s="4" t="s">
        <v>353</v>
      </c>
      <c r="E31" s="5">
        <v>0.6875</v>
      </c>
      <c r="J31" s="4" t="s">
        <v>444</v>
      </c>
      <c r="L31" s="2" t="s">
        <v>71</v>
      </c>
      <c r="M31" s="2" t="s">
        <v>71</v>
      </c>
      <c r="N31" s="2" t="s">
        <v>71</v>
      </c>
      <c r="O31" s="2" t="s">
        <v>71</v>
      </c>
      <c r="P31" s="2" t="s">
        <v>71</v>
      </c>
      <c r="Q31" s="2" t="s">
        <v>71</v>
      </c>
      <c r="R31" s="2" t="s">
        <v>71</v>
      </c>
      <c r="S31" s="2" t="s">
        <v>71</v>
      </c>
      <c r="T31" s="2" t="s">
        <v>71</v>
      </c>
      <c r="U31" s="2" t="s">
        <v>71</v>
      </c>
      <c r="V31" s="2" t="s">
        <v>71</v>
      </c>
      <c r="W31" s="2" t="s">
        <v>71</v>
      </c>
      <c r="X31" s="2" t="s">
        <v>71</v>
      </c>
      <c r="Y31" s="2" t="s">
        <v>106</v>
      </c>
      <c r="Z31" s="2" t="s">
        <v>71</v>
      </c>
      <c r="AA31" s="2" t="s">
        <v>71</v>
      </c>
      <c r="AB31" s="2" t="s">
        <v>71</v>
      </c>
      <c r="AC31" s="2" t="s">
        <v>71</v>
      </c>
      <c r="AD31" s="2" t="s">
        <v>106</v>
      </c>
      <c r="AE31" s="2" t="s">
        <v>106</v>
      </c>
      <c r="AF31" s="2" t="s">
        <v>71</v>
      </c>
      <c r="AG31" s="2" t="s">
        <v>71</v>
      </c>
      <c r="AH31" s="2" t="s">
        <v>71</v>
      </c>
      <c r="AI31" s="2" t="s">
        <v>71</v>
      </c>
      <c r="AJ31" s="2" t="s">
        <v>106</v>
      </c>
      <c r="AK31" s="2" t="s">
        <v>106</v>
      </c>
      <c r="AL31" s="2" t="s">
        <v>106</v>
      </c>
      <c r="AM31" s="2" t="s">
        <v>71</v>
      </c>
      <c r="AN31" s="2" t="s">
        <v>71</v>
      </c>
      <c r="AO31" s="2" t="s">
        <v>71</v>
      </c>
      <c r="AP31" s="2" t="s">
        <v>71</v>
      </c>
      <c r="AQ31" s="2" t="s">
        <v>106</v>
      </c>
      <c r="AR31" s="2" t="s">
        <v>71</v>
      </c>
      <c r="AS31" s="2" t="s">
        <v>106</v>
      </c>
      <c r="AT31" s="2" t="s">
        <v>71</v>
      </c>
      <c r="AU31" s="2" t="s">
        <v>71</v>
      </c>
      <c r="AV31" s="2" t="s">
        <v>71</v>
      </c>
      <c r="AW31" s="2" t="s">
        <v>71</v>
      </c>
      <c r="AX31" s="2" t="s">
        <v>106</v>
      </c>
      <c r="AY31" s="2" t="s">
        <v>71</v>
      </c>
    </row>
    <row r="32" spans="1:51" ht="16" hidden="1">
      <c r="A32" s="44" t="s">
        <v>445</v>
      </c>
      <c r="B32" s="44" t="s">
        <v>71</v>
      </c>
      <c r="C32" s="45" t="s">
        <v>446</v>
      </c>
      <c r="D32" s="45" t="s">
        <v>447</v>
      </c>
      <c r="E32" s="45" t="s">
        <v>448</v>
      </c>
      <c r="F32" s="44" t="s">
        <v>402</v>
      </c>
      <c r="G32" s="44" t="s">
        <v>348</v>
      </c>
      <c r="H32" s="44" t="s">
        <v>203</v>
      </c>
      <c r="L32" s="2" t="s">
        <v>71</v>
      </c>
      <c r="M32" s="2" t="s">
        <v>71</v>
      </c>
      <c r="N32" s="2" t="s">
        <v>71</v>
      </c>
      <c r="O32" s="2" t="s">
        <v>71</v>
      </c>
      <c r="P32" s="2" t="s">
        <v>71</v>
      </c>
      <c r="Q32" s="2" t="s">
        <v>71</v>
      </c>
      <c r="R32" s="2" t="s">
        <v>71</v>
      </c>
      <c r="S32" s="2" t="s">
        <v>71</v>
      </c>
      <c r="T32" s="2" t="s">
        <v>71</v>
      </c>
      <c r="U32" s="2" t="s">
        <v>71</v>
      </c>
      <c r="V32" s="2" t="s">
        <v>71</v>
      </c>
      <c r="W32" s="2" t="s">
        <v>71</v>
      </c>
      <c r="X32" s="2" t="s">
        <v>71</v>
      </c>
      <c r="Y32" s="2" t="s">
        <v>106</v>
      </c>
      <c r="Z32" s="2" t="s">
        <v>71</v>
      </c>
      <c r="AA32" s="2" t="s">
        <v>71</v>
      </c>
      <c r="AB32" s="2" t="s">
        <v>71</v>
      </c>
      <c r="AC32" s="2" t="s">
        <v>71</v>
      </c>
      <c r="AD32" s="2" t="s">
        <v>106</v>
      </c>
      <c r="AE32" s="2" t="s">
        <v>106</v>
      </c>
      <c r="AF32" s="2" t="s">
        <v>71</v>
      </c>
      <c r="AG32" s="2" t="s">
        <v>71</v>
      </c>
      <c r="AH32" s="2" t="s">
        <v>71</v>
      </c>
      <c r="AI32" s="2" t="s">
        <v>71</v>
      </c>
      <c r="AJ32" s="2" t="s">
        <v>106</v>
      </c>
      <c r="AK32" s="2" t="s">
        <v>106</v>
      </c>
      <c r="AL32" s="2" t="s">
        <v>106</v>
      </c>
      <c r="AM32" s="2" t="s">
        <v>71</v>
      </c>
      <c r="AN32" s="2" t="s">
        <v>71</v>
      </c>
      <c r="AO32" s="2" t="s">
        <v>71</v>
      </c>
      <c r="AP32" s="2" t="s">
        <v>71</v>
      </c>
      <c r="AQ32" s="2" t="s">
        <v>106</v>
      </c>
      <c r="AR32" s="2" t="s">
        <v>71</v>
      </c>
      <c r="AS32" s="2" t="s">
        <v>106</v>
      </c>
      <c r="AT32" s="2" t="s">
        <v>71</v>
      </c>
      <c r="AU32" s="2" t="s">
        <v>71</v>
      </c>
      <c r="AV32" s="2" t="s">
        <v>71</v>
      </c>
      <c r="AW32" s="2" t="s">
        <v>71</v>
      </c>
      <c r="AX32" s="2" t="s">
        <v>106</v>
      </c>
      <c r="AY32" s="2" t="s">
        <v>71</v>
      </c>
    </row>
    <row r="33" spans="1:51" ht="16" hidden="1">
      <c r="A33" s="2" t="s">
        <v>449</v>
      </c>
      <c r="B33" s="2" t="s">
        <v>106</v>
      </c>
      <c r="D33" s="4" t="s">
        <v>353</v>
      </c>
      <c r="E33" s="4" t="s">
        <v>450</v>
      </c>
      <c r="J33" s="4" t="s">
        <v>444</v>
      </c>
      <c r="L33" s="2" t="s">
        <v>71</v>
      </c>
      <c r="M33" s="2" t="s">
        <v>71</v>
      </c>
      <c r="N33" s="2" t="s">
        <v>71</v>
      </c>
      <c r="O33" s="2" t="s">
        <v>71</v>
      </c>
      <c r="P33" s="2" t="s">
        <v>71</v>
      </c>
      <c r="Q33" s="2" t="s">
        <v>71</v>
      </c>
      <c r="R33" s="2" t="s">
        <v>71</v>
      </c>
      <c r="S33" s="2" t="s">
        <v>71</v>
      </c>
      <c r="T33" s="2" t="s">
        <v>71</v>
      </c>
      <c r="U33" s="2" t="s">
        <v>71</v>
      </c>
      <c r="V33" s="2" t="s">
        <v>71</v>
      </c>
      <c r="W33" s="2" t="s">
        <v>71</v>
      </c>
      <c r="X33" s="2" t="s">
        <v>71</v>
      </c>
      <c r="Y33" s="2" t="s">
        <v>106</v>
      </c>
      <c r="Z33" s="2" t="s">
        <v>71</v>
      </c>
      <c r="AA33" s="2" t="s">
        <v>71</v>
      </c>
      <c r="AB33" s="2" t="s">
        <v>71</v>
      </c>
      <c r="AC33" s="2" t="s">
        <v>71</v>
      </c>
      <c r="AD33" s="2" t="s">
        <v>106</v>
      </c>
      <c r="AE33" s="2" t="s">
        <v>106</v>
      </c>
      <c r="AF33" s="2" t="s">
        <v>71</v>
      </c>
      <c r="AG33" s="2" t="s">
        <v>71</v>
      </c>
      <c r="AH33" s="2" t="s">
        <v>71</v>
      </c>
      <c r="AI33" s="2" t="s">
        <v>71</v>
      </c>
      <c r="AJ33" s="2" t="s">
        <v>106</v>
      </c>
      <c r="AK33" s="2" t="s">
        <v>106</v>
      </c>
      <c r="AL33" s="2" t="s">
        <v>106</v>
      </c>
      <c r="AM33" s="2" t="s">
        <v>71</v>
      </c>
      <c r="AN33" s="2" t="s">
        <v>71</v>
      </c>
      <c r="AO33" s="2" t="s">
        <v>71</v>
      </c>
      <c r="AP33" s="2" t="s">
        <v>71</v>
      </c>
      <c r="AQ33" s="2" t="s">
        <v>106</v>
      </c>
      <c r="AR33" s="2" t="s">
        <v>71</v>
      </c>
      <c r="AS33" s="2" t="s">
        <v>106</v>
      </c>
      <c r="AT33" s="2" t="s">
        <v>71</v>
      </c>
      <c r="AU33" s="2" t="s">
        <v>71</v>
      </c>
      <c r="AV33" s="2" t="s">
        <v>71</v>
      </c>
      <c r="AW33" s="2" t="s">
        <v>71</v>
      </c>
      <c r="AX33" s="2" t="s">
        <v>106</v>
      </c>
      <c r="AY33" s="2" t="s">
        <v>71</v>
      </c>
    </row>
    <row r="34" spans="1:51" ht="16" hidden="1">
      <c r="A34" s="2" t="s">
        <v>449</v>
      </c>
      <c r="B34" s="2" t="s">
        <v>106</v>
      </c>
      <c r="D34" s="4" t="s">
        <v>353</v>
      </c>
      <c r="E34" s="4" t="s">
        <v>451</v>
      </c>
      <c r="J34" s="4" t="s">
        <v>444</v>
      </c>
      <c r="L34" s="2" t="s">
        <v>71</v>
      </c>
      <c r="M34" s="2" t="s">
        <v>71</v>
      </c>
      <c r="N34" s="2" t="s">
        <v>71</v>
      </c>
      <c r="O34" s="2" t="s">
        <v>71</v>
      </c>
      <c r="P34" s="2" t="s">
        <v>71</v>
      </c>
      <c r="Q34" s="2" t="s">
        <v>71</v>
      </c>
      <c r="R34" s="2" t="s">
        <v>71</v>
      </c>
      <c r="S34" s="2" t="s">
        <v>71</v>
      </c>
      <c r="T34" s="2" t="s">
        <v>71</v>
      </c>
      <c r="U34" s="2" t="s">
        <v>71</v>
      </c>
      <c r="V34" s="2" t="s">
        <v>71</v>
      </c>
      <c r="W34" s="2" t="s">
        <v>71</v>
      </c>
      <c r="X34" s="2" t="s">
        <v>71</v>
      </c>
      <c r="Y34" s="2" t="s">
        <v>106</v>
      </c>
      <c r="Z34" s="2" t="s">
        <v>71</v>
      </c>
      <c r="AA34" s="2" t="s">
        <v>71</v>
      </c>
      <c r="AB34" s="2" t="s">
        <v>71</v>
      </c>
      <c r="AC34" s="2" t="s">
        <v>71</v>
      </c>
      <c r="AD34" s="2" t="s">
        <v>106</v>
      </c>
      <c r="AE34" s="2" t="s">
        <v>106</v>
      </c>
      <c r="AF34" s="2" t="s">
        <v>71</v>
      </c>
      <c r="AG34" s="2" t="s">
        <v>71</v>
      </c>
      <c r="AH34" s="2" t="s">
        <v>71</v>
      </c>
      <c r="AI34" s="2" t="s">
        <v>71</v>
      </c>
      <c r="AJ34" s="2" t="s">
        <v>106</v>
      </c>
      <c r="AK34" s="2" t="s">
        <v>106</v>
      </c>
      <c r="AL34" s="2" t="s">
        <v>106</v>
      </c>
      <c r="AM34" s="2" t="s">
        <v>71</v>
      </c>
      <c r="AN34" s="2" t="s">
        <v>71</v>
      </c>
      <c r="AO34" s="2" t="s">
        <v>71</v>
      </c>
      <c r="AP34" s="2" t="s">
        <v>71</v>
      </c>
      <c r="AQ34" s="2" t="s">
        <v>106</v>
      </c>
      <c r="AR34" s="2" t="s">
        <v>71</v>
      </c>
      <c r="AS34" s="2" t="s">
        <v>106</v>
      </c>
      <c r="AT34" s="2" t="s">
        <v>71</v>
      </c>
      <c r="AU34" s="2" t="s">
        <v>71</v>
      </c>
      <c r="AV34" s="2" t="s">
        <v>71</v>
      </c>
      <c r="AW34" s="2" t="s">
        <v>71</v>
      </c>
      <c r="AX34" s="2" t="s">
        <v>106</v>
      </c>
      <c r="AY34" s="2" t="s">
        <v>71</v>
      </c>
    </row>
    <row r="35" spans="1:51" ht="16" hidden="1">
      <c r="A35" s="2" t="s">
        <v>449</v>
      </c>
      <c r="B35" s="2" t="s">
        <v>106</v>
      </c>
      <c r="D35" s="4" t="s">
        <v>353</v>
      </c>
      <c r="E35" s="4" t="s">
        <v>452</v>
      </c>
      <c r="J35" s="4" t="s">
        <v>444</v>
      </c>
      <c r="L35" s="2" t="s">
        <v>71</v>
      </c>
      <c r="M35" s="2" t="s">
        <v>71</v>
      </c>
      <c r="N35" s="2" t="s">
        <v>71</v>
      </c>
      <c r="O35" s="2" t="s">
        <v>71</v>
      </c>
      <c r="P35" s="2" t="s">
        <v>71</v>
      </c>
      <c r="Q35" s="2" t="s">
        <v>71</v>
      </c>
      <c r="R35" s="2" t="s">
        <v>71</v>
      </c>
      <c r="S35" s="2" t="s">
        <v>71</v>
      </c>
      <c r="T35" s="2" t="s">
        <v>71</v>
      </c>
      <c r="U35" s="2" t="s">
        <v>71</v>
      </c>
      <c r="V35" s="2" t="s">
        <v>71</v>
      </c>
      <c r="W35" s="2" t="s">
        <v>71</v>
      </c>
      <c r="X35" s="2" t="s">
        <v>71</v>
      </c>
      <c r="Y35" s="2" t="s">
        <v>106</v>
      </c>
      <c r="Z35" s="2" t="s">
        <v>71</v>
      </c>
      <c r="AA35" s="2" t="s">
        <v>71</v>
      </c>
      <c r="AB35" s="2" t="s">
        <v>71</v>
      </c>
      <c r="AC35" s="2" t="s">
        <v>71</v>
      </c>
      <c r="AD35" s="2" t="s">
        <v>106</v>
      </c>
      <c r="AE35" s="2" t="s">
        <v>106</v>
      </c>
      <c r="AF35" s="2" t="s">
        <v>71</v>
      </c>
      <c r="AG35" s="2" t="s">
        <v>71</v>
      </c>
      <c r="AH35" s="2" t="s">
        <v>71</v>
      </c>
      <c r="AI35" s="2" t="s">
        <v>71</v>
      </c>
      <c r="AJ35" s="2" t="s">
        <v>106</v>
      </c>
      <c r="AK35" s="2" t="s">
        <v>106</v>
      </c>
      <c r="AL35" s="2" t="s">
        <v>106</v>
      </c>
      <c r="AM35" s="2" t="s">
        <v>71</v>
      </c>
      <c r="AN35" s="2" t="s">
        <v>71</v>
      </c>
      <c r="AO35" s="2" t="s">
        <v>71</v>
      </c>
      <c r="AP35" s="2" t="s">
        <v>71</v>
      </c>
      <c r="AQ35" s="2" t="s">
        <v>106</v>
      </c>
      <c r="AR35" s="2" t="s">
        <v>71</v>
      </c>
      <c r="AS35" s="2" t="s">
        <v>106</v>
      </c>
      <c r="AT35" s="2" t="s">
        <v>71</v>
      </c>
      <c r="AU35" s="2" t="s">
        <v>71</v>
      </c>
      <c r="AV35" s="2" t="s">
        <v>71</v>
      </c>
      <c r="AW35" s="2" t="s">
        <v>71</v>
      </c>
      <c r="AX35" s="2" t="s">
        <v>106</v>
      </c>
      <c r="AY35" s="2" t="s">
        <v>71</v>
      </c>
    </row>
    <row r="36" spans="1:51" s="44" customFormat="1" ht="48" hidden="1">
      <c r="A36" s="44" t="s">
        <v>453</v>
      </c>
      <c r="B36" s="44" t="s">
        <v>106</v>
      </c>
      <c r="C36" s="45" t="s">
        <v>454</v>
      </c>
      <c r="D36" s="45" t="s">
        <v>455</v>
      </c>
      <c r="E36" s="45" t="s">
        <v>456</v>
      </c>
      <c r="F36" s="44" t="s">
        <v>250</v>
      </c>
      <c r="G36" s="44" t="s">
        <v>348</v>
      </c>
      <c r="J36" s="45" t="s">
        <v>457</v>
      </c>
      <c r="K36" s="45"/>
      <c r="L36" s="44" t="s">
        <v>106</v>
      </c>
      <c r="M36" s="44" t="s">
        <v>106</v>
      </c>
      <c r="N36" s="44" t="s">
        <v>106</v>
      </c>
      <c r="O36" s="44" t="s">
        <v>106</v>
      </c>
      <c r="P36" s="44" t="s">
        <v>71</v>
      </c>
      <c r="Q36" s="44" t="s">
        <v>106</v>
      </c>
      <c r="R36" s="44" t="s">
        <v>71</v>
      </c>
      <c r="S36" s="44" t="s">
        <v>106</v>
      </c>
      <c r="T36" s="44" t="s">
        <v>106</v>
      </c>
      <c r="U36" s="44" t="s">
        <v>106</v>
      </c>
      <c r="V36" s="44" t="s">
        <v>106</v>
      </c>
      <c r="W36" s="44" t="s">
        <v>106</v>
      </c>
      <c r="X36" s="44" t="s">
        <v>106</v>
      </c>
      <c r="Y36" s="44" t="s">
        <v>106</v>
      </c>
      <c r="Z36" s="44" t="s">
        <v>106</v>
      </c>
      <c r="AA36" s="44" t="s">
        <v>106</v>
      </c>
      <c r="AB36" s="44" t="s">
        <v>106</v>
      </c>
      <c r="AC36" s="44" t="s">
        <v>106</v>
      </c>
      <c r="AD36" s="44" t="s">
        <v>106</v>
      </c>
      <c r="AE36" s="44" t="s">
        <v>106</v>
      </c>
      <c r="AF36" s="44" t="s">
        <v>106</v>
      </c>
      <c r="AG36" s="44" t="s">
        <v>106</v>
      </c>
      <c r="AH36" s="44" t="s">
        <v>106</v>
      </c>
      <c r="AI36" s="44" t="s">
        <v>106</v>
      </c>
      <c r="AJ36" s="44" t="s">
        <v>106</v>
      </c>
      <c r="AK36" s="44" t="s">
        <v>106</v>
      </c>
      <c r="AL36" s="44" t="s">
        <v>106</v>
      </c>
      <c r="AM36" s="44" t="s">
        <v>106</v>
      </c>
      <c r="AN36" s="44" t="s">
        <v>106</v>
      </c>
      <c r="AO36" s="44" t="s">
        <v>106</v>
      </c>
      <c r="AP36" s="44" t="s">
        <v>106</v>
      </c>
      <c r="AQ36" s="44" t="s">
        <v>106</v>
      </c>
      <c r="AR36" s="44" t="s">
        <v>71</v>
      </c>
      <c r="AS36" s="44" t="s">
        <v>106</v>
      </c>
      <c r="AT36" s="44" t="s">
        <v>71</v>
      </c>
      <c r="AU36" s="44" t="s">
        <v>106</v>
      </c>
      <c r="AV36" s="44" t="s">
        <v>106</v>
      </c>
      <c r="AW36" s="44" t="s">
        <v>106</v>
      </c>
      <c r="AX36" s="44" t="s">
        <v>106</v>
      </c>
      <c r="AY36" s="44" t="s">
        <v>106</v>
      </c>
    </row>
    <row r="37" spans="1:51" ht="16" hidden="1">
      <c r="A37" s="2" t="s">
        <v>458</v>
      </c>
      <c r="B37" s="2" t="s">
        <v>106</v>
      </c>
      <c r="D37" s="4" t="s">
        <v>353</v>
      </c>
      <c r="E37" s="4" t="s">
        <v>341</v>
      </c>
      <c r="J37" s="4" t="s">
        <v>342</v>
      </c>
      <c r="L37" s="2" t="s">
        <v>106</v>
      </c>
      <c r="M37" s="2" t="s">
        <v>106</v>
      </c>
      <c r="N37" s="2" t="s">
        <v>106</v>
      </c>
      <c r="O37" s="2" t="s">
        <v>106</v>
      </c>
      <c r="P37" s="2" t="s">
        <v>106</v>
      </c>
      <c r="Q37" s="2" t="s">
        <v>106</v>
      </c>
      <c r="R37" s="2" t="s">
        <v>106</v>
      </c>
      <c r="S37" s="2" t="s">
        <v>106</v>
      </c>
      <c r="T37" s="2" t="s">
        <v>106</v>
      </c>
      <c r="U37" s="2" t="s">
        <v>106</v>
      </c>
      <c r="V37" s="2" t="s">
        <v>106</v>
      </c>
      <c r="W37" s="2" t="s">
        <v>106</v>
      </c>
      <c r="X37" s="2" t="s">
        <v>106</v>
      </c>
      <c r="Y37" s="2" t="s">
        <v>106</v>
      </c>
      <c r="Z37" s="2" t="s">
        <v>106</v>
      </c>
      <c r="AA37" s="2" t="s">
        <v>106</v>
      </c>
      <c r="AB37" s="2" t="s">
        <v>106</v>
      </c>
      <c r="AC37" s="2" t="s">
        <v>106</v>
      </c>
      <c r="AD37" s="2" t="s">
        <v>106</v>
      </c>
      <c r="AE37" s="2" t="s">
        <v>106</v>
      </c>
      <c r="AF37" s="2" t="s">
        <v>106</v>
      </c>
      <c r="AG37" s="2" t="s">
        <v>106</v>
      </c>
      <c r="AH37" s="2" t="s">
        <v>106</v>
      </c>
      <c r="AI37" s="2" t="s">
        <v>106</v>
      </c>
      <c r="AJ37" s="2" t="s">
        <v>106</v>
      </c>
      <c r="AK37" s="2" t="s">
        <v>106</v>
      </c>
      <c r="AL37" s="2" t="s">
        <v>106</v>
      </c>
      <c r="AM37" s="2" t="s">
        <v>106</v>
      </c>
      <c r="AN37" s="2" t="s">
        <v>106</v>
      </c>
      <c r="AO37" s="2" t="s">
        <v>106</v>
      </c>
      <c r="AP37" s="2" t="s">
        <v>106</v>
      </c>
      <c r="AQ37" s="2" t="s">
        <v>106</v>
      </c>
      <c r="AR37" s="2" t="s">
        <v>106</v>
      </c>
      <c r="AS37" s="2" t="s">
        <v>106</v>
      </c>
      <c r="AT37" s="2" t="s">
        <v>106</v>
      </c>
      <c r="AU37" s="2" t="s">
        <v>106</v>
      </c>
      <c r="AV37" s="2" t="s">
        <v>106</v>
      </c>
      <c r="AW37" s="2" t="s">
        <v>106</v>
      </c>
      <c r="AX37" s="2" t="s">
        <v>106</v>
      </c>
      <c r="AY37" s="2" t="s">
        <v>106</v>
      </c>
    </row>
    <row r="38" spans="1:51" ht="16" hidden="1">
      <c r="A38" s="2" t="s">
        <v>459</v>
      </c>
      <c r="B38" s="2" t="s">
        <v>106</v>
      </c>
      <c r="D38" s="4" t="s">
        <v>353</v>
      </c>
      <c r="E38" s="4" t="s">
        <v>341</v>
      </c>
      <c r="J38" s="4" t="s">
        <v>342</v>
      </c>
      <c r="L38" s="2" t="s">
        <v>106</v>
      </c>
      <c r="M38" s="2" t="s">
        <v>106</v>
      </c>
      <c r="N38" s="2" t="s">
        <v>106</v>
      </c>
      <c r="O38" s="2" t="s">
        <v>106</v>
      </c>
      <c r="P38" s="2" t="s">
        <v>106</v>
      </c>
      <c r="Q38" s="2" t="s">
        <v>106</v>
      </c>
      <c r="R38" s="2" t="s">
        <v>106</v>
      </c>
      <c r="S38" s="2" t="s">
        <v>106</v>
      </c>
      <c r="T38" s="2" t="s">
        <v>106</v>
      </c>
      <c r="U38" s="2" t="s">
        <v>106</v>
      </c>
      <c r="V38" s="2" t="s">
        <v>106</v>
      </c>
      <c r="W38" s="2" t="s">
        <v>106</v>
      </c>
      <c r="X38" s="2" t="s">
        <v>106</v>
      </c>
      <c r="Y38" s="2" t="s">
        <v>106</v>
      </c>
      <c r="Z38" s="2" t="s">
        <v>106</v>
      </c>
      <c r="AA38" s="2" t="s">
        <v>106</v>
      </c>
      <c r="AB38" s="2" t="s">
        <v>106</v>
      </c>
      <c r="AC38" s="2" t="s">
        <v>106</v>
      </c>
      <c r="AD38" s="2" t="s">
        <v>106</v>
      </c>
      <c r="AE38" s="2" t="s">
        <v>106</v>
      </c>
      <c r="AF38" s="2" t="s">
        <v>106</v>
      </c>
      <c r="AG38" s="2" t="s">
        <v>106</v>
      </c>
      <c r="AH38" s="2" t="s">
        <v>106</v>
      </c>
      <c r="AI38" s="2" t="s">
        <v>106</v>
      </c>
      <c r="AJ38" s="2" t="s">
        <v>106</v>
      </c>
      <c r="AK38" s="2" t="s">
        <v>106</v>
      </c>
      <c r="AL38" s="2" t="s">
        <v>106</v>
      </c>
      <c r="AM38" s="2" t="s">
        <v>106</v>
      </c>
      <c r="AN38" s="2" t="s">
        <v>106</v>
      </c>
      <c r="AO38" s="2" t="s">
        <v>106</v>
      </c>
      <c r="AP38" s="2" t="s">
        <v>106</v>
      </c>
      <c r="AQ38" s="2" t="s">
        <v>106</v>
      </c>
      <c r="AR38" s="2" t="s">
        <v>106</v>
      </c>
      <c r="AS38" s="2" t="s">
        <v>106</v>
      </c>
      <c r="AT38" s="2" t="s">
        <v>106</v>
      </c>
      <c r="AU38" s="2" t="s">
        <v>106</v>
      </c>
      <c r="AV38" s="2" t="s">
        <v>106</v>
      </c>
      <c r="AW38" s="2" t="s">
        <v>106</v>
      </c>
      <c r="AX38" s="2" t="s">
        <v>106</v>
      </c>
      <c r="AY38" s="2" t="s">
        <v>106</v>
      </c>
    </row>
    <row r="39" spans="1:51" ht="16" hidden="1">
      <c r="A39" s="2" t="s">
        <v>460</v>
      </c>
      <c r="B39" s="2" t="s">
        <v>106</v>
      </c>
      <c r="D39" s="4" t="s">
        <v>353</v>
      </c>
      <c r="E39" s="4" t="s">
        <v>341</v>
      </c>
      <c r="J39" s="4" t="s">
        <v>342</v>
      </c>
      <c r="L39" s="2" t="s">
        <v>71</v>
      </c>
      <c r="M39" s="2" t="s">
        <v>106</v>
      </c>
      <c r="N39" s="2" t="s">
        <v>71</v>
      </c>
      <c r="O39" s="2" t="s">
        <v>71</v>
      </c>
      <c r="P39" s="2" t="s">
        <v>106</v>
      </c>
      <c r="Q39" s="2" t="s">
        <v>71</v>
      </c>
      <c r="R39" s="2" t="s">
        <v>106</v>
      </c>
      <c r="S39" s="2" t="s">
        <v>71</v>
      </c>
      <c r="T39" s="2" t="s">
        <v>71</v>
      </c>
      <c r="U39" s="2" t="s">
        <v>71</v>
      </c>
      <c r="V39" s="2" t="s">
        <v>71</v>
      </c>
      <c r="W39" s="2" t="s">
        <v>71</v>
      </c>
      <c r="X39" s="2" t="s">
        <v>71</v>
      </c>
      <c r="Y39" s="2" t="s">
        <v>106</v>
      </c>
      <c r="Z39" s="2" t="s">
        <v>71</v>
      </c>
      <c r="AA39" s="2" t="s">
        <v>71</v>
      </c>
      <c r="AB39" s="2" t="s">
        <v>71</v>
      </c>
      <c r="AC39" s="2" t="s">
        <v>71</v>
      </c>
      <c r="AD39" s="2" t="s">
        <v>106</v>
      </c>
      <c r="AE39" s="2" t="s">
        <v>106</v>
      </c>
      <c r="AF39" s="2" t="s">
        <v>71</v>
      </c>
      <c r="AG39" s="2" t="s">
        <v>71</v>
      </c>
      <c r="AH39" s="2" t="s">
        <v>71</v>
      </c>
      <c r="AI39" s="2" t="s">
        <v>71</v>
      </c>
      <c r="AJ39" s="2" t="s">
        <v>106</v>
      </c>
      <c r="AK39" s="2" t="s">
        <v>106</v>
      </c>
      <c r="AL39" s="2" t="s">
        <v>106</v>
      </c>
      <c r="AM39" s="2" t="s">
        <v>71</v>
      </c>
      <c r="AN39" s="2" t="s">
        <v>71</v>
      </c>
      <c r="AO39" s="2" t="s">
        <v>71</v>
      </c>
      <c r="AP39" s="2" t="s">
        <v>71</v>
      </c>
      <c r="AQ39" s="2" t="s">
        <v>106</v>
      </c>
      <c r="AR39" s="2" t="s">
        <v>71</v>
      </c>
      <c r="AS39" s="2" t="s">
        <v>106</v>
      </c>
      <c r="AT39" s="2" t="s">
        <v>106</v>
      </c>
      <c r="AU39" s="2" t="s">
        <v>71</v>
      </c>
      <c r="AV39" s="2" t="s">
        <v>71</v>
      </c>
      <c r="AW39" s="2" t="s">
        <v>71</v>
      </c>
      <c r="AX39" s="2" t="s">
        <v>106</v>
      </c>
      <c r="AY39" s="2" t="s">
        <v>71</v>
      </c>
    </row>
    <row r="40" spans="1:51" ht="16" hidden="1">
      <c r="A40" s="2" t="s">
        <v>461</v>
      </c>
      <c r="B40" s="2" t="s">
        <v>106</v>
      </c>
      <c r="D40" s="4" t="s">
        <v>353</v>
      </c>
      <c r="E40" s="4" t="s">
        <v>341</v>
      </c>
      <c r="J40" s="4" t="s">
        <v>342</v>
      </c>
      <c r="L40" s="2" t="s">
        <v>71</v>
      </c>
      <c r="M40" s="2" t="s">
        <v>106</v>
      </c>
      <c r="N40" s="2" t="s">
        <v>71</v>
      </c>
      <c r="O40" s="2" t="s">
        <v>71</v>
      </c>
      <c r="P40" s="2" t="s">
        <v>106</v>
      </c>
      <c r="Q40" s="2" t="s">
        <v>71</v>
      </c>
      <c r="R40" s="2" t="s">
        <v>106</v>
      </c>
      <c r="S40" s="2" t="s">
        <v>71</v>
      </c>
      <c r="T40" s="2" t="s">
        <v>71</v>
      </c>
      <c r="U40" s="2" t="s">
        <v>71</v>
      </c>
      <c r="V40" s="2" t="s">
        <v>71</v>
      </c>
      <c r="W40" s="2" t="s">
        <v>71</v>
      </c>
      <c r="X40" s="2" t="s">
        <v>71</v>
      </c>
      <c r="Y40" s="2" t="s">
        <v>106</v>
      </c>
      <c r="Z40" s="2" t="s">
        <v>71</v>
      </c>
      <c r="AA40" s="2" t="s">
        <v>71</v>
      </c>
      <c r="AB40" s="2" t="s">
        <v>71</v>
      </c>
      <c r="AC40" s="2" t="s">
        <v>71</v>
      </c>
      <c r="AD40" s="2" t="s">
        <v>106</v>
      </c>
      <c r="AE40" s="2" t="s">
        <v>106</v>
      </c>
      <c r="AF40" s="2" t="s">
        <v>71</v>
      </c>
      <c r="AG40" s="2" t="s">
        <v>71</v>
      </c>
      <c r="AH40" s="2" t="s">
        <v>71</v>
      </c>
      <c r="AI40" s="2" t="s">
        <v>71</v>
      </c>
      <c r="AJ40" s="2" t="s">
        <v>106</v>
      </c>
      <c r="AK40" s="2" t="s">
        <v>106</v>
      </c>
      <c r="AL40" s="2" t="s">
        <v>106</v>
      </c>
      <c r="AM40" s="2" t="s">
        <v>71</v>
      </c>
      <c r="AN40" s="2" t="s">
        <v>71</v>
      </c>
      <c r="AO40" s="2" t="s">
        <v>71</v>
      </c>
      <c r="AP40" s="2" t="s">
        <v>71</v>
      </c>
      <c r="AQ40" s="2" t="s">
        <v>106</v>
      </c>
      <c r="AR40" s="2" t="s">
        <v>71</v>
      </c>
      <c r="AS40" s="2" t="s">
        <v>106</v>
      </c>
      <c r="AT40" s="2" t="s">
        <v>106</v>
      </c>
      <c r="AU40" s="2" t="s">
        <v>71</v>
      </c>
      <c r="AV40" s="2" t="s">
        <v>71</v>
      </c>
      <c r="AW40" s="2" t="s">
        <v>71</v>
      </c>
      <c r="AX40" s="2" t="s">
        <v>106</v>
      </c>
      <c r="AY40" s="2" t="s">
        <v>71</v>
      </c>
    </row>
    <row r="41" spans="1:51" ht="32" hidden="1">
      <c r="A41" s="44" t="s">
        <v>462</v>
      </c>
      <c r="B41" s="44" t="s">
        <v>71</v>
      </c>
      <c r="C41" s="45" t="s">
        <v>463</v>
      </c>
      <c r="D41" s="45" t="s">
        <v>464</v>
      </c>
      <c r="E41" s="45" t="s">
        <v>370</v>
      </c>
      <c r="F41" s="44" t="s">
        <v>402</v>
      </c>
      <c r="G41" s="44" t="s">
        <v>348</v>
      </c>
      <c r="H41" s="44" t="s">
        <v>203</v>
      </c>
      <c r="L41" s="2" t="s">
        <v>71</v>
      </c>
      <c r="M41" s="2" t="s">
        <v>71</v>
      </c>
      <c r="N41" s="2" t="s">
        <v>71</v>
      </c>
      <c r="O41" s="2" t="s">
        <v>71</v>
      </c>
      <c r="P41" s="2" t="s">
        <v>71</v>
      </c>
      <c r="Q41" s="2" t="s">
        <v>71</v>
      </c>
      <c r="R41" s="2" t="s">
        <v>71</v>
      </c>
      <c r="S41" s="2" t="s">
        <v>71</v>
      </c>
      <c r="T41" s="2" t="s">
        <v>71</v>
      </c>
      <c r="U41" s="2" t="s">
        <v>71</v>
      </c>
      <c r="V41" s="2" t="s">
        <v>71</v>
      </c>
      <c r="W41" s="2" t="s">
        <v>71</v>
      </c>
      <c r="X41" s="2" t="s">
        <v>71</v>
      </c>
      <c r="Y41" s="2" t="s">
        <v>106</v>
      </c>
      <c r="Z41" s="2" t="s">
        <v>71</v>
      </c>
      <c r="AA41" s="2" t="s">
        <v>71</v>
      </c>
      <c r="AB41" s="2" t="s">
        <v>71</v>
      </c>
      <c r="AC41" s="2" t="s">
        <v>71</v>
      </c>
      <c r="AD41" s="2" t="s">
        <v>106</v>
      </c>
      <c r="AE41" s="2" t="s">
        <v>106</v>
      </c>
      <c r="AF41" s="2" t="s">
        <v>71</v>
      </c>
      <c r="AG41" s="2" t="s">
        <v>71</v>
      </c>
      <c r="AH41" s="2" t="s">
        <v>71</v>
      </c>
      <c r="AI41" s="2" t="s">
        <v>71</v>
      </c>
      <c r="AJ41" s="2" t="s">
        <v>106</v>
      </c>
      <c r="AK41" s="2" t="s">
        <v>106</v>
      </c>
      <c r="AL41" s="2" t="s">
        <v>106</v>
      </c>
      <c r="AM41" s="2" t="s">
        <v>71</v>
      </c>
      <c r="AN41" s="2" t="s">
        <v>71</v>
      </c>
      <c r="AO41" s="2" t="s">
        <v>71</v>
      </c>
      <c r="AP41" s="2" t="s">
        <v>71</v>
      </c>
      <c r="AQ41" s="2" t="s">
        <v>106</v>
      </c>
      <c r="AR41" s="2" t="s">
        <v>71</v>
      </c>
      <c r="AS41" s="2" t="s">
        <v>106</v>
      </c>
      <c r="AT41" s="2" t="s">
        <v>71</v>
      </c>
      <c r="AU41" s="2" t="s">
        <v>71</v>
      </c>
      <c r="AV41" s="2" t="s">
        <v>71</v>
      </c>
      <c r="AW41" s="2" t="s">
        <v>71</v>
      </c>
      <c r="AX41" s="2" t="s">
        <v>106</v>
      </c>
      <c r="AY41" s="2" t="s">
        <v>71</v>
      </c>
    </row>
    <row r="42" spans="1:51" ht="16" hidden="1">
      <c r="A42" s="2" t="s">
        <v>465</v>
      </c>
      <c r="B42" s="2" t="s">
        <v>106</v>
      </c>
      <c r="D42" s="4" t="s">
        <v>353</v>
      </c>
      <c r="E42" s="4" t="s">
        <v>341</v>
      </c>
      <c r="J42" s="4" t="s">
        <v>342</v>
      </c>
      <c r="L42" s="2" t="s">
        <v>106</v>
      </c>
      <c r="M42" s="2" t="s">
        <v>106</v>
      </c>
      <c r="N42" s="2" t="s">
        <v>106</v>
      </c>
      <c r="O42" s="2" t="s">
        <v>106</v>
      </c>
      <c r="P42" s="2" t="s">
        <v>106</v>
      </c>
      <c r="Q42" s="2" t="s">
        <v>106</v>
      </c>
      <c r="R42" s="2" t="s">
        <v>106</v>
      </c>
      <c r="S42" s="2" t="s">
        <v>106</v>
      </c>
      <c r="T42" s="2" t="s">
        <v>106</v>
      </c>
      <c r="U42" s="2" t="s">
        <v>106</v>
      </c>
      <c r="V42" s="2" t="s">
        <v>106</v>
      </c>
      <c r="W42" s="2" t="s">
        <v>106</v>
      </c>
      <c r="X42" s="2" t="s">
        <v>106</v>
      </c>
      <c r="Y42" s="2" t="s">
        <v>106</v>
      </c>
      <c r="Z42" s="2" t="s">
        <v>106</v>
      </c>
      <c r="AA42" s="2" t="s">
        <v>106</v>
      </c>
      <c r="AB42" s="2" t="s">
        <v>106</v>
      </c>
      <c r="AC42" s="2" t="s">
        <v>106</v>
      </c>
      <c r="AD42" s="2" t="s">
        <v>106</v>
      </c>
      <c r="AE42" s="2" t="s">
        <v>106</v>
      </c>
      <c r="AF42" s="2" t="s">
        <v>106</v>
      </c>
      <c r="AG42" s="2" t="s">
        <v>106</v>
      </c>
      <c r="AH42" s="2" t="s">
        <v>106</v>
      </c>
      <c r="AI42" s="2" t="s">
        <v>106</v>
      </c>
      <c r="AJ42" s="2" t="s">
        <v>106</v>
      </c>
      <c r="AK42" s="2" t="s">
        <v>106</v>
      </c>
      <c r="AL42" s="2" t="s">
        <v>106</v>
      </c>
      <c r="AM42" s="2" t="s">
        <v>106</v>
      </c>
      <c r="AN42" s="2" t="s">
        <v>106</v>
      </c>
      <c r="AO42" s="2" t="s">
        <v>106</v>
      </c>
      <c r="AP42" s="2" t="s">
        <v>106</v>
      </c>
      <c r="AQ42" s="2" t="s">
        <v>106</v>
      </c>
      <c r="AR42" s="2" t="s">
        <v>106</v>
      </c>
      <c r="AS42" s="2" t="s">
        <v>106</v>
      </c>
      <c r="AT42" s="2" t="s">
        <v>106</v>
      </c>
      <c r="AU42" s="2" t="s">
        <v>106</v>
      </c>
      <c r="AV42" s="2" t="s">
        <v>106</v>
      </c>
      <c r="AW42" s="2" t="s">
        <v>106</v>
      </c>
      <c r="AX42" s="2" t="s">
        <v>106</v>
      </c>
      <c r="AY42" s="2" t="s">
        <v>106</v>
      </c>
    </row>
    <row r="43" spans="1:51" ht="16" hidden="1" customHeight="1">
      <c r="A43" s="2" t="s">
        <v>466</v>
      </c>
      <c r="B43" s="2" t="s">
        <v>71</v>
      </c>
      <c r="C43" s="4" t="s">
        <v>467</v>
      </c>
      <c r="D43" s="4" t="s">
        <v>468</v>
      </c>
      <c r="E43" s="4" t="s">
        <v>412</v>
      </c>
      <c r="F43" s="2" t="s">
        <v>347</v>
      </c>
      <c r="G43" s="2" t="s">
        <v>351</v>
      </c>
      <c r="H43" s="2" t="s">
        <v>349</v>
      </c>
      <c r="J43" s="4" t="s">
        <v>16</v>
      </c>
      <c r="K43" s="4" t="s">
        <v>9</v>
      </c>
      <c r="L43" s="2" t="s">
        <v>71</v>
      </c>
      <c r="M43" s="2" t="s">
        <v>71</v>
      </c>
      <c r="N43" s="2" t="s">
        <v>71</v>
      </c>
      <c r="O43" s="2" t="s">
        <v>71</v>
      </c>
      <c r="P43" s="2" t="s">
        <v>71</v>
      </c>
      <c r="Q43" s="2" t="s">
        <v>71</v>
      </c>
      <c r="R43" s="2" t="s">
        <v>71</v>
      </c>
      <c r="S43" s="2" t="s">
        <v>71</v>
      </c>
      <c r="T43" s="2" t="s">
        <v>71</v>
      </c>
      <c r="U43" s="2" t="s">
        <v>71</v>
      </c>
      <c r="V43" s="2" t="s">
        <v>71</v>
      </c>
      <c r="W43" s="2" t="s">
        <v>71</v>
      </c>
      <c r="X43" s="2" t="s">
        <v>71</v>
      </c>
      <c r="Y43" s="2" t="s">
        <v>106</v>
      </c>
      <c r="Z43" s="2" t="s">
        <v>71</v>
      </c>
      <c r="AA43" s="2" t="s">
        <v>71</v>
      </c>
      <c r="AB43" s="2" t="s">
        <v>71</v>
      </c>
      <c r="AC43" s="2" t="s">
        <v>71</v>
      </c>
      <c r="AD43" s="2" t="s">
        <v>106</v>
      </c>
      <c r="AE43" s="2" t="s">
        <v>106</v>
      </c>
      <c r="AF43" s="2" t="s">
        <v>71</v>
      </c>
      <c r="AG43" s="2" t="s">
        <v>71</v>
      </c>
      <c r="AH43" s="2" t="s">
        <v>71</v>
      </c>
      <c r="AI43" s="2" t="s">
        <v>71</v>
      </c>
      <c r="AJ43" s="2" t="s">
        <v>106</v>
      </c>
      <c r="AK43" s="2" t="s">
        <v>106</v>
      </c>
      <c r="AL43" s="2" t="s">
        <v>106</v>
      </c>
      <c r="AM43" s="2" t="s">
        <v>71</v>
      </c>
      <c r="AN43" s="2" t="s">
        <v>71</v>
      </c>
      <c r="AO43" s="2" t="s">
        <v>71</v>
      </c>
      <c r="AP43" s="2" t="s">
        <v>71</v>
      </c>
      <c r="AQ43" s="2" t="s">
        <v>106</v>
      </c>
      <c r="AR43" s="2" t="s">
        <v>71</v>
      </c>
      <c r="AS43" s="2" t="s">
        <v>106</v>
      </c>
      <c r="AT43" s="2" t="s">
        <v>71</v>
      </c>
      <c r="AU43" s="2" t="s">
        <v>71</v>
      </c>
      <c r="AV43" s="2" t="s">
        <v>71</v>
      </c>
      <c r="AW43" s="2" t="s">
        <v>71</v>
      </c>
      <c r="AX43" s="2" t="s">
        <v>106</v>
      </c>
      <c r="AY43" s="2" t="s">
        <v>71</v>
      </c>
    </row>
    <row r="44" spans="1:51" ht="16" hidden="1">
      <c r="A44" s="2" t="s">
        <v>469</v>
      </c>
      <c r="B44" s="2" t="s">
        <v>106</v>
      </c>
      <c r="D44" s="4" t="s">
        <v>470</v>
      </c>
      <c r="E44" s="4" t="s">
        <v>443</v>
      </c>
      <c r="J44" s="4" t="s">
        <v>471</v>
      </c>
      <c r="L44" s="2" t="s">
        <v>106</v>
      </c>
      <c r="M44" s="2" t="s">
        <v>106</v>
      </c>
      <c r="N44" s="2" t="s">
        <v>106</v>
      </c>
      <c r="O44" s="2" t="s">
        <v>106</v>
      </c>
      <c r="P44" s="2" t="s">
        <v>106</v>
      </c>
      <c r="Q44" s="2" t="s">
        <v>106</v>
      </c>
      <c r="R44" s="2" t="s">
        <v>106</v>
      </c>
      <c r="S44" s="2" t="s">
        <v>106</v>
      </c>
      <c r="T44" s="2" t="s">
        <v>106</v>
      </c>
      <c r="U44" s="2" t="s">
        <v>71</v>
      </c>
      <c r="V44" s="2" t="s">
        <v>106</v>
      </c>
      <c r="W44" s="2" t="s">
        <v>106</v>
      </c>
      <c r="X44" s="2" t="s">
        <v>106</v>
      </c>
      <c r="Y44" s="2" t="s">
        <v>106</v>
      </c>
      <c r="Z44" s="2" t="s">
        <v>106</v>
      </c>
      <c r="AA44" s="2" t="s">
        <v>106</v>
      </c>
      <c r="AB44" s="2" t="s">
        <v>106</v>
      </c>
      <c r="AC44" s="2" t="s">
        <v>106</v>
      </c>
      <c r="AD44" s="2" t="s">
        <v>106</v>
      </c>
      <c r="AE44" s="2" t="s">
        <v>106</v>
      </c>
      <c r="AF44" s="2" t="s">
        <v>106</v>
      </c>
      <c r="AG44" s="2" t="s">
        <v>106</v>
      </c>
      <c r="AH44" s="2" t="s">
        <v>106</v>
      </c>
      <c r="AI44" s="2" t="s">
        <v>106</v>
      </c>
      <c r="AJ44" s="2" t="s">
        <v>106</v>
      </c>
      <c r="AK44" s="2" t="s">
        <v>106</v>
      </c>
      <c r="AL44" s="2" t="s">
        <v>106</v>
      </c>
      <c r="AM44" s="2" t="s">
        <v>106</v>
      </c>
      <c r="AN44" s="2" t="s">
        <v>106</v>
      </c>
      <c r="AO44" s="2" t="s">
        <v>106</v>
      </c>
      <c r="AP44" s="2" t="s">
        <v>106</v>
      </c>
      <c r="AQ44" s="2" t="s">
        <v>106</v>
      </c>
      <c r="AR44" s="2" t="s">
        <v>106</v>
      </c>
      <c r="AS44" s="2" t="s">
        <v>106</v>
      </c>
      <c r="AT44" s="2" t="s">
        <v>106</v>
      </c>
      <c r="AU44" s="2" t="s">
        <v>106</v>
      </c>
      <c r="AV44" s="2" t="s">
        <v>106</v>
      </c>
      <c r="AW44" s="2" t="s">
        <v>106</v>
      </c>
      <c r="AX44" s="2" t="s">
        <v>106</v>
      </c>
      <c r="AY44" s="2" t="s">
        <v>106</v>
      </c>
    </row>
    <row r="45" spans="1:51" ht="16" hidden="1" customHeight="1">
      <c r="A45" s="2" t="s">
        <v>472</v>
      </c>
      <c r="B45" s="2" t="s">
        <v>71</v>
      </c>
      <c r="C45" s="4" t="s">
        <v>473</v>
      </c>
      <c r="D45" s="4" t="s">
        <v>474</v>
      </c>
      <c r="E45" s="4" t="s">
        <v>475</v>
      </c>
      <c r="F45" s="2" t="s">
        <v>347</v>
      </c>
      <c r="G45" s="2" t="s">
        <v>351</v>
      </c>
      <c r="H45" s="2" t="s">
        <v>349</v>
      </c>
      <c r="K45" s="4" t="s">
        <v>9</v>
      </c>
      <c r="L45" s="2" t="s">
        <v>71</v>
      </c>
      <c r="M45" s="2" t="s">
        <v>71</v>
      </c>
      <c r="N45" s="2" t="s">
        <v>71</v>
      </c>
      <c r="O45" s="2" t="s">
        <v>71</v>
      </c>
      <c r="P45" s="2" t="s">
        <v>71</v>
      </c>
      <c r="Q45" s="2" t="s">
        <v>71</v>
      </c>
      <c r="R45" s="2" t="s">
        <v>71</v>
      </c>
      <c r="S45" s="2" t="s">
        <v>71</v>
      </c>
      <c r="T45" s="2" t="s">
        <v>71</v>
      </c>
      <c r="U45" s="2" t="s">
        <v>71</v>
      </c>
      <c r="V45" s="2" t="s">
        <v>71</v>
      </c>
      <c r="W45" s="2" t="s">
        <v>71</v>
      </c>
      <c r="X45" s="2" t="s">
        <v>71</v>
      </c>
      <c r="Y45" s="2" t="s">
        <v>106</v>
      </c>
      <c r="Z45" s="2" t="s">
        <v>71</v>
      </c>
      <c r="AA45" s="2" t="s">
        <v>71</v>
      </c>
      <c r="AB45" s="2" t="s">
        <v>71</v>
      </c>
      <c r="AC45" s="2" t="s">
        <v>71</v>
      </c>
      <c r="AD45" s="2" t="s">
        <v>106</v>
      </c>
      <c r="AE45" s="2" t="s">
        <v>106</v>
      </c>
      <c r="AF45" s="2" t="s">
        <v>71</v>
      </c>
      <c r="AG45" s="2" t="s">
        <v>71</v>
      </c>
      <c r="AH45" s="2" t="s">
        <v>71</v>
      </c>
      <c r="AI45" s="2" t="s">
        <v>71</v>
      </c>
      <c r="AJ45" s="2" t="s">
        <v>106</v>
      </c>
      <c r="AK45" s="2" t="s">
        <v>106</v>
      </c>
      <c r="AL45" s="2" t="s">
        <v>106</v>
      </c>
      <c r="AM45" s="2" t="s">
        <v>71</v>
      </c>
      <c r="AN45" s="2" t="s">
        <v>71</v>
      </c>
      <c r="AO45" s="2" t="s">
        <v>71</v>
      </c>
      <c r="AP45" s="2" t="s">
        <v>71</v>
      </c>
      <c r="AQ45" s="2" t="s">
        <v>106</v>
      </c>
      <c r="AR45" s="2" t="s">
        <v>71</v>
      </c>
      <c r="AS45" s="2" t="s">
        <v>106</v>
      </c>
      <c r="AT45" s="2" t="s">
        <v>71</v>
      </c>
      <c r="AU45" s="2" t="s">
        <v>71</v>
      </c>
      <c r="AV45" s="2" t="s">
        <v>71</v>
      </c>
      <c r="AW45" s="2" t="s">
        <v>71</v>
      </c>
      <c r="AX45" s="2" t="s">
        <v>106</v>
      </c>
      <c r="AY45" s="2" t="s">
        <v>71</v>
      </c>
    </row>
    <row r="46" spans="1:51" ht="16" hidden="1" customHeight="1">
      <c r="A46" s="2" t="s">
        <v>472</v>
      </c>
      <c r="B46" s="2" t="s">
        <v>71</v>
      </c>
      <c r="C46" s="4" t="s">
        <v>473</v>
      </c>
      <c r="D46" s="4" t="s">
        <v>474</v>
      </c>
      <c r="E46" s="4" t="s">
        <v>476</v>
      </c>
      <c r="F46" s="2" t="s">
        <v>477</v>
      </c>
      <c r="G46" s="2" t="s">
        <v>351</v>
      </c>
      <c r="H46" s="2" t="s">
        <v>349</v>
      </c>
      <c r="K46" s="4" t="s">
        <v>9</v>
      </c>
      <c r="L46" s="2" t="s">
        <v>71</v>
      </c>
      <c r="M46" s="2" t="s">
        <v>71</v>
      </c>
      <c r="N46" s="2" t="s">
        <v>71</v>
      </c>
      <c r="O46" s="2" t="s">
        <v>71</v>
      </c>
      <c r="P46" s="2" t="s">
        <v>71</v>
      </c>
      <c r="Q46" s="2" t="s">
        <v>71</v>
      </c>
      <c r="R46" s="2" t="s">
        <v>71</v>
      </c>
      <c r="S46" s="2" t="s">
        <v>71</v>
      </c>
      <c r="T46" s="2" t="s">
        <v>71</v>
      </c>
      <c r="U46" s="2" t="s">
        <v>71</v>
      </c>
      <c r="V46" s="2" t="s">
        <v>71</v>
      </c>
      <c r="W46" s="2" t="s">
        <v>71</v>
      </c>
      <c r="X46" s="2" t="s">
        <v>71</v>
      </c>
      <c r="Y46" s="2" t="s">
        <v>106</v>
      </c>
      <c r="Z46" s="2" t="s">
        <v>71</v>
      </c>
      <c r="AA46" s="2" t="s">
        <v>71</v>
      </c>
      <c r="AB46" s="2" t="s">
        <v>71</v>
      </c>
      <c r="AC46" s="2" t="s">
        <v>71</v>
      </c>
      <c r="AD46" s="2" t="s">
        <v>106</v>
      </c>
      <c r="AE46" s="2" t="s">
        <v>106</v>
      </c>
      <c r="AF46" s="2" t="s">
        <v>71</v>
      </c>
      <c r="AG46" s="2" t="s">
        <v>71</v>
      </c>
      <c r="AH46" s="2" t="s">
        <v>71</v>
      </c>
      <c r="AI46" s="2" t="s">
        <v>71</v>
      </c>
      <c r="AJ46" s="2" t="s">
        <v>106</v>
      </c>
      <c r="AK46" s="2" t="s">
        <v>106</v>
      </c>
      <c r="AL46" s="2" t="s">
        <v>106</v>
      </c>
      <c r="AM46" s="2" t="s">
        <v>71</v>
      </c>
      <c r="AN46" s="2" t="s">
        <v>71</v>
      </c>
      <c r="AO46" s="2" t="s">
        <v>71</v>
      </c>
      <c r="AP46" s="2" t="s">
        <v>71</v>
      </c>
      <c r="AQ46" s="2" t="s">
        <v>106</v>
      </c>
      <c r="AR46" s="2" t="s">
        <v>71</v>
      </c>
      <c r="AS46" s="2" t="s">
        <v>106</v>
      </c>
      <c r="AT46" s="2" t="s">
        <v>71</v>
      </c>
      <c r="AU46" s="2" t="s">
        <v>71</v>
      </c>
      <c r="AV46" s="2" t="s">
        <v>71</v>
      </c>
      <c r="AW46" s="2" t="s">
        <v>71</v>
      </c>
      <c r="AX46" s="2" t="s">
        <v>106</v>
      </c>
      <c r="AY46" s="2" t="s">
        <v>71</v>
      </c>
    </row>
    <row r="47" spans="1:51" ht="32">
      <c r="A47" s="2" t="s">
        <v>478</v>
      </c>
      <c r="B47" s="2" t="s">
        <v>71</v>
      </c>
      <c r="C47" s="4" t="s">
        <v>479</v>
      </c>
      <c r="D47" s="4" t="s">
        <v>480</v>
      </c>
      <c r="E47" s="4" t="s">
        <v>384</v>
      </c>
      <c r="F47" s="2" t="s">
        <v>481</v>
      </c>
      <c r="G47" s="2" t="s">
        <v>351</v>
      </c>
      <c r="H47" s="2" t="s">
        <v>16</v>
      </c>
      <c r="I47" s="2">
        <v>6</v>
      </c>
      <c r="J47" s="4" t="s">
        <v>482</v>
      </c>
      <c r="K47" s="4" t="s">
        <v>7</v>
      </c>
      <c r="L47" s="2" t="s">
        <v>71</v>
      </c>
      <c r="M47" s="2" t="s">
        <v>71</v>
      </c>
      <c r="N47" s="2" t="s">
        <v>71</v>
      </c>
      <c r="O47" s="2" t="s">
        <v>71</v>
      </c>
      <c r="P47" s="2" t="s">
        <v>71</v>
      </c>
      <c r="Q47" s="2" t="s">
        <v>71</v>
      </c>
      <c r="R47" s="2" t="s">
        <v>71</v>
      </c>
      <c r="S47" s="2" t="s">
        <v>71</v>
      </c>
      <c r="T47" s="2" t="s">
        <v>71</v>
      </c>
      <c r="U47" s="2" t="s">
        <v>71</v>
      </c>
      <c r="V47" s="2" t="s">
        <v>71</v>
      </c>
      <c r="W47" s="2" t="s">
        <v>71</v>
      </c>
      <c r="X47" s="2" t="s">
        <v>71</v>
      </c>
      <c r="Y47" s="2" t="s">
        <v>106</v>
      </c>
      <c r="Z47" s="2" t="s">
        <v>71</v>
      </c>
      <c r="AA47" s="2" t="s">
        <v>71</v>
      </c>
      <c r="AB47" s="2" t="s">
        <v>71</v>
      </c>
      <c r="AC47" s="2" t="s">
        <v>71</v>
      </c>
      <c r="AD47" s="2" t="s">
        <v>106</v>
      </c>
      <c r="AE47" s="2" t="s">
        <v>106</v>
      </c>
      <c r="AF47" s="2" t="s">
        <v>71</v>
      </c>
      <c r="AG47" s="2" t="s">
        <v>71</v>
      </c>
      <c r="AH47" s="2" t="s">
        <v>71</v>
      </c>
      <c r="AI47" s="2" t="s">
        <v>71</v>
      </c>
      <c r="AJ47" s="2" t="s">
        <v>106</v>
      </c>
      <c r="AK47" s="2" t="s">
        <v>106</v>
      </c>
      <c r="AL47" s="2" t="s">
        <v>106</v>
      </c>
      <c r="AM47" s="2" t="s">
        <v>71</v>
      </c>
      <c r="AN47" s="2" t="s">
        <v>71</v>
      </c>
      <c r="AO47" s="2" t="s">
        <v>71</v>
      </c>
      <c r="AP47" s="2" t="s">
        <v>71</v>
      </c>
      <c r="AQ47" s="2" t="s">
        <v>106</v>
      </c>
      <c r="AR47" s="2" t="s">
        <v>71</v>
      </c>
      <c r="AS47" s="2" t="s">
        <v>106</v>
      </c>
      <c r="AT47" s="2" t="s">
        <v>71</v>
      </c>
      <c r="AU47" s="2" t="s">
        <v>71</v>
      </c>
      <c r="AV47" s="2" t="s">
        <v>71</v>
      </c>
      <c r="AW47" s="2" t="s">
        <v>71</v>
      </c>
      <c r="AX47" s="2" t="s">
        <v>106</v>
      </c>
      <c r="AY47" s="2" t="s">
        <v>71</v>
      </c>
    </row>
    <row r="48" spans="1:51" ht="32">
      <c r="A48" s="2" t="s">
        <v>483</v>
      </c>
      <c r="B48" s="2" t="s">
        <v>71</v>
      </c>
      <c r="C48" s="4" t="s">
        <v>484</v>
      </c>
      <c r="D48" s="4" t="s">
        <v>485</v>
      </c>
      <c r="E48" s="4" t="s">
        <v>384</v>
      </c>
      <c r="F48" s="2" t="s">
        <v>481</v>
      </c>
      <c r="G48" s="2" t="s">
        <v>351</v>
      </c>
      <c r="H48" s="2" t="s">
        <v>16</v>
      </c>
      <c r="I48" s="2">
        <v>7</v>
      </c>
      <c r="J48" s="4" t="s">
        <v>486</v>
      </c>
      <c r="K48" s="4" t="s">
        <v>7</v>
      </c>
      <c r="L48" s="2" t="s">
        <v>71</v>
      </c>
      <c r="M48" s="2" t="s">
        <v>71</v>
      </c>
      <c r="N48" s="2" t="s">
        <v>71</v>
      </c>
      <c r="O48" s="2" t="s">
        <v>71</v>
      </c>
      <c r="P48" s="2" t="s">
        <v>71</v>
      </c>
      <c r="Q48" s="2" t="s">
        <v>71</v>
      </c>
      <c r="R48" s="2" t="s">
        <v>71</v>
      </c>
      <c r="S48" s="2" t="s">
        <v>71</v>
      </c>
      <c r="T48" s="2" t="s">
        <v>71</v>
      </c>
      <c r="U48" s="2" t="s">
        <v>71</v>
      </c>
      <c r="V48" s="2" t="s">
        <v>71</v>
      </c>
      <c r="W48" s="2" t="s">
        <v>71</v>
      </c>
      <c r="X48" s="2" t="s">
        <v>71</v>
      </c>
      <c r="Y48" s="2" t="s">
        <v>106</v>
      </c>
      <c r="Z48" s="2" t="s">
        <v>71</v>
      </c>
      <c r="AA48" s="2" t="s">
        <v>71</v>
      </c>
      <c r="AB48" s="2" t="s">
        <v>71</v>
      </c>
      <c r="AC48" s="2" t="s">
        <v>71</v>
      </c>
      <c r="AD48" s="2" t="s">
        <v>106</v>
      </c>
      <c r="AE48" s="2" t="s">
        <v>106</v>
      </c>
      <c r="AF48" s="2" t="s">
        <v>71</v>
      </c>
      <c r="AG48" s="2" t="s">
        <v>71</v>
      </c>
      <c r="AH48" s="2" t="s">
        <v>71</v>
      </c>
      <c r="AI48" s="2" t="s">
        <v>71</v>
      </c>
      <c r="AJ48" s="2" t="s">
        <v>106</v>
      </c>
      <c r="AK48" s="2" t="s">
        <v>106</v>
      </c>
      <c r="AL48" s="2" t="s">
        <v>106</v>
      </c>
      <c r="AM48" s="2" t="s">
        <v>71</v>
      </c>
      <c r="AN48" s="2" t="s">
        <v>71</v>
      </c>
      <c r="AO48" s="2" t="s">
        <v>71</v>
      </c>
      <c r="AP48" s="2" t="s">
        <v>71</v>
      </c>
      <c r="AQ48" s="2" t="s">
        <v>106</v>
      </c>
      <c r="AR48" s="2" t="s">
        <v>71</v>
      </c>
      <c r="AS48" s="2" t="s">
        <v>106</v>
      </c>
      <c r="AT48" s="2" t="s">
        <v>71</v>
      </c>
      <c r="AU48" s="2" t="s">
        <v>71</v>
      </c>
      <c r="AV48" s="2" t="s">
        <v>71</v>
      </c>
      <c r="AW48" s="2" t="s">
        <v>71</v>
      </c>
      <c r="AX48" s="2" t="s">
        <v>106</v>
      </c>
      <c r="AY48" s="2" t="s">
        <v>71</v>
      </c>
    </row>
    <row r="49" spans="1:51" ht="16" hidden="1">
      <c r="A49" s="2" t="s">
        <v>487</v>
      </c>
      <c r="B49" s="2" t="s">
        <v>106</v>
      </c>
      <c r="D49" s="4" t="s">
        <v>353</v>
      </c>
      <c r="E49" s="4" t="s">
        <v>341</v>
      </c>
      <c r="L49" s="2" t="s">
        <v>71</v>
      </c>
      <c r="M49" s="2" t="s">
        <v>106</v>
      </c>
      <c r="N49" s="2" t="s">
        <v>71</v>
      </c>
      <c r="O49" s="2" t="s">
        <v>71</v>
      </c>
      <c r="P49" s="2" t="s">
        <v>106</v>
      </c>
      <c r="Q49" s="2" t="s">
        <v>71</v>
      </c>
      <c r="R49" s="2" t="s">
        <v>106</v>
      </c>
      <c r="S49" s="2" t="s">
        <v>71</v>
      </c>
      <c r="T49" s="2" t="s">
        <v>71</v>
      </c>
      <c r="U49" s="2" t="s">
        <v>71</v>
      </c>
      <c r="V49" s="2" t="s">
        <v>71</v>
      </c>
      <c r="W49" s="2" t="s">
        <v>71</v>
      </c>
      <c r="X49" s="2" t="s">
        <v>71</v>
      </c>
      <c r="Y49" s="2" t="s">
        <v>106</v>
      </c>
      <c r="Z49" s="2" t="s">
        <v>71</v>
      </c>
      <c r="AA49" s="2" t="s">
        <v>71</v>
      </c>
      <c r="AB49" s="2" t="s">
        <v>71</v>
      </c>
      <c r="AC49" s="2" t="s">
        <v>71</v>
      </c>
      <c r="AD49" s="2" t="s">
        <v>106</v>
      </c>
      <c r="AE49" s="2" t="s">
        <v>106</v>
      </c>
      <c r="AF49" s="2" t="s">
        <v>71</v>
      </c>
      <c r="AG49" s="2" t="s">
        <v>71</v>
      </c>
      <c r="AH49" s="2" t="s">
        <v>71</v>
      </c>
      <c r="AI49" s="2" t="s">
        <v>71</v>
      </c>
      <c r="AJ49" s="2" t="s">
        <v>106</v>
      </c>
      <c r="AK49" s="2" t="s">
        <v>106</v>
      </c>
      <c r="AL49" s="2" t="s">
        <v>106</v>
      </c>
      <c r="AM49" s="2" t="s">
        <v>71</v>
      </c>
      <c r="AN49" s="2" t="s">
        <v>71</v>
      </c>
      <c r="AO49" s="2" t="s">
        <v>71</v>
      </c>
      <c r="AP49" s="2" t="s">
        <v>71</v>
      </c>
      <c r="AQ49" s="2" t="s">
        <v>106</v>
      </c>
      <c r="AR49" s="2" t="s">
        <v>71</v>
      </c>
      <c r="AS49" s="2" t="s">
        <v>106</v>
      </c>
      <c r="AT49" s="2" t="s">
        <v>106</v>
      </c>
      <c r="AU49" s="2" t="s">
        <v>71</v>
      </c>
      <c r="AV49" s="2" t="s">
        <v>71</v>
      </c>
      <c r="AW49" s="2" t="s">
        <v>71</v>
      </c>
      <c r="AX49" s="2" t="s">
        <v>106</v>
      </c>
      <c r="AY49" s="2" t="s">
        <v>71</v>
      </c>
    </row>
    <row r="50" spans="1:51" ht="16" hidden="1">
      <c r="A50" s="2" t="s">
        <v>488</v>
      </c>
      <c r="B50" s="2" t="s">
        <v>106</v>
      </c>
      <c r="D50" s="4" t="s">
        <v>353</v>
      </c>
      <c r="E50" s="4" t="s">
        <v>341</v>
      </c>
      <c r="L50" s="2" t="s">
        <v>71</v>
      </c>
      <c r="M50" s="2" t="s">
        <v>106</v>
      </c>
      <c r="N50" s="2" t="s">
        <v>71</v>
      </c>
      <c r="O50" s="2" t="s">
        <v>71</v>
      </c>
      <c r="P50" s="2" t="s">
        <v>106</v>
      </c>
      <c r="Q50" s="2" t="s">
        <v>71</v>
      </c>
      <c r="R50" s="2" t="s">
        <v>106</v>
      </c>
      <c r="S50" s="2" t="s">
        <v>71</v>
      </c>
      <c r="T50" s="2" t="s">
        <v>71</v>
      </c>
      <c r="U50" s="2" t="s">
        <v>71</v>
      </c>
      <c r="V50" s="2" t="s">
        <v>71</v>
      </c>
      <c r="W50" s="2" t="s">
        <v>71</v>
      </c>
      <c r="X50" s="2" t="s">
        <v>71</v>
      </c>
      <c r="Y50" s="2" t="s">
        <v>106</v>
      </c>
      <c r="Z50" s="2" t="s">
        <v>71</v>
      </c>
      <c r="AA50" s="2" t="s">
        <v>71</v>
      </c>
      <c r="AB50" s="2" t="s">
        <v>71</v>
      </c>
      <c r="AC50" s="2" t="s">
        <v>71</v>
      </c>
      <c r="AD50" s="2" t="s">
        <v>106</v>
      </c>
      <c r="AE50" s="2" t="s">
        <v>106</v>
      </c>
      <c r="AF50" s="2" t="s">
        <v>71</v>
      </c>
      <c r="AG50" s="2" t="s">
        <v>71</v>
      </c>
      <c r="AH50" s="2" t="s">
        <v>71</v>
      </c>
      <c r="AI50" s="2" t="s">
        <v>71</v>
      </c>
      <c r="AJ50" s="2" t="s">
        <v>106</v>
      </c>
      <c r="AK50" s="2" t="s">
        <v>106</v>
      </c>
      <c r="AL50" s="2" t="s">
        <v>106</v>
      </c>
      <c r="AM50" s="2" t="s">
        <v>71</v>
      </c>
      <c r="AN50" s="2" t="s">
        <v>71</v>
      </c>
      <c r="AO50" s="2" t="s">
        <v>71</v>
      </c>
      <c r="AP50" s="2" t="s">
        <v>71</v>
      </c>
      <c r="AQ50" s="2" t="s">
        <v>106</v>
      </c>
      <c r="AR50" s="2" t="s">
        <v>71</v>
      </c>
      <c r="AS50" s="2" t="s">
        <v>106</v>
      </c>
      <c r="AT50" s="2" t="s">
        <v>106</v>
      </c>
      <c r="AU50" s="2" t="s">
        <v>71</v>
      </c>
      <c r="AV50" s="2" t="s">
        <v>71</v>
      </c>
      <c r="AW50" s="2" t="s">
        <v>71</v>
      </c>
      <c r="AX50" s="2" t="s">
        <v>106</v>
      </c>
      <c r="AY50" s="2" t="s">
        <v>71</v>
      </c>
    </row>
    <row r="51" spans="1:51" s="42" customFormat="1" ht="16" hidden="1">
      <c r="A51" s="42" t="s">
        <v>489</v>
      </c>
      <c r="B51" s="42" t="s">
        <v>71</v>
      </c>
      <c r="C51" s="43" t="s">
        <v>490</v>
      </c>
      <c r="D51" s="43" t="s">
        <v>491</v>
      </c>
      <c r="E51" s="43" t="s">
        <v>384</v>
      </c>
      <c r="F51" s="42" t="s">
        <v>492</v>
      </c>
      <c r="G51" s="42" t="s">
        <v>351</v>
      </c>
      <c r="J51" s="43" t="s">
        <v>493</v>
      </c>
      <c r="K51" s="43"/>
      <c r="L51" s="42" t="s">
        <v>71</v>
      </c>
      <c r="M51" s="42" t="s">
        <v>71</v>
      </c>
      <c r="N51" s="42" t="s">
        <v>71</v>
      </c>
      <c r="O51" s="42" t="s">
        <v>71</v>
      </c>
      <c r="P51" s="42" t="s">
        <v>106</v>
      </c>
      <c r="Q51" s="42" t="s">
        <v>71</v>
      </c>
      <c r="R51" s="42" t="s">
        <v>106</v>
      </c>
      <c r="S51" s="42" t="s">
        <v>71</v>
      </c>
      <c r="T51" s="42" t="s">
        <v>71</v>
      </c>
      <c r="U51" s="42" t="s">
        <v>71</v>
      </c>
      <c r="V51" s="42" t="s">
        <v>71</v>
      </c>
      <c r="W51" s="42" t="s">
        <v>71</v>
      </c>
      <c r="X51" s="42" t="s">
        <v>71</v>
      </c>
      <c r="Y51" s="42" t="s">
        <v>106</v>
      </c>
      <c r="Z51" s="42" t="s">
        <v>71</v>
      </c>
      <c r="AA51" s="42" t="s">
        <v>71</v>
      </c>
      <c r="AB51" s="42" t="s">
        <v>71</v>
      </c>
      <c r="AC51" s="42" t="s">
        <v>71</v>
      </c>
      <c r="AD51" s="42" t="s">
        <v>106</v>
      </c>
      <c r="AE51" s="42" t="s">
        <v>106</v>
      </c>
      <c r="AF51" s="42" t="s">
        <v>71</v>
      </c>
      <c r="AG51" s="42" t="s">
        <v>71</v>
      </c>
      <c r="AH51" s="42" t="s">
        <v>71</v>
      </c>
      <c r="AI51" s="42" t="s">
        <v>71</v>
      </c>
      <c r="AJ51" s="42" t="s">
        <v>106</v>
      </c>
      <c r="AK51" s="42" t="s">
        <v>106</v>
      </c>
      <c r="AL51" s="42" t="s">
        <v>106</v>
      </c>
      <c r="AM51" s="42" t="s">
        <v>71</v>
      </c>
      <c r="AN51" s="42" t="s">
        <v>71</v>
      </c>
      <c r="AO51" s="42" t="s">
        <v>71</v>
      </c>
      <c r="AP51" s="42" t="s">
        <v>71</v>
      </c>
      <c r="AQ51" s="42" t="s">
        <v>106</v>
      </c>
      <c r="AR51" s="42" t="s">
        <v>106</v>
      </c>
      <c r="AS51" s="42" t="s">
        <v>106</v>
      </c>
      <c r="AT51" s="42" t="s">
        <v>106</v>
      </c>
      <c r="AU51" s="42" t="s">
        <v>71</v>
      </c>
      <c r="AV51" s="42" t="s">
        <v>71</v>
      </c>
      <c r="AW51" s="42" t="s">
        <v>71</v>
      </c>
      <c r="AX51" s="42" t="s">
        <v>106</v>
      </c>
      <c r="AY51" s="42" t="s">
        <v>71</v>
      </c>
    </row>
    <row r="52" spans="1:51" ht="16" hidden="1">
      <c r="A52" s="2" t="s">
        <v>494</v>
      </c>
      <c r="B52" s="2" t="s">
        <v>71</v>
      </c>
      <c r="C52" s="4" t="s">
        <v>495</v>
      </c>
      <c r="D52" s="4" t="s">
        <v>496</v>
      </c>
      <c r="E52" s="4" t="s">
        <v>497</v>
      </c>
      <c r="F52" s="2" t="s">
        <v>72</v>
      </c>
      <c r="G52" s="2" t="s">
        <v>351</v>
      </c>
      <c r="H52" s="2" t="s">
        <v>498</v>
      </c>
      <c r="L52" s="2" t="s">
        <v>71</v>
      </c>
      <c r="M52" s="2" t="s">
        <v>71</v>
      </c>
      <c r="N52" s="2" t="s">
        <v>71</v>
      </c>
      <c r="O52" s="2" t="s">
        <v>71</v>
      </c>
      <c r="P52" s="2" t="s">
        <v>71</v>
      </c>
      <c r="Q52" s="2" t="s">
        <v>71</v>
      </c>
      <c r="R52" s="2" t="s">
        <v>71</v>
      </c>
      <c r="S52" s="2" t="s">
        <v>71</v>
      </c>
      <c r="T52" s="2" t="s">
        <v>71</v>
      </c>
      <c r="U52" s="2" t="s">
        <v>71</v>
      </c>
      <c r="V52" s="2" t="s">
        <v>71</v>
      </c>
      <c r="W52" s="2" t="s">
        <v>71</v>
      </c>
      <c r="X52" s="2" t="s">
        <v>71</v>
      </c>
      <c r="Y52" s="2" t="s">
        <v>106</v>
      </c>
      <c r="Z52" s="2" t="s">
        <v>71</v>
      </c>
      <c r="AA52" s="2" t="s">
        <v>71</v>
      </c>
      <c r="AB52" s="2" t="s">
        <v>71</v>
      </c>
      <c r="AC52" s="2" t="s">
        <v>71</v>
      </c>
      <c r="AD52" s="2" t="s">
        <v>106</v>
      </c>
      <c r="AE52" s="2" t="s">
        <v>106</v>
      </c>
      <c r="AF52" s="2" t="s">
        <v>71</v>
      </c>
      <c r="AG52" s="2" t="s">
        <v>71</v>
      </c>
      <c r="AH52" s="2" t="s">
        <v>71</v>
      </c>
      <c r="AI52" s="2" t="s">
        <v>71</v>
      </c>
      <c r="AJ52" s="2" t="s">
        <v>106</v>
      </c>
      <c r="AK52" s="2" t="s">
        <v>106</v>
      </c>
      <c r="AL52" s="2" t="s">
        <v>106</v>
      </c>
      <c r="AM52" s="2" t="s">
        <v>71</v>
      </c>
      <c r="AN52" s="2" t="s">
        <v>71</v>
      </c>
      <c r="AO52" s="2" t="s">
        <v>71</v>
      </c>
      <c r="AP52" s="2" t="s">
        <v>71</v>
      </c>
      <c r="AQ52" s="2" t="s">
        <v>106</v>
      </c>
      <c r="AR52" s="2" t="s">
        <v>71</v>
      </c>
      <c r="AS52" s="2" t="s">
        <v>106</v>
      </c>
      <c r="AT52" s="2" t="s">
        <v>71</v>
      </c>
      <c r="AU52" s="2" t="s">
        <v>71</v>
      </c>
      <c r="AV52" s="2" t="s">
        <v>71</v>
      </c>
      <c r="AW52" s="2" t="s">
        <v>71</v>
      </c>
      <c r="AX52" s="2" t="s">
        <v>106</v>
      </c>
      <c r="AY52" s="2" t="s">
        <v>71</v>
      </c>
    </row>
    <row r="53" spans="1:51" ht="16" hidden="1">
      <c r="A53" s="2" t="s">
        <v>499</v>
      </c>
      <c r="B53" s="2" t="s">
        <v>106</v>
      </c>
      <c r="D53" s="4" t="s">
        <v>353</v>
      </c>
      <c r="E53" s="4" t="s">
        <v>341</v>
      </c>
      <c r="J53" s="4" t="s">
        <v>342</v>
      </c>
      <c r="L53" s="2" t="s">
        <v>71</v>
      </c>
      <c r="M53" s="2" t="s">
        <v>106</v>
      </c>
      <c r="N53" s="2" t="s">
        <v>71</v>
      </c>
      <c r="O53" s="2" t="s">
        <v>71</v>
      </c>
      <c r="P53" s="2" t="s">
        <v>106</v>
      </c>
      <c r="Q53" s="2" t="s">
        <v>71</v>
      </c>
      <c r="R53" s="2" t="s">
        <v>106</v>
      </c>
      <c r="S53" s="2" t="s">
        <v>71</v>
      </c>
      <c r="T53" s="2" t="s">
        <v>71</v>
      </c>
      <c r="U53" s="2" t="s">
        <v>71</v>
      </c>
      <c r="V53" s="2" t="s">
        <v>71</v>
      </c>
      <c r="W53" s="2" t="s">
        <v>71</v>
      </c>
      <c r="X53" s="2" t="s">
        <v>71</v>
      </c>
      <c r="Y53" s="2" t="s">
        <v>106</v>
      </c>
      <c r="Z53" s="2" t="s">
        <v>71</v>
      </c>
      <c r="AA53" s="2" t="s">
        <v>71</v>
      </c>
      <c r="AB53" s="2" t="s">
        <v>71</v>
      </c>
      <c r="AC53" s="2" t="s">
        <v>71</v>
      </c>
      <c r="AD53" s="2" t="s">
        <v>106</v>
      </c>
      <c r="AE53" s="2" t="s">
        <v>106</v>
      </c>
      <c r="AF53" s="2" t="s">
        <v>71</v>
      </c>
      <c r="AG53" s="2" t="s">
        <v>71</v>
      </c>
      <c r="AH53" s="2" t="s">
        <v>71</v>
      </c>
      <c r="AI53" s="2" t="s">
        <v>71</v>
      </c>
      <c r="AJ53" s="2" t="s">
        <v>106</v>
      </c>
      <c r="AK53" s="2" t="s">
        <v>106</v>
      </c>
      <c r="AL53" s="2" t="s">
        <v>106</v>
      </c>
      <c r="AM53" s="2" t="s">
        <v>71</v>
      </c>
      <c r="AN53" s="2" t="s">
        <v>71</v>
      </c>
      <c r="AO53" s="2" t="s">
        <v>71</v>
      </c>
      <c r="AP53" s="2" t="s">
        <v>71</v>
      </c>
      <c r="AQ53" s="2" t="s">
        <v>106</v>
      </c>
      <c r="AR53" s="2" t="s">
        <v>71</v>
      </c>
      <c r="AS53" s="2" t="s">
        <v>106</v>
      </c>
      <c r="AT53" s="2" t="s">
        <v>106</v>
      </c>
      <c r="AU53" s="2" t="s">
        <v>71</v>
      </c>
      <c r="AV53" s="2" t="s">
        <v>71</v>
      </c>
      <c r="AW53" s="2" t="s">
        <v>71</v>
      </c>
      <c r="AX53" s="2" t="s">
        <v>106</v>
      </c>
      <c r="AY53" s="2" t="s">
        <v>71</v>
      </c>
    </row>
    <row r="54" spans="1:51" ht="32">
      <c r="A54" s="2" t="s">
        <v>500</v>
      </c>
      <c r="B54" s="2" t="s">
        <v>71</v>
      </c>
      <c r="C54" s="4" t="s">
        <v>501</v>
      </c>
      <c r="D54" s="4" t="s">
        <v>502</v>
      </c>
      <c r="E54" s="4" t="s">
        <v>384</v>
      </c>
      <c r="F54" s="2" t="s">
        <v>503</v>
      </c>
      <c r="G54" s="2" t="s">
        <v>351</v>
      </c>
      <c r="H54" s="2" t="s">
        <v>16</v>
      </c>
      <c r="I54" s="2">
        <v>8</v>
      </c>
      <c r="J54" s="4" t="s">
        <v>504</v>
      </c>
      <c r="K54" s="4" t="s">
        <v>7</v>
      </c>
      <c r="L54" s="2" t="s">
        <v>71</v>
      </c>
      <c r="M54" s="2" t="s">
        <v>71</v>
      </c>
      <c r="N54" s="2" t="s">
        <v>71</v>
      </c>
      <c r="O54" s="2" t="s">
        <v>71</v>
      </c>
      <c r="P54" s="2" t="s">
        <v>71</v>
      </c>
      <c r="Q54" s="2" t="s">
        <v>71</v>
      </c>
      <c r="R54" s="2" t="s">
        <v>71</v>
      </c>
      <c r="S54" s="2" t="s">
        <v>71</v>
      </c>
      <c r="T54" s="2" t="s">
        <v>71</v>
      </c>
      <c r="U54" s="2" t="s">
        <v>71</v>
      </c>
      <c r="V54" s="2" t="s">
        <v>71</v>
      </c>
      <c r="W54" s="2" t="s">
        <v>71</v>
      </c>
      <c r="X54" s="2" t="s">
        <v>71</v>
      </c>
      <c r="Y54" s="2" t="s">
        <v>106</v>
      </c>
      <c r="Z54" s="2" t="s">
        <v>71</v>
      </c>
      <c r="AA54" s="2" t="s">
        <v>71</v>
      </c>
      <c r="AB54" s="2" t="s">
        <v>71</v>
      </c>
      <c r="AC54" s="2" t="s">
        <v>71</v>
      </c>
      <c r="AD54" s="2" t="s">
        <v>106</v>
      </c>
      <c r="AE54" s="2" t="s">
        <v>106</v>
      </c>
      <c r="AF54" s="2" t="s">
        <v>71</v>
      </c>
      <c r="AG54" s="2" t="s">
        <v>71</v>
      </c>
      <c r="AH54" s="2" t="s">
        <v>71</v>
      </c>
      <c r="AI54" s="2" t="s">
        <v>71</v>
      </c>
      <c r="AJ54" s="2" t="s">
        <v>106</v>
      </c>
      <c r="AK54" s="2" t="s">
        <v>106</v>
      </c>
      <c r="AL54" s="2" t="s">
        <v>106</v>
      </c>
      <c r="AM54" s="2" t="s">
        <v>71</v>
      </c>
      <c r="AN54" s="2" t="s">
        <v>71</v>
      </c>
      <c r="AO54" s="2" t="s">
        <v>71</v>
      </c>
      <c r="AP54" s="2" t="s">
        <v>71</v>
      </c>
      <c r="AQ54" s="2" t="s">
        <v>106</v>
      </c>
      <c r="AR54" s="2" t="s">
        <v>71</v>
      </c>
      <c r="AS54" s="2" t="s">
        <v>106</v>
      </c>
      <c r="AT54" s="2" t="s">
        <v>71</v>
      </c>
      <c r="AU54" s="2" t="s">
        <v>71</v>
      </c>
      <c r="AV54" s="2" t="s">
        <v>71</v>
      </c>
      <c r="AW54" s="2" t="s">
        <v>71</v>
      </c>
      <c r="AX54" s="2" t="s">
        <v>106</v>
      </c>
      <c r="AY54" s="2" t="s">
        <v>71</v>
      </c>
    </row>
    <row r="55" spans="1:51" ht="32" hidden="1">
      <c r="A55" s="44" t="s">
        <v>505</v>
      </c>
      <c r="B55" s="44" t="s">
        <v>71</v>
      </c>
      <c r="C55" s="45" t="s">
        <v>506</v>
      </c>
      <c r="D55" s="45" t="s">
        <v>507</v>
      </c>
      <c r="E55" s="45" t="s">
        <v>390</v>
      </c>
      <c r="F55" s="44" t="s">
        <v>72</v>
      </c>
      <c r="G55" s="44" t="s">
        <v>348</v>
      </c>
      <c r="H55" s="44" t="s">
        <v>392</v>
      </c>
      <c r="J55" s="4" t="s">
        <v>508</v>
      </c>
      <c r="L55" s="2" t="s">
        <v>106</v>
      </c>
      <c r="M55" s="2" t="s">
        <v>106</v>
      </c>
      <c r="N55" s="2" t="s">
        <v>106</v>
      </c>
      <c r="O55" s="2" t="s">
        <v>106</v>
      </c>
      <c r="P55" s="2" t="s">
        <v>106</v>
      </c>
      <c r="Q55" s="2" t="s">
        <v>106</v>
      </c>
      <c r="R55" s="2" t="s">
        <v>106</v>
      </c>
      <c r="S55" s="2" t="s">
        <v>106</v>
      </c>
      <c r="T55" s="2" t="s">
        <v>106</v>
      </c>
      <c r="U55" s="2" t="s">
        <v>106</v>
      </c>
      <c r="V55" s="2" t="s">
        <v>106</v>
      </c>
      <c r="W55" s="2" t="s">
        <v>71</v>
      </c>
      <c r="X55" s="2" t="s">
        <v>106</v>
      </c>
      <c r="Y55" s="2" t="s">
        <v>106</v>
      </c>
      <c r="Z55" s="2" t="s">
        <v>106</v>
      </c>
      <c r="AA55" s="2" t="s">
        <v>106</v>
      </c>
      <c r="AB55" s="2" t="s">
        <v>106</v>
      </c>
      <c r="AC55" s="2" t="s">
        <v>106</v>
      </c>
      <c r="AD55" s="2" t="s">
        <v>106</v>
      </c>
      <c r="AE55" s="2" t="s">
        <v>106</v>
      </c>
      <c r="AF55" s="2" t="s">
        <v>106</v>
      </c>
      <c r="AG55" s="2" t="s">
        <v>106</v>
      </c>
      <c r="AH55" s="2" t="s">
        <v>106</v>
      </c>
      <c r="AI55" s="2" t="s">
        <v>106</v>
      </c>
      <c r="AJ55" s="2" t="s">
        <v>106</v>
      </c>
      <c r="AK55" s="2" t="s">
        <v>106</v>
      </c>
      <c r="AL55" s="2" t="s">
        <v>106</v>
      </c>
      <c r="AM55" s="2" t="s">
        <v>106</v>
      </c>
      <c r="AN55" s="2" t="s">
        <v>106</v>
      </c>
      <c r="AO55" s="2" t="s">
        <v>106</v>
      </c>
      <c r="AP55" s="2" t="s">
        <v>106</v>
      </c>
      <c r="AQ55" s="2" t="s">
        <v>106</v>
      </c>
      <c r="AR55" s="2" t="s">
        <v>106</v>
      </c>
      <c r="AS55" s="2" t="s">
        <v>106</v>
      </c>
      <c r="AT55" s="2" t="s">
        <v>106</v>
      </c>
      <c r="AU55" s="2" t="s">
        <v>106</v>
      </c>
      <c r="AV55" s="2" t="s">
        <v>106</v>
      </c>
      <c r="AW55" s="2" t="s">
        <v>106</v>
      </c>
      <c r="AX55" s="2" t="s">
        <v>106</v>
      </c>
      <c r="AY55" s="2" t="s">
        <v>106</v>
      </c>
    </row>
    <row r="56" spans="1:51" ht="16" hidden="1" customHeight="1">
      <c r="A56" s="2" t="s">
        <v>509</v>
      </c>
      <c r="B56" s="2" t="s">
        <v>106</v>
      </c>
      <c r="C56" s="4" t="s">
        <v>510</v>
      </c>
      <c r="D56" s="4" t="s">
        <v>511</v>
      </c>
      <c r="E56" s="4" t="s">
        <v>512</v>
      </c>
      <c r="F56" s="2" t="s">
        <v>72</v>
      </c>
      <c r="G56" s="2" t="s">
        <v>351</v>
      </c>
      <c r="H56" s="2" t="s">
        <v>349</v>
      </c>
      <c r="K56" s="4" t="s">
        <v>9</v>
      </c>
      <c r="L56" s="2" t="s">
        <v>71</v>
      </c>
      <c r="M56" s="2" t="s">
        <v>71</v>
      </c>
      <c r="N56" s="2" t="s">
        <v>71</v>
      </c>
      <c r="O56" s="2" t="s">
        <v>71</v>
      </c>
      <c r="P56" s="2" t="s">
        <v>71</v>
      </c>
      <c r="Q56" s="2" t="s">
        <v>71</v>
      </c>
      <c r="R56" s="2" t="s">
        <v>71</v>
      </c>
      <c r="S56" s="2" t="s">
        <v>71</v>
      </c>
      <c r="T56" s="2" t="s">
        <v>71</v>
      </c>
      <c r="U56" s="2" t="s">
        <v>71</v>
      </c>
      <c r="V56" s="2" t="s">
        <v>71</v>
      </c>
      <c r="W56" s="2" t="s">
        <v>71</v>
      </c>
      <c r="X56" s="2" t="s">
        <v>71</v>
      </c>
      <c r="Y56" s="2" t="s">
        <v>71</v>
      </c>
      <c r="Z56" s="2" t="s">
        <v>71</v>
      </c>
      <c r="AA56" s="2" t="s">
        <v>71</v>
      </c>
      <c r="AB56" s="2" t="s">
        <v>71</v>
      </c>
      <c r="AC56" s="2" t="s">
        <v>71</v>
      </c>
      <c r="AD56" s="2" t="s">
        <v>71</v>
      </c>
      <c r="AE56" s="2" t="s">
        <v>71</v>
      </c>
      <c r="AF56" s="2" t="s">
        <v>71</v>
      </c>
      <c r="AG56" s="2" t="s">
        <v>71</v>
      </c>
      <c r="AH56" s="2" t="s">
        <v>71</v>
      </c>
      <c r="AI56" s="2" t="s">
        <v>71</v>
      </c>
      <c r="AJ56" s="2" t="s">
        <v>71</v>
      </c>
      <c r="AK56" s="2" t="s">
        <v>71</v>
      </c>
      <c r="AL56" s="2" t="s">
        <v>71</v>
      </c>
      <c r="AM56" s="2" t="s">
        <v>71</v>
      </c>
      <c r="AN56" s="2" t="s">
        <v>71</v>
      </c>
      <c r="AO56" s="2" t="s">
        <v>71</v>
      </c>
      <c r="AP56" s="2" t="s">
        <v>71</v>
      </c>
      <c r="AQ56" s="2" t="s">
        <v>71</v>
      </c>
      <c r="AR56" s="2" t="s">
        <v>71</v>
      </c>
      <c r="AS56" s="2" t="s">
        <v>71</v>
      </c>
      <c r="AT56" s="2" t="s">
        <v>71</v>
      </c>
      <c r="AU56" s="2" t="s">
        <v>71</v>
      </c>
      <c r="AV56" s="2" t="s">
        <v>71</v>
      </c>
      <c r="AW56" s="2" t="s">
        <v>71</v>
      </c>
      <c r="AX56" s="2" t="s">
        <v>71</v>
      </c>
      <c r="AY56" s="2" t="s">
        <v>71</v>
      </c>
    </row>
    <row r="57" spans="1:51" s="7" customFormat="1" ht="16" hidden="1" customHeight="1">
      <c r="A57" s="179" t="s">
        <v>185</v>
      </c>
      <c r="B57" s="7" t="s">
        <v>71</v>
      </c>
      <c r="C57" s="179" t="s">
        <v>513</v>
      </c>
      <c r="D57" s="179"/>
      <c r="E57" s="179"/>
      <c r="G57" s="7" t="s">
        <v>351</v>
      </c>
      <c r="H57" s="7" t="s">
        <v>349</v>
      </c>
      <c r="J57" s="179"/>
      <c r="K57" s="179"/>
    </row>
    <row r="58" spans="1:51" s="7" customFormat="1" ht="16" customHeight="1">
      <c r="A58" s="179" t="s">
        <v>235</v>
      </c>
      <c r="B58" s="7" t="s">
        <v>71</v>
      </c>
      <c r="C58" s="179"/>
      <c r="D58" s="179" t="s">
        <v>514</v>
      </c>
      <c r="E58" s="179"/>
      <c r="G58" s="7" t="s">
        <v>351</v>
      </c>
      <c r="H58" s="7" t="s">
        <v>16</v>
      </c>
      <c r="I58" s="7">
        <v>9</v>
      </c>
      <c r="J58" s="179" t="s">
        <v>515</v>
      </c>
      <c r="K58" s="179"/>
    </row>
    <row r="59" spans="1:51">
      <c r="A59" s="35"/>
      <c r="B59" s="35"/>
      <c r="C59" s="37"/>
      <c r="D59" s="36"/>
      <c r="E59" s="37"/>
      <c r="F59" s="35"/>
      <c r="G59" s="35"/>
      <c r="H59" s="35"/>
      <c r="I59" s="35"/>
      <c r="J59" s="37"/>
      <c r="K59" s="37"/>
      <c r="L59" s="35"/>
      <c r="M59" s="35"/>
      <c r="N59" s="35"/>
      <c r="O59" s="35"/>
      <c r="P59" s="35"/>
      <c r="Q59" s="35"/>
      <c r="R59" s="35"/>
      <c r="S59" s="35"/>
      <c r="T59" s="35"/>
      <c r="U59" s="35"/>
      <c r="V59" s="35"/>
      <c r="W59" s="35"/>
      <c r="X59" s="35"/>
      <c r="Y59" s="35"/>
      <c r="Z59" s="35"/>
      <c r="AA59" s="35"/>
      <c r="AB59" s="35"/>
      <c r="AC59" s="35"/>
      <c r="AD59" s="35"/>
      <c r="AE59" s="35"/>
      <c r="AF59" s="35"/>
      <c r="AG59" s="35"/>
      <c r="AH59" s="35"/>
      <c r="AI59" s="35"/>
      <c r="AJ59" s="35"/>
      <c r="AK59" s="35"/>
      <c r="AL59" s="35"/>
      <c r="AM59" s="35"/>
      <c r="AN59" s="35"/>
      <c r="AO59" s="35"/>
      <c r="AP59" s="35"/>
      <c r="AQ59" s="35"/>
      <c r="AR59" s="35"/>
      <c r="AS59" s="35"/>
      <c r="AT59" s="35"/>
      <c r="AU59" s="35"/>
      <c r="AV59" s="35"/>
      <c r="AW59" s="35"/>
      <c r="AX59" s="35"/>
      <c r="AY59" s="35"/>
    </row>
    <row r="60" spans="1:51">
      <c r="A60" s="34"/>
      <c r="B60" s="34"/>
      <c r="D60" s="34"/>
    </row>
    <row r="61" spans="1:51">
      <c r="A61" s="34"/>
      <c r="B61" s="34"/>
      <c r="D61" s="34"/>
    </row>
    <row r="62" spans="1:51">
      <c r="A62" s="34"/>
      <c r="B62" s="34"/>
      <c r="D62" s="34"/>
    </row>
    <row r="63" spans="1:51">
      <c r="A63" s="34"/>
      <c r="B63" s="34"/>
      <c r="D63" s="34"/>
    </row>
    <row r="64" spans="1:51">
      <c r="A64" s="34"/>
      <c r="B64" s="34"/>
      <c r="D64" s="34"/>
    </row>
    <row r="65" spans="1:4">
      <c r="A65" s="34"/>
      <c r="B65" s="34"/>
      <c r="D65" s="34"/>
    </row>
    <row r="66" spans="1:4">
      <c r="A66" s="34"/>
      <c r="B66" s="34"/>
      <c r="D66" s="34"/>
    </row>
    <row r="67" spans="1:4">
      <c r="A67" s="34"/>
      <c r="B67" s="34"/>
      <c r="D67" s="34"/>
    </row>
    <row r="68" spans="1:4">
      <c r="A68" s="34"/>
      <c r="B68" s="34"/>
      <c r="D68" s="34"/>
    </row>
    <row r="69" spans="1:4">
      <c r="A69" s="34"/>
      <c r="B69" s="34"/>
      <c r="D69" s="34"/>
    </row>
    <row r="70" spans="1:4">
      <c r="A70" s="34"/>
      <c r="B70" s="34"/>
      <c r="D70" s="34"/>
    </row>
    <row r="71" spans="1:4">
      <c r="A71" s="34"/>
      <c r="B71" s="34"/>
      <c r="D71" s="34"/>
    </row>
    <row r="72" spans="1:4">
      <c r="A72" s="34"/>
      <c r="B72" s="34"/>
      <c r="D72" s="34"/>
    </row>
    <row r="73" spans="1:4">
      <c r="A73" s="34"/>
      <c r="B73" s="34"/>
      <c r="D73" s="34"/>
    </row>
    <row r="74" spans="1:4">
      <c r="A74" s="34"/>
      <c r="B74" s="34"/>
      <c r="D74" s="34"/>
    </row>
    <row r="75" spans="1:4">
      <c r="A75" s="34"/>
      <c r="B75" s="34"/>
      <c r="D75" s="34"/>
    </row>
    <row r="76" spans="1:4">
      <c r="A76" s="34"/>
      <c r="B76" s="34"/>
      <c r="D76" s="34"/>
    </row>
    <row r="77" spans="1:4">
      <c r="A77" s="34"/>
      <c r="B77" s="34"/>
      <c r="D77" s="34"/>
    </row>
    <row r="78" spans="1:4">
      <c r="A78" s="34"/>
      <c r="B78" s="34"/>
      <c r="D78" s="34"/>
    </row>
    <row r="79" spans="1:4">
      <c r="A79" s="34"/>
      <c r="B79" s="34"/>
      <c r="D79" s="34"/>
    </row>
    <row r="80" spans="1:4">
      <c r="A80" s="34"/>
      <c r="B80" s="34"/>
      <c r="D80" s="34"/>
    </row>
    <row r="81" spans="1:4">
      <c r="A81" s="34"/>
      <c r="B81" s="34"/>
      <c r="D81" s="34"/>
    </row>
    <row r="82" spans="1:4">
      <c r="A82" s="34"/>
      <c r="B82" s="34"/>
      <c r="D82" s="34"/>
    </row>
    <row r="83" spans="1:4">
      <c r="A83" s="34"/>
      <c r="B83" s="34"/>
      <c r="D83" s="34"/>
    </row>
    <row r="84" spans="1:4">
      <c r="A84" s="34"/>
      <c r="B84" s="34"/>
      <c r="D84" s="34"/>
    </row>
    <row r="85" spans="1:4">
      <c r="A85" s="34"/>
      <c r="B85" s="34"/>
      <c r="D85" s="34"/>
    </row>
    <row r="86" spans="1:4">
      <c r="A86" s="34"/>
      <c r="B86" s="34"/>
      <c r="D86" s="34"/>
    </row>
    <row r="87" spans="1:4">
      <c r="A87" s="34"/>
      <c r="B87" s="34"/>
      <c r="D87" s="34"/>
    </row>
    <row r="88" spans="1:4">
      <c r="A88" s="34"/>
      <c r="B88" s="34"/>
      <c r="D88" s="34"/>
    </row>
    <row r="89" spans="1:4">
      <c r="A89" s="34"/>
      <c r="B89" s="34"/>
      <c r="D89" s="34"/>
    </row>
    <row r="90" spans="1:4">
      <c r="A90" s="34"/>
      <c r="B90" s="34"/>
      <c r="D90" s="34"/>
    </row>
    <row r="91" spans="1:4">
      <c r="A91" s="34"/>
      <c r="B91" s="34"/>
      <c r="D91" s="34"/>
    </row>
    <row r="92" spans="1:4">
      <c r="A92" s="34"/>
      <c r="B92" s="34"/>
      <c r="D92" s="34"/>
    </row>
    <row r="93" spans="1:4">
      <c r="A93" s="34"/>
      <c r="B93" s="34"/>
      <c r="D93" s="34"/>
    </row>
    <row r="94" spans="1:4">
      <c r="A94" s="34"/>
      <c r="B94" s="34"/>
      <c r="D94" s="34"/>
    </row>
    <row r="95" spans="1:4">
      <c r="A95" s="34"/>
      <c r="B95" s="34"/>
      <c r="D95" s="34"/>
    </row>
    <row r="96" spans="1:4">
      <c r="A96" s="34"/>
      <c r="B96" s="34"/>
      <c r="D96" s="34"/>
    </row>
    <row r="97" spans="1:4">
      <c r="A97" s="34"/>
      <c r="B97" s="34"/>
      <c r="D97" s="34"/>
    </row>
    <row r="98" spans="1:4">
      <c r="A98" s="34"/>
      <c r="B98" s="34"/>
      <c r="D98" s="34"/>
    </row>
    <row r="99" spans="1:4">
      <c r="A99" s="34"/>
      <c r="B99" s="34"/>
      <c r="D99" s="34"/>
    </row>
    <row r="100" spans="1:4">
      <c r="A100" s="34"/>
      <c r="B100" s="34"/>
      <c r="D100" s="34"/>
    </row>
    <row r="101" spans="1:4">
      <c r="A101" s="34"/>
      <c r="B101" s="34"/>
      <c r="D101" s="34"/>
    </row>
    <row r="102" spans="1:4">
      <c r="A102" s="34"/>
      <c r="B102" s="34"/>
      <c r="D102" s="34"/>
    </row>
    <row r="103" spans="1:4">
      <c r="A103" s="34"/>
      <c r="B103" s="34"/>
      <c r="D103" s="34"/>
    </row>
    <row r="104" spans="1:4">
      <c r="A104" s="34"/>
      <c r="B104" s="34"/>
      <c r="D104" s="34"/>
    </row>
    <row r="105" spans="1:4">
      <c r="A105" s="34"/>
      <c r="B105" s="34"/>
      <c r="D105" s="34"/>
    </row>
    <row r="106" spans="1:4">
      <c r="A106" s="34"/>
      <c r="B106" s="34"/>
      <c r="D106" s="34"/>
    </row>
    <row r="107" spans="1:4">
      <c r="A107" s="34"/>
      <c r="B107" s="34"/>
      <c r="D107" s="34"/>
    </row>
    <row r="108" spans="1:4">
      <c r="A108" s="34"/>
      <c r="B108" s="34"/>
      <c r="D108" s="34"/>
    </row>
    <row r="109" spans="1:4">
      <c r="A109" s="34"/>
      <c r="B109" s="34"/>
      <c r="D109" s="34"/>
    </row>
    <row r="110" spans="1:4">
      <c r="A110" s="34"/>
      <c r="B110" s="34"/>
      <c r="D110" s="34"/>
    </row>
    <row r="111" spans="1:4">
      <c r="A111" s="34"/>
      <c r="B111" s="34"/>
      <c r="D111" s="34"/>
    </row>
    <row r="112" spans="1:4">
      <c r="A112" s="34"/>
      <c r="B112" s="34"/>
      <c r="D112" s="34"/>
    </row>
    <row r="113" spans="1:4">
      <c r="A113" s="34"/>
      <c r="B113" s="34"/>
      <c r="D113" s="34"/>
    </row>
    <row r="114" spans="1:4">
      <c r="A114" s="34"/>
      <c r="B114" s="34"/>
      <c r="D114" s="34"/>
    </row>
    <row r="115" spans="1:4">
      <c r="A115" s="34"/>
      <c r="B115" s="34"/>
      <c r="D115" s="34"/>
    </row>
    <row r="116" spans="1:4">
      <c r="A116" s="34"/>
      <c r="B116" s="34"/>
      <c r="D116" s="34"/>
    </row>
    <row r="117" spans="1:4">
      <c r="A117" s="34"/>
      <c r="B117" s="34"/>
      <c r="D117" s="34"/>
    </row>
    <row r="118" spans="1:4">
      <c r="A118" s="34"/>
      <c r="B118" s="34"/>
      <c r="D118" s="34"/>
    </row>
    <row r="119" spans="1:4">
      <c r="A119" s="34"/>
      <c r="B119" s="34"/>
      <c r="D119" s="34"/>
    </row>
    <row r="120" spans="1:4">
      <c r="A120" s="34"/>
      <c r="B120" s="34"/>
      <c r="D120" s="34"/>
    </row>
    <row r="121" spans="1:4">
      <c r="A121" s="34"/>
      <c r="B121" s="34"/>
      <c r="D121" s="34"/>
    </row>
    <row r="122" spans="1:4">
      <c r="A122" s="34"/>
      <c r="B122" s="34"/>
      <c r="D122" s="34"/>
    </row>
    <row r="123" spans="1:4">
      <c r="A123" s="34"/>
      <c r="B123" s="34"/>
      <c r="D123" s="34"/>
    </row>
    <row r="124" spans="1:4">
      <c r="A124" s="34"/>
      <c r="B124" s="34"/>
      <c r="D124" s="34"/>
    </row>
    <row r="125" spans="1:4">
      <c r="A125" s="34"/>
      <c r="B125" s="34"/>
      <c r="D125" s="34"/>
    </row>
    <row r="126" spans="1:4">
      <c r="A126" s="34"/>
      <c r="B126" s="34"/>
      <c r="D126" s="34"/>
    </row>
    <row r="127" spans="1:4">
      <c r="A127" s="34"/>
      <c r="B127" s="34"/>
      <c r="D127" s="34"/>
    </row>
    <row r="128" spans="1:4">
      <c r="A128" s="34"/>
      <c r="B128" s="34"/>
      <c r="D128" s="34"/>
    </row>
    <row r="129" spans="1:4">
      <c r="A129" s="34"/>
      <c r="B129" s="34"/>
      <c r="D129" s="34"/>
    </row>
    <row r="130" spans="1:4">
      <c r="A130" s="34"/>
      <c r="B130" s="34"/>
      <c r="D130" s="34"/>
    </row>
    <row r="131" spans="1:4">
      <c r="A131" s="34"/>
      <c r="B131" s="34"/>
      <c r="D131" s="34"/>
    </row>
    <row r="132" spans="1:4">
      <c r="A132" s="34"/>
      <c r="B132" s="34"/>
      <c r="D132" s="34"/>
    </row>
    <row r="133" spans="1:4">
      <c r="A133" s="34"/>
      <c r="B133" s="34"/>
      <c r="D133" s="34"/>
    </row>
    <row r="134" spans="1:4">
      <c r="A134" s="34"/>
      <c r="B134" s="34"/>
      <c r="D134" s="34"/>
    </row>
    <row r="135" spans="1:4">
      <c r="A135" s="34"/>
      <c r="B135" s="34"/>
      <c r="D135" s="34"/>
    </row>
    <row r="136" spans="1:4">
      <c r="A136" s="34"/>
      <c r="B136" s="34"/>
      <c r="D136" s="34"/>
    </row>
    <row r="137" spans="1:4">
      <c r="A137" s="34"/>
      <c r="B137" s="34"/>
      <c r="D137" s="34"/>
    </row>
    <row r="138" spans="1:4">
      <c r="A138" s="34"/>
      <c r="B138" s="34"/>
      <c r="D138" s="34"/>
    </row>
    <row r="139" spans="1:4">
      <c r="A139" s="34"/>
      <c r="B139" s="34"/>
      <c r="D139" s="34"/>
    </row>
    <row r="140" spans="1:4">
      <c r="A140" s="34"/>
      <c r="B140" s="34"/>
      <c r="D140" s="34"/>
    </row>
    <row r="141" spans="1:4">
      <c r="A141" s="34"/>
      <c r="B141" s="34"/>
      <c r="D141" s="34"/>
    </row>
    <row r="142" spans="1:4">
      <c r="A142" s="34"/>
      <c r="B142" s="34"/>
      <c r="D142" s="34"/>
    </row>
    <row r="143" spans="1:4">
      <c r="A143" s="34"/>
      <c r="B143" s="34"/>
      <c r="D143" s="34"/>
    </row>
    <row r="144" spans="1:4">
      <c r="A144" s="34"/>
      <c r="B144" s="34"/>
      <c r="D144" s="34"/>
    </row>
    <row r="145" spans="1:4">
      <c r="A145" s="34"/>
      <c r="B145" s="34"/>
      <c r="D145" s="34"/>
    </row>
    <row r="146" spans="1:4">
      <c r="A146" s="34"/>
      <c r="B146" s="34"/>
      <c r="D146" s="34"/>
    </row>
    <row r="147" spans="1:4">
      <c r="A147" s="34"/>
      <c r="B147" s="34"/>
      <c r="D147" s="34"/>
    </row>
    <row r="148" spans="1:4">
      <c r="A148" s="34"/>
      <c r="B148" s="34"/>
      <c r="D148" s="34"/>
    </row>
    <row r="149" spans="1:4">
      <c r="A149" s="34"/>
      <c r="B149" s="34"/>
      <c r="D149" s="34"/>
    </row>
    <row r="150" spans="1:4">
      <c r="A150" s="34"/>
      <c r="B150" s="34"/>
      <c r="D150" s="34"/>
    </row>
    <row r="151" spans="1:4">
      <c r="A151" s="34"/>
      <c r="B151" s="34"/>
      <c r="D151" s="34"/>
    </row>
    <row r="152" spans="1:4">
      <c r="A152" s="34"/>
      <c r="B152" s="34"/>
      <c r="D152" s="34"/>
    </row>
    <row r="153" spans="1:4">
      <c r="A153" s="34"/>
      <c r="B153" s="34"/>
      <c r="D153" s="34"/>
    </row>
    <row r="154" spans="1:4">
      <c r="A154" s="34"/>
      <c r="B154" s="34"/>
      <c r="D154" s="34"/>
    </row>
    <row r="155" spans="1:4">
      <c r="A155" s="34"/>
      <c r="B155" s="34"/>
      <c r="D155" s="34"/>
    </row>
    <row r="156" spans="1:4">
      <c r="A156" s="34"/>
      <c r="B156" s="34"/>
      <c r="D156" s="34"/>
    </row>
    <row r="157" spans="1:4">
      <c r="A157" s="34"/>
      <c r="B157" s="34"/>
      <c r="D157" s="34"/>
    </row>
    <row r="158" spans="1:4">
      <c r="A158" s="34"/>
      <c r="B158" s="34"/>
      <c r="D158" s="34"/>
    </row>
    <row r="159" spans="1:4">
      <c r="A159" s="34"/>
      <c r="B159" s="34"/>
      <c r="D159" s="34"/>
    </row>
    <row r="160" spans="1:4">
      <c r="A160" s="34"/>
      <c r="B160" s="34"/>
      <c r="D160" s="34"/>
    </row>
    <row r="161" spans="1:4">
      <c r="A161" s="34"/>
      <c r="B161" s="34"/>
      <c r="D161" s="34"/>
    </row>
    <row r="162" spans="1:4">
      <c r="A162" s="34"/>
      <c r="B162" s="34"/>
      <c r="D162" s="34"/>
    </row>
    <row r="163" spans="1:4">
      <c r="A163" s="34"/>
      <c r="B163" s="34"/>
      <c r="D163" s="34"/>
    </row>
    <row r="164" spans="1:4">
      <c r="A164" s="34"/>
      <c r="B164" s="34"/>
      <c r="D164" s="34"/>
    </row>
    <row r="165" spans="1:4">
      <c r="A165" s="34"/>
      <c r="B165" s="34"/>
      <c r="D165" s="34"/>
    </row>
    <row r="166" spans="1:4">
      <c r="A166" s="34"/>
      <c r="B166" s="34"/>
      <c r="D166" s="34"/>
    </row>
    <row r="167" spans="1:4">
      <c r="A167" s="34"/>
      <c r="B167" s="34"/>
      <c r="D167" s="34"/>
    </row>
    <row r="168" spans="1:4">
      <c r="A168" s="34"/>
      <c r="B168" s="34"/>
      <c r="D168" s="34"/>
    </row>
    <row r="169" spans="1:4">
      <c r="A169" s="34"/>
      <c r="B169" s="34"/>
      <c r="D169" s="34"/>
    </row>
    <row r="170" spans="1:4">
      <c r="A170" s="34"/>
      <c r="B170" s="34"/>
      <c r="D170" s="34"/>
    </row>
    <row r="171" spans="1:4">
      <c r="A171" s="34"/>
      <c r="B171" s="34"/>
      <c r="D171" s="34"/>
    </row>
    <row r="172" spans="1:4">
      <c r="A172" s="34"/>
      <c r="B172" s="34"/>
      <c r="D172" s="34"/>
    </row>
    <row r="173" spans="1:4">
      <c r="A173" s="34"/>
      <c r="B173" s="34"/>
      <c r="D173" s="34"/>
    </row>
    <row r="174" spans="1:4">
      <c r="A174" s="34"/>
      <c r="B174" s="34"/>
      <c r="D174" s="34"/>
    </row>
    <row r="175" spans="1:4">
      <c r="A175" s="34"/>
      <c r="B175" s="34"/>
      <c r="D175" s="34"/>
    </row>
    <row r="176" spans="1:4">
      <c r="A176" s="34"/>
      <c r="B176" s="34"/>
      <c r="D176" s="34"/>
    </row>
    <row r="177" spans="1:4">
      <c r="A177" s="34"/>
      <c r="B177" s="34"/>
      <c r="D177" s="34"/>
    </row>
    <row r="178" spans="1:4">
      <c r="A178" s="34"/>
      <c r="B178" s="34"/>
      <c r="D178" s="34"/>
    </row>
    <row r="179" spans="1:4">
      <c r="A179" s="34"/>
      <c r="B179" s="34"/>
      <c r="D179" s="34"/>
    </row>
    <row r="180" spans="1:4">
      <c r="A180" s="34"/>
      <c r="B180" s="34"/>
      <c r="D180" s="34"/>
    </row>
    <row r="181" spans="1:4">
      <c r="A181" s="34"/>
      <c r="B181" s="34"/>
      <c r="D181" s="34"/>
    </row>
    <row r="182" spans="1:4">
      <c r="A182" s="34"/>
      <c r="B182" s="34"/>
      <c r="D182" s="34"/>
    </row>
    <row r="183" spans="1:4">
      <c r="A183" s="34"/>
      <c r="B183" s="34"/>
      <c r="D183" s="34"/>
    </row>
    <row r="184" spans="1:4">
      <c r="A184" s="34"/>
      <c r="B184" s="34"/>
      <c r="D184" s="34"/>
    </row>
    <row r="185" spans="1:4">
      <c r="A185" s="34"/>
      <c r="B185" s="34"/>
      <c r="D185" s="34"/>
    </row>
    <row r="186" spans="1:4">
      <c r="A186" s="34"/>
      <c r="B186" s="34"/>
      <c r="D186" s="34"/>
    </row>
    <row r="187" spans="1:4">
      <c r="A187" s="34"/>
      <c r="B187" s="34"/>
      <c r="D187" s="34"/>
    </row>
    <row r="188" spans="1:4">
      <c r="A188" s="34"/>
      <c r="B188" s="34"/>
      <c r="D188" s="34"/>
    </row>
    <row r="189" spans="1:4">
      <c r="A189" s="34"/>
      <c r="B189" s="34"/>
      <c r="D189" s="34"/>
    </row>
    <row r="190" spans="1:4">
      <c r="A190" s="34"/>
      <c r="B190" s="34"/>
      <c r="D190" s="34"/>
    </row>
    <row r="191" spans="1:4">
      <c r="A191" s="34"/>
      <c r="B191" s="34"/>
      <c r="D191" s="34"/>
    </row>
    <row r="192" spans="1:4">
      <c r="A192" s="34"/>
      <c r="B192" s="34"/>
      <c r="D192" s="34"/>
    </row>
    <row r="193" spans="1:4">
      <c r="A193" s="34"/>
      <c r="B193" s="34"/>
      <c r="D193" s="34"/>
    </row>
    <row r="194" spans="1:4">
      <c r="A194" s="34"/>
      <c r="B194" s="34"/>
      <c r="D194" s="34"/>
    </row>
    <row r="195" spans="1:4">
      <c r="A195" s="34"/>
      <c r="B195" s="34"/>
      <c r="D195" s="34"/>
    </row>
    <row r="196" spans="1:4">
      <c r="A196" s="34"/>
      <c r="B196" s="34"/>
      <c r="D196" s="34"/>
    </row>
    <row r="197" spans="1:4">
      <c r="A197" s="34"/>
      <c r="B197" s="34"/>
      <c r="D197" s="34"/>
    </row>
    <row r="198" spans="1:4">
      <c r="A198" s="34"/>
      <c r="B198" s="34"/>
      <c r="D198" s="34"/>
    </row>
    <row r="199" spans="1:4">
      <c r="A199" s="34"/>
      <c r="B199" s="34"/>
      <c r="D199" s="34"/>
    </row>
    <row r="200" spans="1:4">
      <c r="A200" s="34"/>
      <c r="B200" s="34"/>
      <c r="D200" s="34"/>
    </row>
    <row r="201" spans="1:4">
      <c r="A201" s="34"/>
      <c r="B201" s="34"/>
      <c r="D201" s="34"/>
    </row>
    <row r="202" spans="1:4">
      <c r="A202" s="34"/>
      <c r="B202" s="34"/>
      <c r="D202" s="34"/>
    </row>
    <row r="203" spans="1:4">
      <c r="A203" s="34"/>
      <c r="B203" s="34"/>
      <c r="D203" s="34"/>
    </row>
    <row r="204" spans="1:4">
      <c r="A204" s="34"/>
      <c r="B204" s="34"/>
      <c r="D204" s="34"/>
    </row>
    <row r="205" spans="1:4">
      <c r="A205" s="34"/>
      <c r="B205" s="34"/>
      <c r="D205" s="34"/>
    </row>
    <row r="206" spans="1:4">
      <c r="A206" s="34"/>
      <c r="B206" s="34"/>
      <c r="D206" s="34"/>
    </row>
    <row r="207" spans="1:4">
      <c r="A207" s="34"/>
      <c r="B207" s="34"/>
      <c r="D207" s="34"/>
    </row>
    <row r="208" spans="1:4">
      <c r="A208" s="34"/>
      <c r="B208" s="34"/>
      <c r="D208" s="34"/>
    </row>
    <row r="209" spans="1:4">
      <c r="A209" s="34"/>
      <c r="B209" s="34"/>
      <c r="D209" s="34"/>
    </row>
    <row r="210" spans="1:4">
      <c r="A210" s="34"/>
      <c r="B210" s="34"/>
      <c r="D210" s="34"/>
    </row>
    <row r="211" spans="1:4">
      <c r="A211" s="34"/>
      <c r="B211" s="34"/>
      <c r="D211" s="34"/>
    </row>
    <row r="212" spans="1:4">
      <c r="A212" s="34"/>
      <c r="B212" s="34"/>
      <c r="D212" s="34"/>
    </row>
    <row r="213" spans="1:4">
      <c r="A213" s="34"/>
      <c r="B213" s="34"/>
      <c r="D213" s="34"/>
    </row>
    <row r="214" spans="1:4">
      <c r="A214" s="34"/>
      <c r="B214" s="34"/>
      <c r="D214" s="34"/>
    </row>
  </sheetData>
  <autoFilter ref="A2:AY58" xr:uid="{D4D2E793-CB5E-4715-9224-61B5BE799EE1}">
    <filterColumn colId="7">
      <filters>
        <filter val="MAWM Scheduled Script Dashboard for API's"/>
      </filters>
    </filterColumn>
  </autoFilter>
  <mergeCells count="1">
    <mergeCell ref="L1:AY1"/>
  </mergeCells>
  <conditionalFormatting sqref="L1:AY1048576">
    <cfRule type="containsText" dxfId="3" priority="1" operator="containsText" text="No">
      <formula>NOT(ISERROR(SEARCH("No",L1)))</formula>
    </cfRule>
    <cfRule type="containsText" dxfId="2" priority="2" operator="containsText" text="Yes">
      <formula>NOT(ISERROR(SEARCH("Yes",L1)))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8FD58-43A0-4A7A-B50D-548442FAC22B}">
  <dimension ref="A1:I212"/>
  <sheetViews>
    <sheetView workbookViewId="0">
      <selection activeCell="B1" sqref="B1:B1048576"/>
    </sheetView>
    <sheetView workbookViewId="1"/>
  </sheetViews>
  <sheetFormatPr baseColWidth="10" defaultColWidth="8.83203125" defaultRowHeight="14" customHeight="1"/>
  <cols>
    <col min="1" max="1" width="7.5" customWidth="1"/>
    <col min="2" max="2" width="58.33203125" style="38" customWidth="1"/>
    <col min="3" max="3" width="77.6640625" style="38" customWidth="1"/>
    <col min="4" max="4" width="61" style="38" customWidth="1"/>
    <col min="5" max="5" width="10.6640625" customWidth="1"/>
    <col min="6" max="6" width="6.6640625" customWidth="1"/>
    <col min="7" max="7" width="11.5" customWidth="1"/>
    <col min="8" max="8" width="13.5" style="38" customWidth="1"/>
  </cols>
  <sheetData>
    <row r="1" spans="1:9" ht="14" customHeight="1">
      <c r="A1" t="s">
        <v>516</v>
      </c>
      <c r="B1" s="38" t="s">
        <v>517</v>
      </c>
      <c r="C1" s="38" t="s">
        <v>518</v>
      </c>
      <c r="D1" s="38" t="s">
        <v>519</v>
      </c>
      <c r="E1" t="s">
        <v>520</v>
      </c>
      <c r="F1" t="s">
        <v>521</v>
      </c>
      <c r="G1" t="s">
        <v>522</v>
      </c>
      <c r="H1" s="38" t="s">
        <v>523</v>
      </c>
      <c r="I1" t="s">
        <v>524</v>
      </c>
    </row>
    <row r="2" spans="1:9" ht="14" customHeight="1">
      <c r="A2" t="s">
        <v>525</v>
      </c>
      <c r="B2" s="38" t="s">
        <v>526</v>
      </c>
      <c r="C2" s="38" t="s">
        <v>527</v>
      </c>
      <c r="D2" s="38" t="s">
        <v>528</v>
      </c>
      <c r="E2" t="s">
        <v>518</v>
      </c>
      <c r="F2" t="s">
        <v>529</v>
      </c>
      <c r="H2" s="38" t="s">
        <v>530</v>
      </c>
      <c r="I2" t="s">
        <v>531</v>
      </c>
    </row>
    <row r="3" spans="1:9" ht="14" customHeight="1">
      <c r="A3" t="s">
        <v>525</v>
      </c>
      <c r="B3" s="38" t="s">
        <v>532</v>
      </c>
      <c r="C3" s="38" t="s">
        <v>260</v>
      </c>
      <c r="D3" s="38" t="s">
        <v>533</v>
      </c>
      <c r="E3" t="s">
        <v>518</v>
      </c>
      <c r="F3" t="s">
        <v>529</v>
      </c>
      <c r="H3" s="38" t="s">
        <v>534</v>
      </c>
      <c r="I3" t="s">
        <v>531</v>
      </c>
    </row>
    <row r="4" spans="1:9" ht="14" customHeight="1">
      <c r="A4" t="s">
        <v>525</v>
      </c>
      <c r="B4" s="38" t="s">
        <v>535</v>
      </c>
      <c r="C4" s="38" t="s">
        <v>536</v>
      </c>
      <c r="D4" s="38" t="s">
        <v>535</v>
      </c>
      <c r="E4" t="s">
        <v>518</v>
      </c>
      <c r="F4" t="s">
        <v>529</v>
      </c>
      <c r="H4" s="38" t="s">
        <v>537</v>
      </c>
      <c r="I4" t="s">
        <v>538</v>
      </c>
    </row>
    <row r="5" spans="1:9" ht="14" customHeight="1">
      <c r="A5" s="40" t="s">
        <v>525</v>
      </c>
      <c r="B5" s="41" t="s">
        <v>539</v>
      </c>
      <c r="C5" s="41" t="s">
        <v>540</v>
      </c>
      <c r="D5" s="41" t="s">
        <v>539</v>
      </c>
      <c r="E5" s="40" t="s">
        <v>518</v>
      </c>
      <c r="F5" s="40" t="s">
        <v>529</v>
      </c>
      <c r="G5" s="40"/>
      <c r="H5" s="41" t="s">
        <v>541</v>
      </c>
      <c r="I5" s="40" t="s">
        <v>542</v>
      </c>
    </row>
    <row r="6" spans="1:9" ht="14" customHeight="1">
      <c r="A6" t="s">
        <v>525</v>
      </c>
      <c r="B6" s="38" t="s">
        <v>543</v>
      </c>
      <c r="C6" s="38" t="s">
        <v>544</v>
      </c>
      <c r="D6" s="38" t="s">
        <v>543</v>
      </c>
      <c r="E6" t="s">
        <v>518</v>
      </c>
      <c r="F6" t="s">
        <v>529</v>
      </c>
      <c r="H6" s="38" t="s">
        <v>545</v>
      </c>
      <c r="I6" t="s">
        <v>542</v>
      </c>
    </row>
    <row r="7" spans="1:9" ht="14" customHeight="1">
      <c r="A7" t="s">
        <v>525</v>
      </c>
      <c r="B7" s="38" t="s">
        <v>546</v>
      </c>
      <c r="C7" s="38" t="s">
        <v>547</v>
      </c>
      <c r="D7" s="38" t="s">
        <v>546</v>
      </c>
      <c r="E7" t="s">
        <v>518</v>
      </c>
      <c r="F7" t="s">
        <v>529</v>
      </c>
      <c r="H7" s="38" t="s">
        <v>548</v>
      </c>
      <c r="I7" t="s">
        <v>542</v>
      </c>
    </row>
    <row r="8" spans="1:9" ht="14" customHeight="1">
      <c r="A8" t="s">
        <v>525</v>
      </c>
      <c r="B8" s="38" t="s">
        <v>549</v>
      </c>
      <c r="C8" s="38" t="s">
        <v>550</v>
      </c>
      <c r="D8" s="38" t="s">
        <v>549</v>
      </c>
      <c r="E8" t="s">
        <v>518</v>
      </c>
      <c r="F8" t="s">
        <v>529</v>
      </c>
      <c r="H8" s="38" t="s">
        <v>551</v>
      </c>
      <c r="I8" t="s">
        <v>542</v>
      </c>
    </row>
    <row r="9" spans="1:9" ht="14" customHeight="1">
      <c r="A9" t="s">
        <v>525</v>
      </c>
      <c r="B9" s="38" t="s">
        <v>202</v>
      </c>
      <c r="C9" s="38" t="s">
        <v>552</v>
      </c>
      <c r="E9" t="s">
        <v>518</v>
      </c>
      <c r="F9" t="s">
        <v>529</v>
      </c>
      <c r="H9" s="38" t="s">
        <v>553</v>
      </c>
      <c r="I9" t="s">
        <v>542</v>
      </c>
    </row>
    <row r="10" spans="1:9" ht="14" customHeight="1">
      <c r="A10" t="s">
        <v>525</v>
      </c>
      <c r="B10" s="38" t="s">
        <v>554</v>
      </c>
      <c r="C10" s="38" t="s">
        <v>555</v>
      </c>
      <c r="D10" s="38" t="s">
        <v>554</v>
      </c>
      <c r="E10" t="s">
        <v>518</v>
      </c>
      <c r="F10" t="s">
        <v>529</v>
      </c>
      <c r="H10" s="38" t="s">
        <v>556</v>
      </c>
      <c r="I10" t="s">
        <v>542</v>
      </c>
    </row>
    <row r="11" spans="1:9" ht="14" customHeight="1">
      <c r="A11" t="s">
        <v>525</v>
      </c>
      <c r="B11" s="38" t="s">
        <v>557</v>
      </c>
      <c r="C11" s="38" t="s">
        <v>536</v>
      </c>
      <c r="D11" s="38" t="s">
        <v>557</v>
      </c>
      <c r="E11" t="s">
        <v>518</v>
      </c>
      <c r="F11" t="s">
        <v>529</v>
      </c>
      <c r="H11" s="38" t="s">
        <v>558</v>
      </c>
      <c r="I11" t="s">
        <v>538</v>
      </c>
    </row>
    <row r="12" spans="1:9" ht="14" customHeight="1">
      <c r="A12" t="s">
        <v>525</v>
      </c>
      <c r="B12" s="38" t="s">
        <v>559</v>
      </c>
      <c r="C12" s="38" t="s">
        <v>560</v>
      </c>
      <c r="D12" s="38" t="s">
        <v>561</v>
      </c>
      <c r="E12" t="s">
        <v>518</v>
      </c>
      <c r="F12" t="s">
        <v>529</v>
      </c>
      <c r="H12" s="38" t="s">
        <v>562</v>
      </c>
      <c r="I12" t="s">
        <v>542</v>
      </c>
    </row>
    <row r="13" spans="1:9" ht="14" customHeight="1">
      <c r="A13" t="s">
        <v>525</v>
      </c>
      <c r="B13" s="38" t="s">
        <v>563</v>
      </c>
      <c r="C13" s="38" t="s">
        <v>564</v>
      </c>
      <c r="D13" s="38" t="s">
        <v>565</v>
      </c>
      <c r="E13" t="s">
        <v>518</v>
      </c>
      <c r="F13" t="s">
        <v>529</v>
      </c>
      <c r="H13" s="38" t="s">
        <v>566</v>
      </c>
      <c r="I13" t="s">
        <v>538</v>
      </c>
    </row>
    <row r="14" spans="1:9" ht="14" customHeight="1">
      <c r="A14" t="s">
        <v>525</v>
      </c>
      <c r="B14" s="38" t="s">
        <v>567</v>
      </c>
      <c r="C14" s="38" t="s">
        <v>568</v>
      </c>
      <c r="D14" s="38" t="s">
        <v>569</v>
      </c>
      <c r="E14" t="s">
        <v>518</v>
      </c>
      <c r="F14" t="s">
        <v>529</v>
      </c>
      <c r="H14" s="38" t="s">
        <v>570</v>
      </c>
      <c r="I14" t="s">
        <v>531</v>
      </c>
    </row>
    <row r="15" spans="1:9" ht="14" customHeight="1">
      <c r="A15" t="s">
        <v>525</v>
      </c>
      <c r="B15" s="38" t="s">
        <v>571</v>
      </c>
      <c r="C15" s="38" t="s">
        <v>572</v>
      </c>
      <c r="D15" s="38" t="s">
        <v>571</v>
      </c>
      <c r="E15" t="s">
        <v>518</v>
      </c>
      <c r="F15" t="s">
        <v>529</v>
      </c>
      <c r="H15" s="38" t="s">
        <v>573</v>
      </c>
      <c r="I15" t="s">
        <v>542</v>
      </c>
    </row>
    <row r="16" spans="1:9" ht="14" customHeight="1">
      <c r="A16" t="s">
        <v>525</v>
      </c>
      <c r="B16" s="38" t="s">
        <v>574</v>
      </c>
      <c r="C16" s="38" t="s">
        <v>575</v>
      </c>
      <c r="D16" s="38" t="s">
        <v>574</v>
      </c>
      <c r="E16" t="s">
        <v>518</v>
      </c>
      <c r="F16" t="s">
        <v>529</v>
      </c>
      <c r="H16" s="38" t="s">
        <v>576</v>
      </c>
      <c r="I16" t="s">
        <v>542</v>
      </c>
    </row>
    <row r="17" spans="1:9" ht="14" customHeight="1">
      <c r="A17" t="s">
        <v>525</v>
      </c>
      <c r="B17" s="38" t="s">
        <v>577</v>
      </c>
      <c r="C17" s="38" t="s">
        <v>578</v>
      </c>
      <c r="D17" s="38" t="s">
        <v>577</v>
      </c>
      <c r="E17" t="s">
        <v>518</v>
      </c>
      <c r="F17" t="s">
        <v>529</v>
      </c>
      <c r="H17" s="38" t="s">
        <v>579</v>
      </c>
      <c r="I17" t="s">
        <v>542</v>
      </c>
    </row>
    <row r="18" spans="1:9" ht="14" customHeight="1">
      <c r="A18" t="s">
        <v>525</v>
      </c>
      <c r="B18" s="38" t="s">
        <v>580</v>
      </c>
      <c r="C18" s="38" t="s">
        <v>581</v>
      </c>
      <c r="D18" s="38" t="s">
        <v>582</v>
      </c>
      <c r="E18" t="s">
        <v>518</v>
      </c>
      <c r="F18" t="s">
        <v>529</v>
      </c>
      <c r="H18" s="38" t="s">
        <v>583</v>
      </c>
      <c r="I18" t="s">
        <v>531</v>
      </c>
    </row>
    <row r="19" spans="1:9" ht="14" customHeight="1">
      <c r="A19" t="s">
        <v>525</v>
      </c>
      <c r="B19" s="38" t="s">
        <v>569</v>
      </c>
      <c r="C19" s="38" t="s">
        <v>568</v>
      </c>
      <c r="D19" s="38" t="s">
        <v>569</v>
      </c>
      <c r="E19" t="s">
        <v>518</v>
      </c>
      <c r="F19" t="s">
        <v>529</v>
      </c>
      <c r="H19" s="38" t="s">
        <v>584</v>
      </c>
      <c r="I19" t="s">
        <v>531</v>
      </c>
    </row>
    <row r="20" spans="1:9" ht="14" customHeight="1">
      <c r="A20" t="s">
        <v>525</v>
      </c>
      <c r="B20" s="38" t="s">
        <v>585</v>
      </c>
      <c r="C20" s="38" t="s">
        <v>581</v>
      </c>
      <c r="D20" s="38" t="s">
        <v>586</v>
      </c>
      <c r="E20" t="s">
        <v>518</v>
      </c>
      <c r="F20" t="s">
        <v>529</v>
      </c>
      <c r="H20" s="38" t="s">
        <v>587</v>
      </c>
      <c r="I20" t="s">
        <v>531</v>
      </c>
    </row>
    <row r="21" spans="1:9" ht="14" customHeight="1">
      <c r="A21" t="s">
        <v>525</v>
      </c>
      <c r="B21" s="38" t="s">
        <v>588</v>
      </c>
      <c r="C21" s="38" t="s">
        <v>589</v>
      </c>
      <c r="D21" s="38" t="s">
        <v>588</v>
      </c>
      <c r="E21" t="s">
        <v>518</v>
      </c>
      <c r="F21" t="s">
        <v>529</v>
      </c>
      <c r="H21" s="38" t="s">
        <v>590</v>
      </c>
      <c r="I21" t="s">
        <v>542</v>
      </c>
    </row>
    <row r="22" spans="1:9" ht="14" customHeight="1">
      <c r="A22" t="s">
        <v>525</v>
      </c>
      <c r="B22" s="38" t="s">
        <v>591</v>
      </c>
      <c r="C22" s="38" t="s">
        <v>592</v>
      </c>
      <c r="E22" t="s">
        <v>518</v>
      </c>
      <c r="F22" t="s">
        <v>593</v>
      </c>
      <c r="H22" s="38" t="s">
        <v>594</v>
      </c>
      <c r="I22" t="s">
        <v>595</v>
      </c>
    </row>
    <row r="23" spans="1:9" ht="14" customHeight="1">
      <c r="A23" t="s">
        <v>525</v>
      </c>
      <c r="B23" s="38" t="s">
        <v>596</v>
      </c>
      <c r="C23" s="38" t="s">
        <v>597</v>
      </c>
      <c r="D23" s="38" t="s">
        <v>598</v>
      </c>
      <c r="E23" t="s">
        <v>518</v>
      </c>
      <c r="F23" t="s">
        <v>593</v>
      </c>
      <c r="H23" s="38" t="s">
        <v>599</v>
      </c>
      <c r="I23" t="s">
        <v>595</v>
      </c>
    </row>
    <row r="24" spans="1:9" ht="14" customHeight="1">
      <c r="A24" t="s">
        <v>525</v>
      </c>
      <c r="B24" s="38" t="s">
        <v>600</v>
      </c>
      <c r="C24" s="38" t="s">
        <v>601</v>
      </c>
      <c r="E24" t="s">
        <v>518</v>
      </c>
      <c r="F24" t="s">
        <v>529</v>
      </c>
      <c r="H24" s="38" t="s">
        <v>602</v>
      </c>
      <c r="I24" t="s">
        <v>595</v>
      </c>
    </row>
    <row r="25" spans="1:9" ht="14" customHeight="1">
      <c r="A25" t="s">
        <v>525</v>
      </c>
      <c r="B25" s="38" t="s">
        <v>603</v>
      </c>
      <c r="C25" s="38" t="s">
        <v>604</v>
      </c>
      <c r="E25" t="s">
        <v>518</v>
      </c>
      <c r="F25" t="s">
        <v>529</v>
      </c>
      <c r="H25" s="38" t="s">
        <v>605</v>
      </c>
      <c r="I25" t="s">
        <v>595</v>
      </c>
    </row>
    <row r="26" spans="1:9" ht="14" customHeight="1">
      <c r="A26" t="s">
        <v>525</v>
      </c>
      <c r="B26" s="38" t="s">
        <v>606</v>
      </c>
      <c r="C26" s="38" t="s">
        <v>607</v>
      </c>
      <c r="D26" s="38" t="s">
        <v>608</v>
      </c>
      <c r="E26" t="s">
        <v>518</v>
      </c>
      <c r="F26" t="s">
        <v>529</v>
      </c>
      <c r="H26" s="38" t="s">
        <v>609</v>
      </c>
      <c r="I26" t="s">
        <v>531</v>
      </c>
    </row>
    <row r="27" spans="1:9" ht="14" customHeight="1">
      <c r="A27" t="s">
        <v>525</v>
      </c>
      <c r="B27" s="38" t="s">
        <v>610</v>
      </c>
      <c r="C27" s="38" t="s">
        <v>611</v>
      </c>
      <c r="D27" s="38" t="s">
        <v>612</v>
      </c>
      <c r="E27" t="s">
        <v>518</v>
      </c>
      <c r="F27" t="s">
        <v>529</v>
      </c>
      <c r="H27" s="38" t="s">
        <v>613</v>
      </c>
      <c r="I27" t="s">
        <v>531</v>
      </c>
    </row>
    <row r="28" spans="1:9" ht="14" customHeight="1">
      <c r="A28" t="s">
        <v>525</v>
      </c>
      <c r="B28" s="38" t="s">
        <v>614</v>
      </c>
      <c r="C28" s="38" t="s">
        <v>611</v>
      </c>
      <c r="D28" s="38" t="s">
        <v>614</v>
      </c>
      <c r="E28" t="s">
        <v>518</v>
      </c>
      <c r="F28" t="s">
        <v>529</v>
      </c>
      <c r="H28" s="38" t="s">
        <v>615</v>
      </c>
      <c r="I28" t="s">
        <v>531</v>
      </c>
    </row>
    <row r="29" spans="1:9" ht="14" customHeight="1">
      <c r="A29" t="s">
        <v>525</v>
      </c>
      <c r="B29" s="38" t="s">
        <v>616</v>
      </c>
      <c r="C29" s="38" t="s">
        <v>607</v>
      </c>
      <c r="D29" s="38" t="s">
        <v>608</v>
      </c>
      <c r="E29" t="s">
        <v>518</v>
      </c>
      <c r="F29" t="s">
        <v>529</v>
      </c>
      <c r="H29" s="38" t="s">
        <v>617</v>
      </c>
      <c r="I29" t="s">
        <v>531</v>
      </c>
    </row>
    <row r="30" spans="1:9" ht="14" customHeight="1">
      <c r="A30" t="s">
        <v>525</v>
      </c>
      <c r="B30" s="38" t="s">
        <v>618</v>
      </c>
      <c r="C30" s="38" t="s">
        <v>619</v>
      </c>
      <c r="E30" t="s">
        <v>518</v>
      </c>
      <c r="F30" t="s">
        <v>529</v>
      </c>
      <c r="H30" s="38" t="s">
        <v>620</v>
      </c>
      <c r="I30" t="s">
        <v>542</v>
      </c>
    </row>
    <row r="31" spans="1:9" ht="14" customHeight="1">
      <c r="A31" t="s">
        <v>525</v>
      </c>
      <c r="B31" s="38" t="s">
        <v>621</v>
      </c>
      <c r="C31" s="38" t="s">
        <v>622</v>
      </c>
      <c r="D31" s="38" t="s">
        <v>621</v>
      </c>
      <c r="E31" t="s">
        <v>518</v>
      </c>
      <c r="F31" t="s">
        <v>529</v>
      </c>
      <c r="H31" s="38" t="s">
        <v>623</v>
      </c>
      <c r="I31" t="s">
        <v>538</v>
      </c>
    </row>
    <row r="32" spans="1:9" ht="14" customHeight="1">
      <c r="A32" t="s">
        <v>525</v>
      </c>
      <c r="B32" s="38" t="s">
        <v>624</v>
      </c>
      <c r="C32" s="38" t="s">
        <v>625</v>
      </c>
      <c r="E32" t="s">
        <v>518</v>
      </c>
      <c r="F32" t="s">
        <v>529</v>
      </c>
      <c r="H32" s="38" t="s">
        <v>626</v>
      </c>
      <c r="I32" t="s">
        <v>538</v>
      </c>
    </row>
    <row r="33" spans="1:9" ht="14" customHeight="1">
      <c r="A33" t="s">
        <v>525</v>
      </c>
      <c r="B33" s="38" t="s">
        <v>627</v>
      </c>
      <c r="C33" s="38" t="s">
        <v>628</v>
      </c>
      <c r="E33" t="s">
        <v>518</v>
      </c>
      <c r="F33" t="s">
        <v>529</v>
      </c>
      <c r="H33" s="38" t="s">
        <v>629</v>
      </c>
      <c r="I33" t="s">
        <v>542</v>
      </c>
    </row>
    <row r="34" spans="1:9" ht="14" customHeight="1">
      <c r="A34" t="s">
        <v>525</v>
      </c>
      <c r="B34" s="38" t="s">
        <v>630</v>
      </c>
      <c r="C34" s="38" t="s">
        <v>631</v>
      </c>
      <c r="D34" s="38" t="s">
        <v>632</v>
      </c>
      <c r="E34" t="s">
        <v>518</v>
      </c>
      <c r="F34" t="s">
        <v>529</v>
      </c>
      <c r="H34" s="38" t="s">
        <v>633</v>
      </c>
      <c r="I34" t="s">
        <v>542</v>
      </c>
    </row>
    <row r="35" spans="1:9" ht="34.25" customHeight="1">
      <c r="A35" t="s">
        <v>525</v>
      </c>
      <c r="B35" s="38" t="s">
        <v>634</v>
      </c>
      <c r="C35" s="38" t="s">
        <v>635</v>
      </c>
      <c r="E35" t="s">
        <v>518</v>
      </c>
      <c r="F35" t="s">
        <v>529</v>
      </c>
      <c r="H35" s="38" t="s">
        <v>636</v>
      </c>
      <c r="I35" t="s">
        <v>542</v>
      </c>
    </row>
    <row r="36" spans="1:9" ht="14" customHeight="1">
      <c r="A36" t="s">
        <v>525</v>
      </c>
      <c r="B36" s="38" t="s">
        <v>637</v>
      </c>
      <c r="C36" s="38" t="s">
        <v>273</v>
      </c>
      <c r="E36" t="s">
        <v>518</v>
      </c>
      <c r="F36" t="s">
        <v>529</v>
      </c>
      <c r="H36" s="38" t="s">
        <v>638</v>
      </c>
      <c r="I36" t="s">
        <v>542</v>
      </c>
    </row>
    <row r="37" spans="1:9" ht="14" customHeight="1">
      <c r="A37" t="s">
        <v>525</v>
      </c>
      <c r="B37" s="38" t="s">
        <v>639</v>
      </c>
      <c r="C37" s="38" t="s">
        <v>275</v>
      </c>
      <c r="D37" s="38" t="s">
        <v>639</v>
      </c>
      <c r="E37" t="s">
        <v>518</v>
      </c>
      <c r="F37" t="s">
        <v>529</v>
      </c>
      <c r="H37" s="38" t="s">
        <v>640</v>
      </c>
      <c r="I37" t="s">
        <v>542</v>
      </c>
    </row>
    <row r="38" spans="1:9" ht="14" customHeight="1">
      <c r="A38" t="s">
        <v>525</v>
      </c>
      <c r="B38" s="38" t="s">
        <v>641</v>
      </c>
      <c r="C38" s="38" t="s">
        <v>642</v>
      </c>
      <c r="E38" t="s">
        <v>518</v>
      </c>
      <c r="F38" t="s">
        <v>529</v>
      </c>
      <c r="H38" s="38" t="s">
        <v>643</v>
      </c>
      <c r="I38" t="s">
        <v>542</v>
      </c>
    </row>
    <row r="39" spans="1:9" ht="14" customHeight="1">
      <c r="A39" t="s">
        <v>525</v>
      </c>
      <c r="B39" s="38" t="s">
        <v>644</v>
      </c>
      <c r="C39" s="38" t="s">
        <v>645</v>
      </c>
      <c r="D39" s="38" t="s">
        <v>644</v>
      </c>
      <c r="E39" t="s">
        <v>518</v>
      </c>
      <c r="F39" t="s">
        <v>529</v>
      </c>
      <c r="H39" s="38" t="s">
        <v>646</v>
      </c>
      <c r="I39" t="s">
        <v>542</v>
      </c>
    </row>
    <row r="40" spans="1:9" ht="14" customHeight="1">
      <c r="A40" t="s">
        <v>525</v>
      </c>
      <c r="B40" s="38" t="s">
        <v>647</v>
      </c>
      <c r="C40" s="38" t="s">
        <v>648</v>
      </c>
      <c r="E40" t="s">
        <v>518</v>
      </c>
      <c r="F40" t="s">
        <v>529</v>
      </c>
      <c r="H40" s="38" t="s">
        <v>649</v>
      </c>
      <c r="I40" t="s">
        <v>542</v>
      </c>
    </row>
    <row r="41" spans="1:9" ht="14" customHeight="1">
      <c r="A41" t="s">
        <v>525</v>
      </c>
      <c r="B41" s="38" t="s">
        <v>650</v>
      </c>
      <c r="C41" s="38" t="s">
        <v>651</v>
      </c>
      <c r="D41" s="38" t="s">
        <v>650</v>
      </c>
      <c r="E41" t="s">
        <v>518</v>
      </c>
      <c r="F41" t="s">
        <v>529</v>
      </c>
      <c r="H41" s="38" t="s">
        <v>652</v>
      </c>
      <c r="I41" t="s">
        <v>542</v>
      </c>
    </row>
    <row r="42" spans="1:9" ht="14" customHeight="1">
      <c r="A42" t="s">
        <v>525</v>
      </c>
      <c r="B42" s="38" t="s">
        <v>653</v>
      </c>
      <c r="C42" s="38" t="s">
        <v>625</v>
      </c>
      <c r="E42" t="s">
        <v>518</v>
      </c>
      <c r="F42" t="s">
        <v>529</v>
      </c>
      <c r="H42" s="38" t="s">
        <v>654</v>
      </c>
      <c r="I42" t="s">
        <v>538</v>
      </c>
    </row>
    <row r="43" spans="1:9" ht="14" customHeight="1">
      <c r="A43" t="s">
        <v>525</v>
      </c>
      <c r="B43" s="38" t="s">
        <v>655</v>
      </c>
      <c r="C43" s="38" t="s">
        <v>656</v>
      </c>
      <c r="E43" t="s">
        <v>518</v>
      </c>
      <c r="F43" t="s">
        <v>529</v>
      </c>
      <c r="H43" s="38" t="s">
        <v>657</v>
      </c>
      <c r="I43" t="s">
        <v>542</v>
      </c>
    </row>
    <row r="44" spans="1:9" ht="83.5" customHeight="1">
      <c r="A44" t="s">
        <v>525</v>
      </c>
      <c r="B44" s="38" t="s">
        <v>658</v>
      </c>
      <c r="C44" s="38" t="s">
        <v>659</v>
      </c>
      <c r="E44" t="s">
        <v>518</v>
      </c>
      <c r="F44" t="s">
        <v>529</v>
      </c>
      <c r="H44" s="38" t="s">
        <v>660</v>
      </c>
      <c r="I44" t="s">
        <v>595</v>
      </c>
    </row>
    <row r="45" spans="1:9" ht="14" customHeight="1">
      <c r="A45" t="s">
        <v>525</v>
      </c>
      <c r="B45" s="38" t="s">
        <v>661</v>
      </c>
      <c r="C45" s="38" t="s">
        <v>662</v>
      </c>
      <c r="D45" s="38" t="s">
        <v>661</v>
      </c>
      <c r="E45" t="s">
        <v>518</v>
      </c>
      <c r="F45" t="s">
        <v>529</v>
      </c>
      <c r="H45" s="38" t="s">
        <v>663</v>
      </c>
      <c r="I45" t="s">
        <v>542</v>
      </c>
    </row>
    <row r="46" spans="1:9" ht="14" customHeight="1">
      <c r="A46" t="s">
        <v>525</v>
      </c>
      <c r="B46" s="38" t="s">
        <v>664</v>
      </c>
      <c r="C46" s="38" t="s">
        <v>665</v>
      </c>
      <c r="D46" s="38" t="s">
        <v>666</v>
      </c>
      <c r="E46" t="s">
        <v>518</v>
      </c>
      <c r="F46" t="s">
        <v>529</v>
      </c>
      <c r="H46" s="38" t="s">
        <v>667</v>
      </c>
      <c r="I46" t="s">
        <v>538</v>
      </c>
    </row>
    <row r="47" spans="1:9" ht="14" customHeight="1">
      <c r="A47" t="s">
        <v>525</v>
      </c>
      <c r="B47" s="38" t="s">
        <v>668</v>
      </c>
      <c r="C47" s="38" t="s">
        <v>669</v>
      </c>
      <c r="D47" s="38" t="s">
        <v>670</v>
      </c>
      <c r="E47" t="s">
        <v>518</v>
      </c>
      <c r="F47" t="s">
        <v>529</v>
      </c>
      <c r="H47" s="38" t="s">
        <v>671</v>
      </c>
      <c r="I47" t="s">
        <v>531</v>
      </c>
    </row>
    <row r="48" spans="1:9" ht="14" customHeight="1">
      <c r="A48" t="s">
        <v>525</v>
      </c>
      <c r="B48" s="38" t="s">
        <v>672</v>
      </c>
      <c r="C48" s="38" t="s">
        <v>673</v>
      </c>
      <c r="D48" s="38" t="s">
        <v>674</v>
      </c>
      <c r="E48" t="s">
        <v>518</v>
      </c>
      <c r="F48" t="s">
        <v>529</v>
      </c>
      <c r="H48" s="38" t="s">
        <v>675</v>
      </c>
      <c r="I48" t="s">
        <v>531</v>
      </c>
    </row>
    <row r="49" spans="1:9" ht="14" customHeight="1">
      <c r="A49" t="s">
        <v>525</v>
      </c>
      <c r="B49" s="38" t="s">
        <v>670</v>
      </c>
      <c r="C49" s="38" t="s">
        <v>669</v>
      </c>
      <c r="D49" s="38" t="s">
        <v>670</v>
      </c>
      <c r="E49" t="s">
        <v>518</v>
      </c>
      <c r="F49" t="s">
        <v>529</v>
      </c>
      <c r="H49" s="38" t="s">
        <v>676</v>
      </c>
      <c r="I49" t="s">
        <v>531</v>
      </c>
    </row>
    <row r="50" spans="1:9" ht="14" customHeight="1">
      <c r="A50" t="s">
        <v>525</v>
      </c>
      <c r="B50" s="38" t="s">
        <v>677</v>
      </c>
      <c r="C50" s="38" t="s">
        <v>673</v>
      </c>
      <c r="D50" s="38" t="s">
        <v>674</v>
      </c>
      <c r="E50" t="s">
        <v>518</v>
      </c>
      <c r="F50" t="s">
        <v>529</v>
      </c>
      <c r="H50" s="38" t="s">
        <v>678</v>
      </c>
      <c r="I50" t="s">
        <v>531</v>
      </c>
    </row>
    <row r="51" spans="1:9" ht="14" customHeight="1">
      <c r="A51" t="s">
        <v>525</v>
      </c>
      <c r="B51" s="38" t="s">
        <v>679</v>
      </c>
      <c r="C51" s="38" t="s">
        <v>680</v>
      </c>
      <c r="E51" t="s">
        <v>518</v>
      </c>
      <c r="F51" t="s">
        <v>593</v>
      </c>
      <c r="H51" s="38" t="s">
        <v>681</v>
      </c>
      <c r="I51" t="s">
        <v>595</v>
      </c>
    </row>
    <row r="52" spans="1:9" ht="14" customHeight="1">
      <c r="A52" t="s">
        <v>525</v>
      </c>
      <c r="B52" s="38" t="s">
        <v>682</v>
      </c>
      <c r="C52" s="38" t="s">
        <v>680</v>
      </c>
      <c r="E52" t="s">
        <v>518</v>
      </c>
      <c r="F52" t="s">
        <v>529</v>
      </c>
      <c r="H52" s="38" t="s">
        <v>683</v>
      </c>
      <c r="I52" t="s">
        <v>595</v>
      </c>
    </row>
    <row r="53" spans="1:9" ht="14" customHeight="1">
      <c r="A53" t="s">
        <v>525</v>
      </c>
      <c r="B53" s="38" t="s">
        <v>684</v>
      </c>
      <c r="C53" s="38" t="s">
        <v>685</v>
      </c>
      <c r="E53" t="s">
        <v>518</v>
      </c>
      <c r="F53" t="s">
        <v>593</v>
      </c>
      <c r="H53" s="38" t="s">
        <v>686</v>
      </c>
      <c r="I53" t="s">
        <v>595</v>
      </c>
    </row>
    <row r="54" spans="1:9" ht="14" customHeight="1">
      <c r="A54" t="s">
        <v>525</v>
      </c>
      <c r="B54" s="38" t="s">
        <v>687</v>
      </c>
      <c r="C54" s="38" t="s">
        <v>688</v>
      </c>
      <c r="D54" s="38" t="s">
        <v>687</v>
      </c>
      <c r="E54" t="s">
        <v>518</v>
      </c>
      <c r="F54" t="s">
        <v>529</v>
      </c>
      <c r="H54" s="38" t="s">
        <v>689</v>
      </c>
    </row>
    <row r="55" spans="1:9" ht="14" customHeight="1">
      <c r="A55" t="s">
        <v>525</v>
      </c>
      <c r="B55" s="38" t="s">
        <v>690</v>
      </c>
      <c r="C55" s="38" t="s">
        <v>691</v>
      </c>
      <c r="D55" s="38" t="s">
        <v>690</v>
      </c>
      <c r="E55" t="s">
        <v>518</v>
      </c>
      <c r="F55" t="s">
        <v>529</v>
      </c>
      <c r="H55" s="38" t="s">
        <v>692</v>
      </c>
      <c r="I55" t="s">
        <v>538</v>
      </c>
    </row>
    <row r="56" spans="1:9" ht="14" customHeight="1">
      <c r="A56" t="s">
        <v>525</v>
      </c>
      <c r="B56" s="38" t="s">
        <v>693</v>
      </c>
      <c r="C56" s="38" t="s">
        <v>694</v>
      </c>
      <c r="D56" s="38" t="s">
        <v>693</v>
      </c>
      <c r="E56" t="s">
        <v>518</v>
      </c>
      <c r="F56" t="s">
        <v>529</v>
      </c>
      <c r="H56" s="38" t="s">
        <v>695</v>
      </c>
      <c r="I56" t="s">
        <v>538</v>
      </c>
    </row>
    <row r="57" spans="1:9" ht="14" customHeight="1">
      <c r="A57" t="s">
        <v>525</v>
      </c>
      <c r="B57" s="38" t="s">
        <v>696</v>
      </c>
      <c r="C57" s="38" t="s">
        <v>697</v>
      </c>
      <c r="D57" s="38" t="s">
        <v>696</v>
      </c>
      <c r="E57" t="s">
        <v>518</v>
      </c>
      <c r="F57" t="s">
        <v>529</v>
      </c>
      <c r="H57" s="38" t="s">
        <v>698</v>
      </c>
      <c r="I57" t="s">
        <v>538</v>
      </c>
    </row>
    <row r="58" spans="1:9" ht="14" customHeight="1">
      <c r="A58" t="s">
        <v>525</v>
      </c>
      <c r="B58" s="38" t="s">
        <v>699</v>
      </c>
      <c r="C58" s="38" t="s">
        <v>697</v>
      </c>
      <c r="D58" s="38" t="s">
        <v>699</v>
      </c>
      <c r="E58" t="s">
        <v>518</v>
      </c>
      <c r="F58" t="s">
        <v>529</v>
      </c>
      <c r="H58" s="38" t="s">
        <v>700</v>
      </c>
      <c r="I58" t="s">
        <v>538</v>
      </c>
    </row>
    <row r="59" spans="1:9" ht="14" customHeight="1">
      <c r="A59" t="s">
        <v>525</v>
      </c>
      <c r="B59" s="38" t="s">
        <v>701</v>
      </c>
      <c r="C59" s="38" t="s">
        <v>702</v>
      </c>
      <c r="D59" s="38" t="s">
        <v>701</v>
      </c>
      <c r="E59" t="s">
        <v>518</v>
      </c>
      <c r="F59" t="s">
        <v>529</v>
      </c>
      <c r="H59" s="38" t="s">
        <v>703</v>
      </c>
      <c r="I59" t="s">
        <v>538</v>
      </c>
    </row>
    <row r="60" spans="1:9" ht="14" customHeight="1">
      <c r="A60" t="s">
        <v>525</v>
      </c>
      <c r="B60" s="38" t="s">
        <v>704</v>
      </c>
      <c r="C60" s="38" t="s">
        <v>705</v>
      </c>
      <c r="D60" s="38" t="s">
        <v>704</v>
      </c>
      <c r="E60" t="s">
        <v>518</v>
      </c>
      <c r="F60" t="s">
        <v>529</v>
      </c>
      <c r="H60" s="38" t="s">
        <v>706</v>
      </c>
      <c r="I60" t="s">
        <v>538</v>
      </c>
    </row>
    <row r="61" spans="1:9" ht="14" customHeight="1">
      <c r="A61" t="s">
        <v>525</v>
      </c>
      <c r="B61" s="38" t="s">
        <v>707</v>
      </c>
      <c r="C61" s="38" t="s">
        <v>708</v>
      </c>
      <c r="D61" s="38" t="s">
        <v>707</v>
      </c>
      <c r="E61" t="s">
        <v>518</v>
      </c>
      <c r="F61" t="s">
        <v>529</v>
      </c>
      <c r="H61" s="38" t="s">
        <v>709</v>
      </c>
      <c r="I61" t="s">
        <v>538</v>
      </c>
    </row>
    <row r="62" spans="1:9" ht="14" customHeight="1">
      <c r="A62" t="s">
        <v>525</v>
      </c>
      <c r="B62" s="38" t="s">
        <v>710</v>
      </c>
      <c r="C62" s="38" t="s">
        <v>711</v>
      </c>
      <c r="D62" s="38" t="s">
        <v>710</v>
      </c>
      <c r="E62" t="s">
        <v>518</v>
      </c>
      <c r="F62" t="s">
        <v>529</v>
      </c>
      <c r="H62" s="38" t="s">
        <v>712</v>
      </c>
      <c r="I62" t="s">
        <v>538</v>
      </c>
    </row>
    <row r="63" spans="1:9" ht="14" customHeight="1">
      <c r="A63" t="s">
        <v>525</v>
      </c>
      <c r="B63" s="38" t="s">
        <v>713</v>
      </c>
      <c r="C63" s="38" t="s">
        <v>714</v>
      </c>
      <c r="D63" s="38" t="s">
        <v>715</v>
      </c>
      <c r="E63" t="s">
        <v>518</v>
      </c>
      <c r="F63" t="s">
        <v>529</v>
      </c>
      <c r="H63" s="38" t="s">
        <v>716</v>
      </c>
      <c r="I63" t="s">
        <v>538</v>
      </c>
    </row>
    <row r="64" spans="1:9" ht="14" customHeight="1">
      <c r="A64" t="s">
        <v>525</v>
      </c>
      <c r="B64" s="38" t="s">
        <v>717</v>
      </c>
      <c r="C64" s="38" t="s">
        <v>718</v>
      </c>
      <c r="D64" s="38" t="s">
        <v>717</v>
      </c>
      <c r="E64" t="s">
        <v>518</v>
      </c>
      <c r="F64" t="s">
        <v>529</v>
      </c>
      <c r="H64" s="38" t="s">
        <v>719</v>
      </c>
      <c r="I64" t="s">
        <v>538</v>
      </c>
    </row>
    <row r="65" spans="1:9" ht="14" customHeight="1">
      <c r="A65" t="s">
        <v>525</v>
      </c>
      <c r="B65" s="38" t="s">
        <v>720</v>
      </c>
      <c r="C65" s="38" t="s">
        <v>721</v>
      </c>
      <c r="D65" s="38" t="s">
        <v>722</v>
      </c>
      <c r="E65" t="s">
        <v>518</v>
      </c>
      <c r="F65" t="s">
        <v>529</v>
      </c>
      <c r="H65" s="38" t="s">
        <v>723</v>
      </c>
      <c r="I65" t="s">
        <v>538</v>
      </c>
    </row>
    <row r="66" spans="1:9" ht="14" customHeight="1">
      <c r="A66" t="s">
        <v>525</v>
      </c>
      <c r="B66" s="38" t="s">
        <v>724</v>
      </c>
      <c r="C66" s="38" t="s">
        <v>725</v>
      </c>
      <c r="D66" s="38" t="s">
        <v>724</v>
      </c>
      <c r="E66" t="s">
        <v>518</v>
      </c>
      <c r="F66" t="s">
        <v>529</v>
      </c>
      <c r="H66" s="38" t="s">
        <v>726</v>
      </c>
      <c r="I66" t="s">
        <v>538</v>
      </c>
    </row>
    <row r="67" spans="1:9" ht="14" customHeight="1">
      <c r="A67" t="s">
        <v>525</v>
      </c>
      <c r="B67" s="38" t="s">
        <v>727</v>
      </c>
      <c r="C67" s="38" t="s">
        <v>728</v>
      </c>
      <c r="D67" s="38" t="s">
        <v>727</v>
      </c>
      <c r="E67" t="s">
        <v>518</v>
      </c>
      <c r="F67" t="s">
        <v>529</v>
      </c>
      <c r="H67" s="38" t="s">
        <v>729</v>
      </c>
      <c r="I67" t="s">
        <v>538</v>
      </c>
    </row>
    <row r="68" spans="1:9" ht="14" customHeight="1">
      <c r="A68" t="s">
        <v>525</v>
      </c>
      <c r="B68" s="38" t="s">
        <v>730</v>
      </c>
      <c r="C68" s="38" t="s">
        <v>731</v>
      </c>
      <c r="D68" s="38" t="s">
        <v>730</v>
      </c>
      <c r="E68" t="s">
        <v>518</v>
      </c>
      <c r="F68" t="s">
        <v>529</v>
      </c>
      <c r="H68" s="38" t="s">
        <v>732</v>
      </c>
      <c r="I68" t="s">
        <v>538</v>
      </c>
    </row>
    <row r="69" spans="1:9" ht="14" customHeight="1">
      <c r="A69" t="s">
        <v>525</v>
      </c>
      <c r="B69" s="38" t="s">
        <v>733</v>
      </c>
      <c r="C69" s="38" t="s">
        <v>734</v>
      </c>
      <c r="D69" s="38" t="s">
        <v>733</v>
      </c>
      <c r="E69" t="s">
        <v>518</v>
      </c>
      <c r="F69" t="s">
        <v>529</v>
      </c>
      <c r="H69" s="38" t="s">
        <v>735</v>
      </c>
      <c r="I69" t="s">
        <v>538</v>
      </c>
    </row>
    <row r="70" spans="1:9" ht="14" customHeight="1">
      <c r="A70" t="s">
        <v>525</v>
      </c>
      <c r="B70" s="38" t="s">
        <v>736</v>
      </c>
      <c r="C70" s="38" t="s">
        <v>737</v>
      </c>
      <c r="D70" s="38" t="s">
        <v>736</v>
      </c>
      <c r="E70" t="s">
        <v>518</v>
      </c>
      <c r="F70" t="s">
        <v>529</v>
      </c>
      <c r="H70" s="38" t="s">
        <v>738</v>
      </c>
      <c r="I70" t="s">
        <v>538</v>
      </c>
    </row>
    <row r="71" spans="1:9" ht="14" customHeight="1">
      <c r="A71" t="s">
        <v>525</v>
      </c>
      <c r="B71" s="38" t="s">
        <v>739</v>
      </c>
      <c r="C71" s="38" t="s">
        <v>740</v>
      </c>
      <c r="E71" t="s">
        <v>518</v>
      </c>
      <c r="F71" t="s">
        <v>529</v>
      </c>
      <c r="H71" s="38" t="s">
        <v>741</v>
      </c>
      <c r="I71" t="s">
        <v>538</v>
      </c>
    </row>
    <row r="72" spans="1:9" ht="14" customHeight="1">
      <c r="A72" t="s">
        <v>525</v>
      </c>
      <c r="B72" s="38" t="s">
        <v>742</v>
      </c>
      <c r="C72" s="38" t="s">
        <v>743</v>
      </c>
      <c r="D72" s="38" t="s">
        <v>744</v>
      </c>
      <c r="E72" t="s">
        <v>518</v>
      </c>
      <c r="F72" t="s">
        <v>529</v>
      </c>
      <c r="H72" s="38" t="s">
        <v>745</v>
      </c>
      <c r="I72" t="s">
        <v>538</v>
      </c>
    </row>
    <row r="73" spans="1:9" ht="14" customHeight="1">
      <c r="A73" t="s">
        <v>525</v>
      </c>
      <c r="B73" s="38" t="s">
        <v>746</v>
      </c>
      <c r="C73" s="38" t="s">
        <v>747</v>
      </c>
      <c r="E73" t="s">
        <v>518</v>
      </c>
      <c r="F73" t="s">
        <v>593</v>
      </c>
      <c r="H73" s="38" t="s">
        <v>748</v>
      </c>
      <c r="I73" t="s">
        <v>538</v>
      </c>
    </row>
    <row r="74" spans="1:9" ht="14" customHeight="1">
      <c r="A74" t="s">
        <v>525</v>
      </c>
      <c r="B74" s="38" t="s">
        <v>749</v>
      </c>
      <c r="C74" s="38" t="s">
        <v>750</v>
      </c>
      <c r="E74" t="s">
        <v>518</v>
      </c>
      <c r="F74" t="s">
        <v>593</v>
      </c>
      <c r="H74" s="38" t="s">
        <v>751</v>
      </c>
      <c r="I74" t="s">
        <v>595</v>
      </c>
    </row>
    <row r="75" spans="1:9" ht="14" customHeight="1">
      <c r="A75" t="s">
        <v>525</v>
      </c>
      <c r="B75" s="38" t="s">
        <v>752</v>
      </c>
      <c r="C75" s="38" t="s">
        <v>753</v>
      </c>
      <c r="E75" t="s">
        <v>518</v>
      </c>
      <c r="F75" t="s">
        <v>529</v>
      </c>
      <c r="H75" s="38" t="s">
        <v>754</v>
      </c>
      <c r="I75" t="s">
        <v>538</v>
      </c>
    </row>
    <row r="76" spans="1:9" ht="14" customHeight="1">
      <c r="A76" t="s">
        <v>525</v>
      </c>
      <c r="B76" s="38" t="s">
        <v>755</v>
      </c>
      <c r="C76" s="38" t="s">
        <v>756</v>
      </c>
      <c r="D76" s="38" t="s">
        <v>755</v>
      </c>
      <c r="E76" t="s">
        <v>518</v>
      </c>
      <c r="F76" t="s">
        <v>529</v>
      </c>
      <c r="H76" s="38" t="s">
        <v>757</v>
      </c>
      <c r="I76" t="s">
        <v>595</v>
      </c>
    </row>
    <row r="77" spans="1:9" ht="14" customHeight="1">
      <c r="A77" t="s">
        <v>525</v>
      </c>
      <c r="B77" s="38" t="s">
        <v>758</v>
      </c>
      <c r="C77" s="38" t="s">
        <v>759</v>
      </c>
      <c r="D77" s="38" t="s">
        <v>758</v>
      </c>
      <c r="E77" t="s">
        <v>518</v>
      </c>
      <c r="F77" t="s">
        <v>529</v>
      </c>
      <c r="H77" s="38" t="s">
        <v>760</v>
      </c>
      <c r="I77" t="s">
        <v>595</v>
      </c>
    </row>
    <row r="78" spans="1:9" ht="14" customHeight="1">
      <c r="A78" t="s">
        <v>525</v>
      </c>
      <c r="B78" s="38" t="s">
        <v>761</v>
      </c>
      <c r="C78" s="38" t="s">
        <v>762</v>
      </c>
      <c r="D78" s="38" t="s">
        <v>761</v>
      </c>
      <c r="E78" t="s">
        <v>518</v>
      </c>
      <c r="F78" t="s">
        <v>529</v>
      </c>
      <c r="H78" s="38" t="s">
        <v>763</v>
      </c>
      <c r="I78" t="s">
        <v>595</v>
      </c>
    </row>
    <row r="79" spans="1:9" ht="14" customHeight="1">
      <c r="A79" t="s">
        <v>525</v>
      </c>
      <c r="B79" s="38" t="s">
        <v>764</v>
      </c>
      <c r="C79" s="38" t="s">
        <v>765</v>
      </c>
      <c r="E79" t="s">
        <v>518</v>
      </c>
      <c r="F79" t="s">
        <v>529</v>
      </c>
      <c r="H79" s="38" t="s">
        <v>766</v>
      </c>
      <c r="I79" t="s">
        <v>538</v>
      </c>
    </row>
    <row r="80" spans="1:9" ht="224">
      <c r="A80" t="s">
        <v>525</v>
      </c>
      <c r="B80" s="38" t="s">
        <v>767</v>
      </c>
      <c r="C80" s="38" t="s">
        <v>768</v>
      </c>
      <c r="D80" s="38" t="s">
        <v>769</v>
      </c>
      <c r="E80" t="s">
        <v>518</v>
      </c>
      <c r="F80" t="s">
        <v>529</v>
      </c>
      <c r="H80" s="38" t="s">
        <v>770</v>
      </c>
      <c r="I80" t="s">
        <v>538</v>
      </c>
    </row>
    <row r="81" spans="1:9" ht="48">
      <c r="A81" t="s">
        <v>771</v>
      </c>
      <c r="B81" s="38" t="s">
        <v>772</v>
      </c>
      <c r="C81" s="38" t="s">
        <v>773</v>
      </c>
      <c r="E81" t="s">
        <v>518</v>
      </c>
      <c r="F81" t="s">
        <v>774</v>
      </c>
      <c r="H81" s="38" t="s">
        <v>775</v>
      </c>
      <c r="I81" t="s">
        <v>538</v>
      </c>
    </row>
    <row r="82" spans="1:9" ht="48">
      <c r="A82" t="s">
        <v>771</v>
      </c>
      <c r="B82" s="38" t="s">
        <v>776</v>
      </c>
      <c r="C82" s="38" t="s">
        <v>773</v>
      </c>
      <c r="E82" t="s">
        <v>518</v>
      </c>
      <c r="F82" t="s">
        <v>774</v>
      </c>
      <c r="H82" s="38" t="s">
        <v>777</v>
      </c>
      <c r="I82" t="s">
        <v>538</v>
      </c>
    </row>
    <row r="83" spans="1:9" ht="48">
      <c r="A83" t="s">
        <v>771</v>
      </c>
      <c r="B83" s="38" t="s">
        <v>778</v>
      </c>
      <c r="C83" s="38" t="s">
        <v>779</v>
      </c>
      <c r="D83" s="38" t="s">
        <v>780</v>
      </c>
      <c r="E83" t="s">
        <v>518</v>
      </c>
      <c r="F83" t="s">
        <v>774</v>
      </c>
      <c r="H83" s="38" t="s">
        <v>781</v>
      </c>
      <c r="I83" t="s">
        <v>538</v>
      </c>
    </row>
    <row r="84" spans="1:9" ht="409.6">
      <c r="A84" t="s">
        <v>771</v>
      </c>
      <c r="B84" s="38" t="s">
        <v>782</v>
      </c>
      <c r="C84" s="38" t="s">
        <v>783</v>
      </c>
      <c r="E84" t="s">
        <v>518</v>
      </c>
      <c r="F84" t="s">
        <v>593</v>
      </c>
      <c r="H84" s="38" t="s">
        <v>784</v>
      </c>
      <c r="I84" t="s">
        <v>538</v>
      </c>
    </row>
    <row r="85" spans="1:9" ht="14" customHeight="1">
      <c r="A85" t="s">
        <v>525</v>
      </c>
      <c r="B85" s="38" t="s">
        <v>785</v>
      </c>
      <c r="C85" s="38" t="s">
        <v>786</v>
      </c>
      <c r="D85" s="38" t="s">
        <v>785</v>
      </c>
      <c r="E85" t="s">
        <v>787</v>
      </c>
      <c r="F85" t="s">
        <v>529</v>
      </c>
      <c r="H85" s="38" t="s">
        <v>788</v>
      </c>
      <c r="I85" t="s">
        <v>542</v>
      </c>
    </row>
    <row r="86" spans="1:9" ht="14" customHeight="1">
      <c r="A86" t="s">
        <v>525</v>
      </c>
      <c r="B86" s="38" t="s">
        <v>789</v>
      </c>
      <c r="C86" s="38" t="s">
        <v>790</v>
      </c>
      <c r="D86" s="38" t="s">
        <v>789</v>
      </c>
      <c r="E86" t="s">
        <v>787</v>
      </c>
      <c r="F86" t="s">
        <v>529</v>
      </c>
      <c r="H86" s="38" t="s">
        <v>791</v>
      </c>
      <c r="I86" t="s">
        <v>542</v>
      </c>
    </row>
    <row r="87" spans="1:9" ht="176">
      <c r="A87" t="s">
        <v>525</v>
      </c>
      <c r="B87" s="38" t="s">
        <v>792</v>
      </c>
      <c r="C87" s="38" t="s">
        <v>793</v>
      </c>
      <c r="D87" s="38" t="s">
        <v>792</v>
      </c>
      <c r="E87" t="s">
        <v>787</v>
      </c>
      <c r="F87" t="s">
        <v>529</v>
      </c>
      <c r="H87" s="38" t="s">
        <v>794</v>
      </c>
      <c r="I87" t="s">
        <v>542</v>
      </c>
    </row>
    <row r="88" spans="1:9" ht="14" customHeight="1">
      <c r="A88" t="s">
        <v>525</v>
      </c>
      <c r="B88" s="38" t="s">
        <v>795</v>
      </c>
      <c r="C88" s="38" t="s">
        <v>796</v>
      </c>
      <c r="D88" s="38" t="s">
        <v>795</v>
      </c>
      <c r="E88" t="s">
        <v>787</v>
      </c>
      <c r="F88" t="s">
        <v>529</v>
      </c>
      <c r="H88" s="38" t="s">
        <v>797</v>
      </c>
      <c r="I88" t="s">
        <v>542</v>
      </c>
    </row>
    <row r="89" spans="1:9" ht="14" customHeight="1">
      <c r="A89" t="s">
        <v>525</v>
      </c>
      <c r="B89" s="38" t="s">
        <v>798</v>
      </c>
      <c r="C89" s="38" t="s">
        <v>799</v>
      </c>
      <c r="D89" s="38" t="s">
        <v>798</v>
      </c>
      <c r="E89" t="s">
        <v>787</v>
      </c>
      <c r="F89" t="s">
        <v>529</v>
      </c>
      <c r="H89" s="38" t="s">
        <v>800</v>
      </c>
      <c r="I89" t="s">
        <v>542</v>
      </c>
    </row>
    <row r="90" spans="1:9" ht="14" customHeight="1">
      <c r="A90" t="s">
        <v>525</v>
      </c>
      <c r="B90" s="38" t="s">
        <v>801</v>
      </c>
      <c r="C90" s="38" t="s">
        <v>802</v>
      </c>
      <c r="D90" s="38" t="s">
        <v>801</v>
      </c>
      <c r="E90" t="s">
        <v>787</v>
      </c>
      <c r="F90" t="s">
        <v>529</v>
      </c>
      <c r="H90" s="38" t="s">
        <v>803</v>
      </c>
      <c r="I90" t="s">
        <v>542</v>
      </c>
    </row>
    <row r="91" spans="1:9" ht="14" customHeight="1">
      <c r="A91" t="s">
        <v>525</v>
      </c>
      <c r="B91" s="38" t="s">
        <v>804</v>
      </c>
      <c r="C91" s="38" t="s">
        <v>805</v>
      </c>
      <c r="D91" s="38" t="s">
        <v>804</v>
      </c>
      <c r="E91" t="s">
        <v>787</v>
      </c>
      <c r="F91" t="s">
        <v>529</v>
      </c>
      <c r="H91" s="38" t="s">
        <v>806</v>
      </c>
      <c r="I91" t="s">
        <v>542</v>
      </c>
    </row>
    <row r="92" spans="1:9" ht="14" customHeight="1">
      <c r="A92" t="s">
        <v>525</v>
      </c>
      <c r="B92" s="38" t="s">
        <v>807</v>
      </c>
      <c r="C92" s="38" t="s">
        <v>808</v>
      </c>
      <c r="E92" t="s">
        <v>787</v>
      </c>
      <c r="F92" t="s">
        <v>529</v>
      </c>
      <c r="H92" s="38" t="s">
        <v>809</v>
      </c>
      <c r="I92" t="s">
        <v>542</v>
      </c>
    </row>
    <row r="93" spans="1:9" ht="14" customHeight="1">
      <c r="A93" t="s">
        <v>525</v>
      </c>
      <c r="B93" s="38" t="s">
        <v>810</v>
      </c>
      <c r="C93" s="38" t="s">
        <v>811</v>
      </c>
      <c r="D93" s="38" t="s">
        <v>810</v>
      </c>
      <c r="E93" t="s">
        <v>787</v>
      </c>
      <c r="F93" t="s">
        <v>529</v>
      </c>
      <c r="H93" s="38" t="s">
        <v>812</v>
      </c>
      <c r="I93" t="s">
        <v>542</v>
      </c>
    </row>
    <row r="94" spans="1:9" ht="14" customHeight="1">
      <c r="A94" t="s">
        <v>525</v>
      </c>
      <c r="B94" s="38" t="s">
        <v>813</v>
      </c>
      <c r="C94" s="38" t="s">
        <v>811</v>
      </c>
      <c r="D94" s="38" t="s">
        <v>814</v>
      </c>
      <c r="E94" t="s">
        <v>787</v>
      </c>
      <c r="F94" t="s">
        <v>529</v>
      </c>
      <c r="H94" s="38" t="s">
        <v>815</v>
      </c>
      <c r="I94" t="s">
        <v>542</v>
      </c>
    </row>
    <row r="95" spans="1:9" ht="14" customHeight="1">
      <c r="A95" t="s">
        <v>525</v>
      </c>
      <c r="B95" s="38" t="s">
        <v>816</v>
      </c>
      <c r="C95" s="38" t="s">
        <v>817</v>
      </c>
      <c r="D95" s="38" t="s">
        <v>816</v>
      </c>
      <c r="E95" t="s">
        <v>787</v>
      </c>
      <c r="F95" t="s">
        <v>529</v>
      </c>
      <c r="H95" s="38" t="s">
        <v>818</v>
      </c>
      <c r="I95" t="s">
        <v>542</v>
      </c>
    </row>
    <row r="96" spans="1:9" ht="14" customHeight="1">
      <c r="A96" t="s">
        <v>525</v>
      </c>
      <c r="B96" s="38" t="s">
        <v>819</v>
      </c>
      <c r="C96" s="38" t="s">
        <v>820</v>
      </c>
      <c r="D96" s="38" t="s">
        <v>819</v>
      </c>
      <c r="E96" t="s">
        <v>787</v>
      </c>
      <c r="F96" t="s">
        <v>529</v>
      </c>
      <c r="H96" s="38" t="s">
        <v>821</v>
      </c>
      <c r="I96" t="s">
        <v>542</v>
      </c>
    </row>
    <row r="97" spans="1:9" ht="14" customHeight="1">
      <c r="A97" t="s">
        <v>525</v>
      </c>
      <c r="B97" s="38" t="s">
        <v>822</v>
      </c>
      <c r="C97" s="38" t="s">
        <v>823</v>
      </c>
      <c r="D97" s="38" t="s">
        <v>822</v>
      </c>
      <c r="E97" t="s">
        <v>787</v>
      </c>
      <c r="F97" t="s">
        <v>529</v>
      </c>
      <c r="H97" s="38" t="s">
        <v>824</v>
      </c>
      <c r="I97" t="s">
        <v>542</v>
      </c>
    </row>
    <row r="98" spans="1:9" ht="14" customHeight="1">
      <c r="A98" t="s">
        <v>525</v>
      </c>
      <c r="B98" s="38" t="s">
        <v>825</v>
      </c>
      <c r="C98" s="38" t="s">
        <v>826</v>
      </c>
      <c r="D98" s="38" t="s">
        <v>825</v>
      </c>
      <c r="E98" t="s">
        <v>787</v>
      </c>
      <c r="F98" t="s">
        <v>529</v>
      </c>
      <c r="H98" s="38" t="s">
        <v>827</v>
      </c>
      <c r="I98" t="s">
        <v>542</v>
      </c>
    </row>
    <row r="99" spans="1:9" ht="14" customHeight="1">
      <c r="A99" t="s">
        <v>525</v>
      </c>
      <c r="B99" s="38" t="s">
        <v>828</v>
      </c>
      <c r="C99" s="38" t="s">
        <v>829</v>
      </c>
      <c r="D99" s="38" t="s">
        <v>828</v>
      </c>
      <c r="E99" t="s">
        <v>787</v>
      </c>
      <c r="F99" t="s">
        <v>529</v>
      </c>
      <c r="H99" s="38" t="s">
        <v>830</v>
      </c>
      <c r="I99" t="s">
        <v>542</v>
      </c>
    </row>
    <row r="100" spans="1:9" ht="14" customHeight="1">
      <c r="A100" t="s">
        <v>525</v>
      </c>
      <c r="B100" s="38" t="s">
        <v>831</v>
      </c>
      <c r="C100" s="38" t="s">
        <v>832</v>
      </c>
      <c r="D100" s="38" t="s">
        <v>831</v>
      </c>
      <c r="E100" t="s">
        <v>787</v>
      </c>
      <c r="F100" t="s">
        <v>529</v>
      </c>
      <c r="H100" s="38" t="s">
        <v>833</v>
      </c>
      <c r="I100" t="s">
        <v>542</v>
      </c>
    </row>
    <row r="101" spans="1:9" ht="14" customHeight="1">
      <c r="A101" t="s">
        <v>525</v>
      </c>
      <c r="B101" s="38" t="s">
        <v>834</v>
      </c>
      <c r="C101" s="38" t="s">
        <v>835</v>
      </c>
      <c r="D101" s="38" t="s">
        <v>834</v>
      </c>
      <c r="E101" t="s">
        <v>787</v>
      </c>
      <c r="F101" t="s">
        <v>529</v>
      </c>
      <c r="H101" s="38" t="s">
        <v>836</v>
      </c>
      <c r="I101" t="s">
        <v>542</v>
      </c>
    </row>
    <row r="102" spans="1:9" ht="14" customHeight="1">
      <c r="A102" t="s">
        <v>525</v>
      </c>
      <c r="B102" s="38" t="s">
        <v>837</v>
      </c>
      <c r="C102" s="38" t="s">
        <v>838</v>
      </c>
      <c r="D102" s="38" t="s">
        <v>839</v>
      </c>
      <c r="E102" t="s">
        <v>787</v>
      </c>
      <c r="F102" t="s">
        <v>529</v>
      </c>
      <c r="H102" s="38" t="s">
        <v>840</v>
      </c>
      <c r="I102" t="s">
        <v>542</v>
      </c>
    </row>
    <row r="103" spans="1:9" ht="14" customHeight="1">
      <c r="A103" t="s">
        <v>525</v>
      </c>
      <c r="B103" s="38" t="s">
        <v>841</v>
      </c>
      <c r="C103" s="38" t="s">
        <v>842</v>
      </c>
      <c r="D103" s="38" t="s">
        <v>841</v>
      </c>
      <c r="E103" t="s">
        <v>787</v>
      </c>
      <c r="F103" t="s">
        <v>529</v>
      </c>
      <c r="H103" s="38" t="s">
        <v>843</v>
      </c>
      <c r="I103" t="s">
        <v>542</v>
      </c>
    </row>
    <row r="104" spans="1:9" ht="14" customHeight="1">
      <c r="A104" t="s">
        <v>525</v>
      </c>
      <c r="B104" s="38" t="s">
        <v>844</v>
      </c>
      <c r="C104" s="38" t="s">
        <v>845</v>
      </c>
      <c r="D104" s="38" t="s">
        <v>844</v>
      </c>
      <c r="E104" t="s">
        <v>787</v>
      </c>
      <c r="F104" t="s">
        <v>529</v>
      </c>
      <c r="H104" s="38" t="s">
        <v>846</v>
      </c>
      <c r="I104" t="s">
        <v>542</v>
      </c>
    </row>
    <row r="105" spans="1:9" ht="14" customHeight="1">
      <c r="A105" t="s">
        <v>525</v>
      </c>
      <c r="B105" s="38" t="s">
        <v>847</v>
      </c>
      <c r="C105" s="38" t="s">
        <v>848</v>
      </c>
      <c r="D105" s="38" t="s">
        <v>849</v>
      </c>
      <c r="E105" t="s">
        <v>787</v>
      </c>
      <c r="F105" t="s">
        <v>529</v>
      </c>
      <c r="H105" s="38" t="s">
        <v>850</v>
      </c>
      <c r="I105" t="s">
        <v>542</v>
      </c>
    </row>
    <row r="106" spans="1:9" ht="14" customHeight="1">
      <c r="A106" t="s">
        <v>525</v>
      </c>
      <c r="B106" s="38" t="s">
        <v>851</v>
      </c>
      <c r="C106" s="38" t="s">
        <v>852</v>
      </c>
      <c r="D106" s="38" t="s">
        <v>851</v>
      </c>
      <c r="E106" t="s">
        <v>787</v>
      </c>
      <c r="F106" t="s">
        <v>529</v>
      </c>
      <c r="H106" s="38" t="s">
        <v>853</v>
      </c>
      <c r="I106" t="s">
        <v>538</v>
      </c>
    </row>
    <row r="107" spans="1:9" ht="14" customHeight="1">
      <c r="A107" t="s">
        <v>525</v>
      </c>
      <c r="B107" s="38" t="s">
        <v>854</v>
      </c>
      <c r="C107" s="38" t="s">
        <v>855</v>
      </c>
      <c r="D107" s="38" t="s">
        <v>854</v>
      </c>
      <c r="E107" t="s">
        <v>787</v>
      </c>
      <c r="F107" t="s">
        <v>529</v>
      </c>
      <c r="H107" s="38" t="s">
        <v>856</v>
      </c>
      <c r="I107" t="s">
        <v>542</v>
      </c>
    </row>
    <row r="108" spans="1:9" ht="14" customHeight="1">
      <c r="A108" t="s">
        <v>525</v>
      </c>
      <c r="B108" s="38" t="s">
        <v>857</v>
      </c>
      <c r="C108" s="38" t="s">
        <v>858</v>
      </c>
      <c r="D108" s="38" t="s">
        <v>857</v>
      </c>
      <c r="E108" t="s">
        <v>787</v>
      </c>
      <c r="F108" t="s">
        <v>529</v>
      </c>
      <c r="H108" s="38" t="s">
        <v>859</v>
      </c>
      <c r="I108" t="s">
        <v>542</v>
      </c>
    </row>
    <row r="109" spans="1:9" ht="14" customHeight="1">
      <c r="A109" t="s">
        <v>525</v>
      </c>
      <c r="B109" s="38" t="s">
        <v>860</v>
      </c>
      <c r="C109" s="38" t="s">
        <v>861</v>
      </c>
      <c r="D109" s="38" t="s">
        <v>860</v>
      </c>
      <c r="E109" t="s">
        <v>787</v>
      </c>
      <c r="F109" t="s">
        <v>529</v>
      </c>
      <c r="H109" s="38" t="s">
        <v>862</v>
      </c>
      <c r="I109" t="s">
        <v>542</v>
      </c>
    </row>
    <row r="110" spans="1:9" ht="14" customHeight="1">
      <c r="A110" t="s">
        <v>525</v>
      </c>
      <c r="B110" s="38" t="s">
        <v>863</v>
      </c>
      <c r="C110" s="38" t="s">
        <v>864</v>
      </c>
      <c r="D110" s="38" t="s">
        <v>863</v>
      </c>
      <c r="E110" t="s">
        <v>787</v>
      </c>
      <c r="F110" t="s">
        <v>529</v>
      </c>
      <c r="H110" s="38" t="s">
        <v>865</v>
      </c>
      <c r="I110" t="s">
        <v>542</v>
      </c>
    </row>
    <row r="111" spans="1:9" ht="14" customHeight="1">
      <c r="A111" t="s">
        <v>525</v>
      </c>
      <c r="B111" s="38" t="s">
        <v>866</v>
      </c>
      <c r="C111" s="38" t="s">
        <v>867</v>
      </c>
      <c r="D111" s="38" t="s">
        <v>866</v>
      </c>
      <c r="E111" t="s">
        <v>787</v>
      </c>
      <c r="F111" t="s">
        <v>529</v>
      </c>
      <c r="H111" s="38" t="s">
        <v>868</v>
      </c>
      <c r="I111" t="s">
        <v>542</v>
      </c>
    </row>
    <row r="112" spans="1:9" ht="14" customHeight="1">
      <c r="A112" t="s">
        <v>525</v>
      </c>
      <c r="B112" s="38" t="s">
        <v>869</v>
      </c>
      <c r="C112" s="38" t="s">
        <v>870</v>
      </c>
      <c r="D112" s="38" t="s">
        <v>869</v>
      </c>
      <c r="E112" t="s">
        <v>787</v>
      </c>
      <c r="F112" t="s">
        <v>529</v>
      </c>
      <c r="H112" s="38" t="s">
        <v>871</v>
      </c>
      <c r="I112" t="s">
        <v>542</v>
      </c>
    </row>
    <row r="113" spans="1:9" ht="14" customHeight="1">
      <c r="A113" t="s">
        <v>525</v>
      </c>
      <c r="B113" s="38" t="s">
        <v>872</v>
      </c>
      <c r="C113" s="38" t="s">
        <v>873</v>
      </c>
      <c r="D113" s="38" t="s">
        <v>872</v>
      </c>
      <c r="E113" t="s">
        <v>787</v>
      </c>
      <c r="F113" t="s">
        <v>529</v>
      </c>
      <c r="H113" s="38" t="s">
        <v>874</v>
      </c>
      <c r="I113" t="s">
        <v>542</v>
      </c>
    </row>
    <row r="114" spans="1:9" ht="14" customHeight="1">
      <c r="A114" t="s">
        <v>525</v>
      </c>
      <c r="B114" s="38" t="s">
        <v>875</v>
      </c>
      <c r="C114" s="38" t="s">
        <v>876</v>
      </c>
      <c r="D114" s="38" t="s">
        <v>875</v>
      </c>
      <c r="E114" t="s">
        <v>787</v>
      </c>
      <c r="F114" t="s">
        <v>529</v>
      </c>
      <c r="H114" s="38" t="s">
        <v>877</v>
      </c>
      <c r="I114" t="s">
        <v>542</v>
      </c>
    </row>
    <row r="115" spans="1:9" ht="14" customHeight="1">
      <c r="A115" t="s">
        <v>525</v>
      </c>
      <c r="B115" s="38" t="s">
        <v>878</v>
      </c>
      <c r="C115" s="38" t="s">
        <v>879</v>
      </c>
      <c r="D115" s="38" t="s">
        <v>878</v>
      </c>
      <c r="E115" t="s">
        <v>787</v>
      </c>
      <c r="F115" t="s">
        <v>529</v>
      </c>
      <c r="H115" s="38" t="s">
        <v>880</v>
      </c>
      <c r="I115" t="s">
        <v>542</v>
      </c>
    </row>
    <row r="116" spans="1:9" ht="14" customHeight="1">
      <c r="A116" t="s">
        <v>525</v>
      </c>
      <c r="B116" s="38" t="s">
        <v>881</v>
      </c>
      <c r="C116" s="38" t="s">
        <v>882</v>
      </c>
      <c r="D116" s="38" t="s">
        <v>881</v>
      </c>
      <c r="E116" t="s">
        <v>787</v>
      </c>
      <c r="F116" t="s">
        <v>529</v>
      </c>
      <c r="H116" s="38" t="s">
        <v>883</v>
      </c>
      <c r="I116" t="s">
        <v>542</v>
      </c>
    </row>
    <row r="117" spans="1:9" ht="14" customHeight="1">
      <c r="A117" t="s">
        <v>525</v>
      </c>
      <c r="B117" s="38" t="s">
        <v>884</v>
      </c>
      <c r="C117" s="38" t="s">
        <v>885</v>
      </c>
      <c r="D117" s="38" t="s">
        <v>884</v>
      </c>
      <c r="E117" t="s">
        <v>787</v>
      </c>
      <c r="F117" t="s">
        <v>529</v>
      </c>
      <c r="H117" s="38" t="s">
        <v>886</v>
      </c>
      <c r="I117" t="s">
        <v>542</v>
      </c>
    </row>
    <row r="118" spans="1:9" ht="14" customHeight="1">
      <c r="A118" t="s">
        <v>525</v>
      </c>
      <c r="B118" s="38" t="s">
        <v>887</v>
      </c>
      <c r="C118" s="38" t="s">
        <v>888</v>
      </c>
      <c r="D118" s="38" t="s">
        <v>887</v>
      </c>
      <c r="E118" t="s">
        <v>787</v>
      </c>
      <c r="F118" t="s">
        <v>529</v>
      </c>
      <c r="H118" s="38" t="s">
        <v>889</v>
      </c>
      <c r="I118" t="s">
        <v>542</v>
      </c>
    </row>
    <row r="119" spans="1:9" ht="14" customHeight="1">
      <c r="A119" t="s">
        <v>525</v>
      </c>
      <c r="B119" s="38" t="s">
        <v>890</v>
      </c>
      <c r="C119" s="38" t="s">
        <v>891</v>
      </c>
      <c r="D119" s="38" t="s">
        <v>890</v>
      </c>
      <c r="E119" t="s">
        <v>787</v>
      </c>
      <c r="F119" t="s">
        <v>529</v>
      </c>
      <c r="H119" s="38" t="s">
        <v>892</v>
      </c>
      <c r="I119" t="s">
        <v>542</v>
      </c>
    </row>
    <row r="120" spans="1:9" ht="14" customHeight="1">
      <c r="A120" t="s">
        <v>525</v>
      </c>
      <c r="B120" s="38" t="s">
        <v>893</v>
      </c>
      <c r="C120" s="38" t="s">
        <v>894</v>
      </c>
      <c r="D120" s="38" t="s">
        <v>893</v>
      </c>
      <c r="E120" t="s">
        <v>787</v>
      </c>
      <c r="F120" t="s">
        <v>529</v>
      </c>
      <c r="H120" s="38" t="s">
        <v>895</v>
      </c>
      <c r="I120" t="s">
        <v>542</v>
      </c>
    </row>
    <row r="121" spans="1:9" ht="14" customHeight="1">
      <c r="A121" t="s">
        <v>525</v>
      </c>
      <c r="B121" s="38" t="s">
        <v>896</v>
      </c>
      <c r="C121" s="38" t="s">
        <v>897</v>
      </c>
      <c r="D121" s="38" t="s">
        <v>896</v>
      </c>
      <c r="E121" t="s">
        <v>787</v>
      </c>
      <c r="F121" t="s">
        <v>529</v>
      </c>
      <c r="H121" s="38" t="s">
        <v>898</v>
      </c>
      <c r="I121" t="s">
        <v>542</v>
      </c>
    </row>
    <row r="122" spans="1:9" ht="14" customHeight="1">
      <c r="A122" t="s">
        <v>525</v>
      </c>
      <c r="B122" s="38" t="s">
        <v>899</v>
      </c>
      <c r="C122" s="38" t="s">
        <v>900</v>
      </c>
      <c r="D122" s="38" t="s">
        <v>899</v>
      </c>
      <c r="E122" t="s">
        <v>787</v>
      </c>
      <c r="F122" t="s">
        <v>529</v>
      </c>
      <c r="H122" s="38" t="s">
        <v>901</v>
      </c>
      <c r="I122" t="s">
        <v>542</v>
      </c>
    </row>
    <row r="123" spans="1:9" ht="14" customHeight="1">
      <c r="A123" t="s">
        <v>525</v>
      </c>
      <c r="B123" s="38" t="s">
        <v>902</v>
      </c>
      <c r="C123" s="38" t="s">
        <v>903</v>
      </c>
      <c r="D123" s="38" t="s">
        <v>902</v>
      </c>
      <c r="E123" t="s">
        <v>787</v>
      </c>
      <c r="F123" t="s">
        <v>529</v>
      </c>
      <c r="H123" s="38" t="s">
        <v>904</v>
      </c>
      <c r="I123" t="s">
        <v>542</v>
      </c>
    </row>
    <row r="124" spans="1:9" ht="14" customHeight="1">
      <c r="A124" t="s">
        <v>525</v>
      </c>
      <c r="B124" s="38" t="s">
        <v>905</v>
      </c>
      <c r="C124" s="38" t="s">
        <v>906</v>
      </c>
      <c r="D124" s="38" t="s">
        <v>905</v>
      </c>
      <c r="E124" t="s">
        <v>787</v>
      </c>
      <c r="F124" t="s">
        <v>529</v>
      </c>
      <c r="H124" s="38" t="s">
        <v>907</v>
      </c>
      <c r="I124" t="s">
        <v>542</v>
      </c>
    </row>
    <row r="125" spans="1:9" ht="14" customHeight="1">
      <c r="A125" t="s">
        <v>525</v>
      </c>
      <c r="B125" s="38" t="s">
        <v>908</v>
      </c>
      <c r="C125" s="38" t="s">
        <v>909</v>
      </c>
      <c r="D125" s="38" t="s">
        <v>908</v>
      </c>
      <c r="E125" t="s">
        <v>787</v>
      </c>
      <c r="F125" t="s">
        <v>529</v>
      </c>
      <c r="H125" s="38" t="s">
        <v>910</v>
      </c>
      <c r="I125" t="s">
        <v>542</v>
      </c>
    </row>
    <row r="126" spans="1:9" ht="14" customHeight="1">
      <c r="A126" t="s">
        <v>525</v>
      </c>
      <c r="B126" s="38" t="s">
        <v>911</v>
      </c>
      <c r="C126" s="38" t="s">
        <v>912</v>
      </c>
      <c r="D126" s="38" t="s">
        <v>911</v>
      </c>
      <c r="E126" t="s">
        <v>787</v>
      </c>
      <c r="F126" t="s">
        <v>529</v>
      </c>
      <c r="H126" s="38" t="s">
        <v>913</v>
      </c>
      <c r="I126" t="s">
        <v>542</v>
      </c>
    </row>
    <row r="127" spans="1:9" ht="14" customHeight="1">
      <c r="A127" t="s">
        <v>525</v>
      </c>
      <c r="B127" s="38" t="s">
        <v>914</v>
      </c>
      <c r="C127" s="38" t="s">
        <v>915</v>
      </c>
      <c r="D127" s="38" t="s">
        <v>914</v>
      </c>
      <c r="E127" t="s">
        <v>787</v>
      </c>
      <c r="F127" t="s">
        <v>529</v>
      </c>
      <c r="H127" s="38" t="s">
        <v>916</v>
      </c>
      <c r="I127" t="s">
        <v>542</v>
      </c>
    </row>
    <row r="128" spans="1:9" ht="14" customHeight="1">
      <c r="A128" t="s">
        <v>525</v>
      </c>
      <c r="B128" s="38" t="s">
        <v>917</v>
      </c>
      <c r="C128" s="38" t="s">
        <v>918</v>
      </c>
      <c r="D128" s="38" t="s">
        <v>917</v>
      </c>
      <c r="E128" t="s">
        <v>787</v>
      </c>
      <c r="F128" t="s">
        <v>529</v>
      </c>
      <c r="H128" s="38" t="s">
        <v>919</v>
      </c>
      <c r="I128" t="s">
        <v>542</v>
      </c>
    </row>
    <row r="129" spans="1:9" ht="14" customHeight="1">
      <c r="A129" t="s">
        <v>525</v>
      </c>
      <c r="B129" s="38" t="s">
        <v>920</v>
      </c>
      <c r="C129" s="38" t="s">
        <v>921</v>
      </c>
      <c r="D129" s="38" t="s">
        <v>920</v>
      </c>
      <c r="E129" t="s">
        <v>787</v>
      </c>
      <c r="F129" t="s">
        <v>529</v>
      </c>
      <c r="H129" s="38" t="s">
        <v>922</v>
      </c>
      <c r="I129" t="s">
        <v>542</v>
      </c>
    </row>
    <row r="130" spans="1:9" ht="14" customHeight="1">
      <c r="A130" t="s">
        <v>525</v>
      </c>
      <c r="B130" s="38" t="s">
        <v>923</v>
      </c>
      <c r="C130" s="38" t="s">
        <v>924</v>
      </c>
      <c r="D130" s="38" t="s">
        <v>923</v>
      </c>
      <c r="E130" t="s">
        <v>787</v>
      </c>
      <c r="F130" t="s">
        <v>529</v>
      </c>
      <c r="H130" s="38" t="s">
        <v>925</v>
      </c>
      <c r="I130" t="s">
        <v>542</v>
      </c>
    </row>
    <row r="131" spans="1:9" ht="14" customHeight="1">
      <c r="A131" t="s">
        <v>525</v>
      </c>
      <c r="B131" s="38" t="s">
        <v>926</v>
      </c>
      <c r="C131" s="38" t="s">
        <v>927</v>
      </c>
      <c r="E131" t="s">
        <v>787</v>
      </c>
      <c r="F131" t="s">
        <v>529</v>
      </c>
      <c r="H131" s="38" t="s">
        <v>928</v>
      </c>
      <c r="I131" t="s">
        <v>542</v>
      </c>
    </row>
    <row r="132" spans="1:9" ht="14" customHeight="1">
      <c r="A132" t="s">
        <v>525</v>
      </c>
      <c r="B132" s="38" t="s">
        <v>929</v>
      </c>
      <c r="C132" s="38" t="s">
        <v>930</v>
      </c>
      <c r="E132" t="s">
        <v>787</v>
      </c>
      <c r="F132" t="s">
        <v>529</v>
      </c>
      <c r="H132" s="38" t="s">
        <v>931</v>
      </c>
      <c r="I132" t="s">
        <v>542</v>
      </c>
    </row>
    <row r="133" spans="1:9" ht="14" customHeight="1">
      <c r="A133" t="s">
        <v>525</v>
      </c>
      <c r="B133" s="38" t="s">
        <v>932</v>
      </c>
      <c r="C133" s="38" t="s">
        <v>933</v>
      </c>
      <c r="D133" s="38" t="s">
        <v>932</v>
      </c>
      <c r="E133" t="s">
        <v>787</v>
      </c>
      <c r="F133" t="s">
        <v>529</v>
      </c>
      <c r="H133" s="38" t="s">
        <v>934</v>
      </c>
      <c r="I133" t="s">
        <v>542</v>
      </c>
    </row>
    <row r="134" spans="1:9" ht="14" customHeight="1">
      <c r="A134" t="s">
        <v>525</v>
      </c>
      <c r="B134" s="38" t="s">
        <v>935</v>
      </c>
      <c r="C134" s="38" t="s">
        <v>936</v>
      </c>
      <c r="D134" s="38" t="s">
        <v>935</v>
      </c>
      <c r="E134" t="s">
        <v>787</v>
      </c>
      <c r="F134" t="s">
        <v>529</v>
      </c>
      <c r="H134" s="38" t="s">
        <v>937</v>
      </c>
      <c r="I134" t="s">
        <v>538</v>
      </c>
    </row>
    <row r="135" spans="1:9" ht="14" customHeight="1">
      <c r="A135" t="s">
        <v>525</v>
      </c>
      <c r="B135" s="38" t="s">
        <v>938</v>
      </c>
      <c r="C135" s="38" t="s">
        <v>939</v>
      </c>
      <c r="D135" s="38" t="s">
        <v>938</v>
      </c>
      <c r="E135" t="s">
        <v>787</v>
      </c>
      <c r="F135" t="s">
        <v>529</v>
      </c>
      <c r="H135" s="38" t="s">
        <v>940</v>
      </c>
      <c r="I135" t="s">
        <v>542</v>
      </c>
    </row>
    <row r="136" spans="1:9" ht="14" customHeight="1">
      <c r="A136" t="s">
        <v>525</v>
      </c>
      <c r="B136" s="38" t="s">
        <v>941</v>
      </c>
      <c r="C136" s="38" t="s">
        <v>942</v>
      </c>
      <c r="D136" s="38" t="s">
        <v>941</v>
      </c>
      <c r="E136" t="s">
        <v>787</v>
      </c>
      <c r="F136" t="s">
        <v>529</v>
      </c>
      <c r="H136" s="38" t="s">
        <v>943</v>
      </c>
      <c r="I136" t="s">
        <v>542</v>
      </c>
    </row>
    <row r="137" spans="1:9" ht="14" customHeight="1">
      <c r="A137" t="s">
        <v>525</v>
      </c>
      <c r="B137" s="38" t="s">
        <v>944</v>
      </c>
      <c r="C137" s="38" t="s">
        <v>945</v>
      </c>
      <c r="D137" s="38" t="s">
        <v>944</v>
      </c>
      <c r="E137" t="s">
        <v>787</v>
      </c>
      <c r="F137" t="s">
        <v>529</v>
      </c>
      <c r="H137" s="38" t="s">
        <v>946</v>
      </c>
      <c r="I137" t="s">
        <v>542</v>
      </c>
    </row>
    <row r="138" spans="1:9" ht="14" customHeight="1">
      <c r="A138" t="s">
        <v>525</v>
      </c>
      <c r="B138" s="38" t="s">
        <v>947</v>
      </c>
      <c r="C138" s="38" t="s">
        <v>948</v>
      </c>
      <c r="D138" s="38" t="s">
        <v>947</v>
      </c>
      <c r="E138" t="s">
        <v>787</v>
      </c>
      <c r="F138" t="s">
        <v>529</v>
      </c>
      <c r="H138" s="38" t="s">
        <v>949</v>
      </c>
      <c r="I138" t="s">
        <v>542</v>
      </c>
    </row>
    <row r="139" spans="1:9" ht="14" customHeight="1">
      <c r="A139" t="s">
        <v>525</v>
      </c>
      <c r="B139" s="38" t="s">
        <v>950</v>
      </c>
      <c r="C139" s="38" t="s">
        <v>951</v>
      </c>
      <c r="D139" s="38" t="s">
        <v>950</v>
      </c>
      <c r="E139" t="s">
        <v>787</v>
      </c>
      <c r="F139" t="s">
        <v>529</v>
      </c>
      <c r="H139" s="38" t="s">
        <v>952</v>
      </c>
      <c r="I139" t="s">
        <v>542</v>
      </c>
    </row>
    <row r="140" spans="1:9" ht="14" customHeight="1">
      <c r="A140" t="s">
        <v>525</v>
      </c>
      <c r="B140" s="38" t="s">
        <v>953</v>
      </c>
      <c r="C140" s="38" t="s">
        <v>954</v>
      </c>
      <c r="D140" s="38" t="s">
        <v>953</v>
      </c>
      <c r="E140" t="s">
        <v>787</v>
      </c>
      <c r="F140" t="s">
        <v>529</v>
      </c>
      <c r="H140" s="38" t="s">
        <v>955</v>
      </c>
      <c r="I140" t="s">
        <v>542</v>
      </c>
    </row>
    <row r="141" spans="1:9" ht="14" customHeight="1">
      <c r="A141" t="s">
        <v>525</v>
      </c>
      <c r="B141" s="38" t="s">
        <v>956</v>
      </c>
      <c r="C141" s="38" t="s">
        <v>957</v>
      </c>
      <c r="D141" s="38" t="s">
        <v>956</v>
      </c>
      <c r="E141" t="s">
        <v>787</v>
      </c>
      <c r="F141" t="s">
        <v>529</v>
      </c>
      <c r="H141" s="38" t="s">
        <v>958</v>
      </c>
      <c r="I141" t="s">
        <v>542</v>
      </c>
    </row>
    <row r="142" spans="1:9" ht="14" customHeight="1">
      <c r="A142" t="s">
        <v>525</v>
      </c>
      <c r="B142" s="38" t="s">
        <v>959</v>
      </c>
      <c r="C142" s="38" t="s">
        <v>960</v>
      </c>
      <c r="D142" s="38" t="s">
        <v>961</v>
      </c>
      <c r="E142" t="s">
        <v>787</v>
      </c>
      <c r="F142" t="s">
        <v>529</v>
      </c>
      <c r="H142" s="38" t="s">
        <v>962</v>
      </c>
      <c r="I142" t="s">
        <v>542</v>
      </c>
    </row>
    <row r="143" spans="1:9" ht="14" customHeight="1">
      <c r="A143" t="s">
        <v>525</v>
      </c>
      <c r="B143" s="38" t="s">
        <v>963</v>
      </c>
      <c r="C143" s="38" t="s">
        <v>964</v>
      </c>
      <c r="D143" s="38" t="s">
        <v>963</v>
      </c>
      <c r="E143" t="s">
        <v>787</v>
      </c>
      <c r="F143" t="s">
        <v>529</v>
      </c>
      <c r="H143" s="38" t="s">
        <v>965</v>
      </c>
      <c r="I143" t="s">
        <v>542</v>
      </c>
    </row>
    <row r="144" spans="1:9" ht="14" customHeight="1">
      <c r="A144" t="s">
        <v>525</v>
      </c>
      <c r="B144" s="38" t="s">
        <v>966</v>
      </c>
      <c r="C144" s="38" t="s">
        <v>967</v>
      </c>
      <c r="D144" s="38" t="s">
        <v>966</v>
      </c>
      <c r="E144" t="s">
        <v>787</v>
      </c>
      <c r="F144" t="s">
        <v>529</v>
      </c>
      <c r="H144" s="38" t="s">
        <v>968</v>
      </c>
      <c r="I144" t="s">
        <v>542</v>
      </c>
    </row>
    <row r="145" spans="1:9" ht="14" customHeight="1">
      <c r="A145" t="s">
        <v>525</v>
      </c>
      <c r="B145" s="38" t="s">
        <v>969</v>
      </c>
      <c r="C145" s="38" t="s">
        <v>970</v>
      </c>
      <c r="D145" s="38" t="s">
        <v>969</v>
      </c>
      <c r="E145" t="s">
        <v>787</v>
      </c>
      <c r="F145" t="s">
        <v>529</v>
      </c>
      <c r="H145" s="38" t="s">
        <v>971</v>
      </c>
      <c r="I145" t="s">
        <v>542</v>
      </c>
    </row>
    <row r="146" spans="1:9" ht="14" customHeight="1">
      <c r="A146" t="s">
        <v>525</v>
      </c>
      <c r="B146" s="38" t="s">
        <v>972</v>
      </c>
      <c r="C146" s="38" t="s">
        <v>973</v>
      </c>
      <c r="D146" s="38" t="s">
        <v>972</v>
      </c>
      <c r="E146" t="s">
        <v>787</v>
      </c>
      <c r="F146" t="s">
        <v>529</v>
      </c>
      <c r="H146" s="38" t="s">
        <v>974</v>
      </c>
      <c r="I146" t="s">
        <v>542</v>
      </c>
    </row>
    <row r="147" spans="1:9" ht="14" customHeight="1">
      <c r="A147" t="s">
        <v>525</v>
      </c>
      <c r="B147" s="38" t="s">
        <v>975</v>
      </c>
      <c r="C147" s="38" t="s">
        <v>976</v>
      </c>
      <c r="D147" s="38" t="s">
        <v>975</v>
      </c>
      <c r="E147" t="s">
        <v>787</v>
      </c>
      <c r="F147" t="s">
        <v>529</v>
      </c>
      <c r="H147" s="38" t="s">
        <v>977</v>
      </c>
      <c r="I147" t="s">
        <v>542</v>
      </c>
    </row>
    <row r="148" spans="1:9" ht="14" customHeight="1">
      <c r="A148" t="s">
        <v>525</v>
      </c>
      <c r="B148" s="38" t="s">
        <v>978</v>
      </c>
      <c r="C148" s="38" t="s">
        <v>979</v>
      </c>
      <c r="D148" s="38" t="s">
        <v>978</v>
      </c>
      <c r="E148" t="s">
        <v>787</v>
      </c>
      <c r="F148" t="s">
        <v>529</v>
      </c>
      <c r="H148" s="38" t="s">
        <v>980</v>
      </c>
      <c r="I148" t="s">
        <v>542</v>
      </c>
    </row>
    <row r="149" spans="1:9" ht="14" customHeight="1">
      <c r="A149" t="s">
        <v>525</v>
      </c>
      <c r="B149" s="38" t="s">
        <v>981</v>
      </c>
      <c r="C149" s="38" t="s">
        <v>982</v>
      </c>
      <c r="D149" s="38" t="s">
        <v>981</v>
      </c>
      <c r="E149" t="s">
        <v>787</v>
      </c>
      <c r="F149" t="s">
        <v>529</v>
      </c>
      <c r="H149" s="38" t="s">
        <v>983</v>
      </c>
      <c r="I149" t="s">
        <v>538</v>
      </c>
    </row>
    <row r="150" spans="1:9" ht="14" customHeight="1">
      <c r="A150" t="s">
        <v>525</v>
      </c>
      <c r="B150" s="38" t="s">
        <v>984</v>
      </c>
      <c r="C150" s="38" t="s">
        <v>985</v>
      </c>
      <c r="D150" s="38" t="s">
        <v>984</v>
      </c>
      <c r="E150" t="s">
        <v>787</v>
      </c>
      <c r="F150" t="s">
        <v>529</v>
      </c>
      <c r="H150" s="38" t="s">
        <v>986</v>
      </c>
      <c r="I150" t="s">
        <v>538</v>
      </c>
    </row>
    <row r="151" spans="1:9" ht="14" customHeight="1">
      <c r="A151" t="s">
        <v>525</v>
      </c>
      <c r="B151" s="38" t="s">
        <v>987</v>
      </c>
      <c r="C151" s="38" t="s">
        <v>988</v>
      </c>
      <c r="D151" s="38" t="s">
        <v>987</v>
      </c>
      <c r="E151" t="s">
        <v>787</v>
      </c>
      <c r="F151" t="s">
        <v>529</v>
      </c>
      <c r="H151" s="38" t="s">
        <v>989</v>
      </c>
      <c r="I151" t="s">
        <v>542</v>
      </c>
    </row>
    <row r="152" spans="1:9" ht="14" customHeight="1">
      <c r="A152" t="s">
        <v>525</v>
      </c>
      <c r="B152" s="38" t="s">
        <v>990</v>
      </c>
      <c r="C152" s="38" t="s">
        <v>991</v>
      </c>
      <c r="D152" s="38" t="s">
        <v>990</v>
      </c>
      <c r="E152" t="s">
        <v>787</v>
      </c>
      <c r="F152" t="s">
        <v>529</v>
      </c>
      <c r="H152" s="38" t="s">
        <v>992</v>
      </c>
      <c r="I152" t="s">
        <v>542</v>
      </c>
    </row>
    <row r="153" spans="1:9" ht="14" customHeight="1">
      <c r="A153" t="s">
        <v>525</v>
      </c>
      <c r="B153" s="38" t="s">
        <v>993</v>
      </c>
      <c r="C153" s="38" t="s">
        <v>994</v>
      </c>
      <c r="D153" s="38" t="s">
        <v>995</v>
      </c>
      <c r="E153" t="s">
        <v>787</v>
      </c>
      <c r="F153" t="s">
        <v>529</v>
      </c>
      <c r="H153" s="38" t="s">
        <v>996</v>
      </c>
      <c r="I153" t="s">
        <v>542</v>
      </c>
    </row>
    <row r="154" spans="1:9" ht="14" customHeight="1">
      <c r="A154" t="s">
        <v>525</v>
      </c>
      <c r="B154" s="38" t="s">
        <v>997</v>
      </c>
      <c r="C154" s="38" t="s">
        <v>998</v>
      </c>
      <c r="D154" s="38" t="s">
        <v>997</v>
      </c>
      <c r="E154" t="s">
        <v>787</v>
      </c>
      <c r="F154" t="s">
        <v>529</v>
      </c>
      <c r="H154" s="38" t="s">
        <v>999</v>
      </c>
      <c r="I154" t="s">
        <v>542</v>
      </c>
    </row>
    <row r="155" spans="1:9" ht="14" customHeight="1">
      <c r="A155" t="s">
        <v>525</v>
      </c>
      <c r="B155" s="38" t="s">
        <v>1000</v>
      </c>
      <c r="C155" s="38" t="s">
        <v>1001</v>
      </c>
      <c r="D155" s="38" t="s">
        <v>1000</v>
      </c>
      <c r="E155" t="s">
        <v>787</v>
      </c>
      <c r="F155" t="s">
        <v>529</v>
      </c>
      <c r="H155" s="38" t="s">
        <v>1002</v>
      </c>
      <c r="I155" t="s">
        <v>538</v>
      </c>
    </row>
    <row r="156" spans="1:9" ht="14" customHeight="1">
      <c r="A156" t="s">
        <v>525</v>
      </c>
      <c r="B156" s="38" t="s">
        <v>1003</v>
      </c>
      <c r="C156" s="38" t="s">
        <v>1004</v>
      </c>
      <c r="D156" s="38" t="s">
        <v>1003</v>
      </c>
      <c r="E156" t="s">
        <v>787</v>
      </c>
      <c r="F156" t="s">
        <v>529</v>
      </c>
      <c r="H156" s="38" t="s">
        <v>1005</v>
      </c>
      <c r="I156" t="s">
        <v>538</v>
      </c>
    </row>
    <row r="157" spans="1:9" ht="14" customHeight="1">
      <c r="A157" t="s">
        <v>525</v>
      </c>
      <c r="B157" s="38" t="s">
        <v>1006</v>
      </c>
      <c r="C157" s="38" t="s">
        <v>1007</v>
      </c>
      <c r="D157" s="38" t="s">
        <v>1006</v>
      </c>
      <c r="E157" t="s">
        <v>787</v>
      </c>
      <c r="F157" t="s">
        <v>529</v>
      </c>
      <c r="H157" s="38" t="s">
        <v>1008</v>
      </c>
      <c r="I157" t="s">
        <v>538</v>
      </c>
    </row>
    <row r="158" spans="1:9" ht="14" customHeight="1">
      <c r="A158" t="s">
        <v>525</v>
      </c>
      <c r="B158" s="38" t="s">
        <v>1009</v>
      </c>
      <c r="C158" s="38" t="s">
        <v>1010</v>
      </c>
      <c r="D158" s="38" t="s">
        <v>1009</v>
      </c>
      <c r="E158" t="s">
        <v>787</v>
      </c>
      <c r="F158" t="s">
        <v>529</v>
      </c>
      <c r="H158" s="38" t="s">
        <v>1011</v>
      </c>
      <c r="I158" t="s">
        <v>538</v>
      </c>
    </row>
    <row r="159" spans="1:9" ht="14" customHeight="1">
      <c r="A159" t="s">
        <v>525</v>
      </c>
      <c r="B159" s="38" t="s">
        <v>1012</v>
      </c>
      <c r="C159" s="38" t="s">
        <v>1013</v>
      </c>
      <c r="D159" s="38" t="s">
        <v>1012</v>
      </c>
      <c r="E159" t="s">
        <v>787</v>
      </c>
      <c r="F159" t="s">
        <v>529</v>
      </c>
      <c r="H159" s="38" t="s">
        <v>1014</v>
      </c>
      <c r="I159" t="s">
        <v>538</v>
      </c>
    </row>
    <row r="160" spans="1:9" ht="14" customHeight="1">
      <c r="A160" t="s">
        <v>525</v>
      </c>
      <c r="B160" s="38" t="s">
        <v>1015</v>
      </c>
      <c r="C160" s="38" t="s">
        <v>1016</v>
      </c>
      <c r="D160" s="38" t="s">
        <v>1015</v>
      </c>
      <c r="E160" t="s">
        <v>787</v>
      </c>
      <c r="F160" t="s">
        <v>529</v>
      </c>
      <c r="H160" s="38" t="s">
        <v>1017</v>
      </c>
      <c r="I160" t="s">
        <v>538</v>
      </c>
    </row>
    <row r="161" spans="1:9" ht="14" customHeight="1">
      <c r="A161" t="s">
        <v>525</v>
      </c>
      <c r="B161" s="38" t="s">
        <v>1018</v>
      </c>
      <c r="C161" s="38" t="s">
        <v>1019</v>
      </c>
      <c r="D161" s="38" t="s">
        <v>1018</v>
      </c>
      <c r="E161" t="s">
        <v>787</v>
      </c>
      <c r="F161" t="s">
        <v>529</v>
      </c>
      <c r="H161" s="38" t="s">
        <v>1020</v>
      </c>
      <c r="I161" t="s">
        <v>538</v>
      </c>
    </row>
    <row r="162" spans="1:9" ht="14" customHeight="1">
      <c r="A162" t="s">
        <v>525</v>
      </c>
      <c r="B162" s="38" t="s">
        <v>1021</v>
      </c>
      <c r="C162" s="38" t="s">
        <v>1022</v>
      </c>
      <c r="D162" s="38" t="s">
        <v>1021</v>
      </c>
      <c r="E162" t="s">
        <v>787</v>
      </c>
      <c r="F162" t="s">
        <v>529</v>
      </c>
      <c r="H162" s="38" t="s">
        <v>1023</v>
      </c>
      <c r="I162" t="s">
        <v>538</v>
      </c>
    </row>
    <row r="163" spans="1:9" ht="14" customHeight="1">
      <c r="A163" t="s">
        <v>525</v>
      </c>
      <c r="B163" s="38" t="s">
        <v>1024</v>
      </c>
      <c r="C163" s="38" t="s">
        <v>1025</v>
      </c>
      <c r="D163" s="38" t="s">
        <v>1026</v>
      </c>
      <c r="E163" t="s">
        <v>787</v>
      </c>
      <c r="F163" t="s">
        <v>529</v>
      </c>
      <c r="H163" s="38" t="s">
        <v>1027</v>
      </c>
      <c r="I163" t="s">
        <v>538</v>
      </c>
    </row>
    <row r="164" spans="1:9" ht="14" customHeight="1">
      <c r="A164" t="s">
        <v>525</v>
      </c>
      <c r="B164" s="38" t="s">
        <v>1028</v>
      </c>
      <c r="C164" s="38" t="s">
        <v>1029</v>
      </c>
      <c r="E164" t="s">
        <v>787</v>
      </c>
      <c r="F164" t="s">
        <v>529</v>
      </c>
      <c r="H164" s="38" t="s">
        <v>1030</v>
      </c>
      <c r="I164" t="s">
        <v>538</v>
      </c>
    </row>
    <row r="165" spans="1:9" ht="14" customHeight="1">
      <c r="A165" t="s">
        <v>525</v>
      </c>
      <c r="B165" s="38" t="s">
        <v>1031</v>
      </c>
      <c r="C165" s="38" t="s">
        <v>1032</v>
      </c>
      <c r="D165" s="38" t="s">
        <v>1031</v>
      </c>
      <c r="E165" t="s">
        <v>787</v>
      </c>
      <c r="F165" t="s">
        <v>529</v>
      </c>
      <c r="H165" s="38" t="s">
        <v>1033</v>
      </c>
      <c r="I165" t="s">
        <v>538</v>
      </c>
    </row>
    <row r="166" spans="1:9" ht="14" customHeight="1">
      <c r="A166" t="s">
        <v>525</v>
      </c>
      <c r="B166" s="38" t="s">
        <v>1034</v>
      </c>
      <c r="C166" s="38" t="s">
        <v>1035</v>
      </c>
      <c r="D166" s="38" t="s">
        <v>1034</v>
      </c>
      <c r="E166" t="s">
        <v>787</v>
      </c>
      <c r="F166" t="s">
        <v>529</v>
      </c>
      <c r="H166" s="38" t="s">
        <v>1036</v>
      </c>
      <c r="I166" t="s">
        <v>538</v>
      </c>
    </row>
    <row r="167" spans="1:9" ht="14" customHeight="1">
      <c r="A167" t="s">
        <v>525</v>
      </c>
      <c r="B167" s="38" t="s">
        <v>1037</v>
      </c>
      <c r="C167" s="38" t="s">
        <v>1038</v>
      </c>
      <c r="D167" s="38" t="s">
        <v>1037</v>
      </c>
      <c r="E167" t="s">
        <v>787</v>
      </c>
      <c r="F167" t="s">
        <v>529</v>
      </c>
      <c r="H167" s="38" t="s">
        <v>1039</v>
      </c>
      <c r="I167" t="s">
        <v>538</v>
      </c>
    </row>
    <row r="168" spans="1:9" ht="14" customHeight="1">
      <c r="A168" t="s">
        <v>525</v>
      </c>
      <c r="B168" s="38" t="s">
        <v>1040</v>
      </c>
      <c r="C168" s="38" t="s">
        <v>1041</v>
      </c>
      <c r="D168" s="38" t="s">
        <v>1040</v>
      </c>
      <c r="E168" t="s">
        <v>787</v>
      </c>
      <c r="F168" t="s">
        <v>529</v>
      </c>
      <c r="H168" s="38" t="s">
        <v>1042</v>
      </c>
      <c r="I168" t="s">
        <v>538</v>
      </c>
    </row>
    <row r="169" spans="1:9" ht="14" customHeight="1">
      <c r="A169" t="s">
        <v>525</v>
      </c>
      <c r="B169" s="38" t="s">
        <v>1043</v>
      </c>
      <c r="C169" s="38" t="s">
        <v>1044</v>
      </c>
      <c r="D169" s="38" t="s">
        <v>1043</v>
      </c>
      <c r="E169" t="s">
        <v>787</v>
      </c>
      <c r="F169" t="s">
        <v>529</v>
      </c>
      <c r="H169" s="38" t="s">
        <v>1045</v>
      </c>
      <c r="I169" t="s">
        <v>538</v>
      </c>
    </row>
    <row r="170" spans="1:9" ht="14" customHeight="1">
      <c r="A170" t="s">
        <v>525</v>
      </c>
      <c r="B170" s="38" t="s">
        <v>1046</v>
      </c>
      <c r="C170" s="38" t="s">
        <v>1047</v>
      </c>
      <c r="D170" s="38" t="s">
        <v>1046</v>
      </c>
      <c r="E170" t="s">
        <v>787</v>
      </c>
      <c r="F170" t="s">
        <v>529</v>
      </c>
      <c r="H170" s="38" t="s">
        <v>1048</v>
      </c>
      <c r="I170" t="s">
        <v>538</v>
      </c>
    </row>
    <row r="171" spans="1:9" ht="14" customHeight="1">
      <c r="A171" t="s">
        <v>525</v>
      </c>
      <c r="B171" s="38" t="s">
        <v>1049</v>
      </c>
      <c r="C171" s="38" t="s">
        <v>1050</v>
      </c>
      <c r="D171" s="38" t="s">
        <v>1049</v>
      </c>
      <c r="E171" t="s">
        <v>787</v>
      </c>
      <c r="F171" t="s">
        <v>529</v>
      </c>
      <c r="H171" s="38" t="s">
        <v>1051</v>
      </c>
      <c r="I171" t="s">
        <v>538</v>
      </c>
    </row>
    <row r="172" spans="1:9" ht="14" customHeight="1">
      <c r="A172" t="s">
        <v>525</v>
      </c>
      <c r="B172" s="38" t="s">
        <v>1052</v>
      </c>
      <c r="C172" s="38" t="s">
        <v>1053</v>
      </c>
      <c r="D172" s="38" t="s">
        <v>1052</v>
      </c>
      <c r="E172" t="s">
        <v>787</v>
      </c>
      <c r="F172" t="s">
        <v>529</v>
      </c>
      <c r="H172" s="38" t="s">
        <v>1054</v>
      </c>
      <c r="I172" t="s">
        <v>538</v>
      </c>
    </row>
    <row r="173" spans="1:9" ht="14" customHeight="1">
      <c r="A173" t="s">
        <v>525</v>
      </c>
      <c r="B173" s="38" t="s">
        <v>1055</v>
      </c>
      <c r="C173" s="38" t="s">
        <v>1056</v>
      </c>
      <c r="D173" s="38" t="s">
        <v>1055</v>
      </c>
      <c r="E173" t="s">
        <v>787</v>
      </c>
      <c r="F173" t="s">
        <v>529</v>
      </c>
      <c r="H173" s="38" t="s">
        <v>1057</v>
      </c>
      <c r="I173" t="s">
        <v>538</v>
      </c>
    </row>
    <row r="174" spans="1:9" ht="14" customHeight="1">
      <c r="A174" t="s">
        <v>525</v>
      </c>
      <c r="B174" s="38" t="s">
        <v>1058</v>
      </c>
      <c r="C174" s="38" t="s">
        <v>1059</v>
      </c>
      <c r="D174" s="38" t="s">
        <v>1058</v>
      </c>
      <c r="E174" t="s">
        <v>787</v>
      </c>
      <c r="F174" t="s">
        <v>529</v>
      </c>
      <c r="H174" s="38" t="s">
        <v>1060</v>
      </c>
      <c r="I174" t="s">
        <v>538</v>
      </c>
    </row>
    <row r="175" spans="1:9" ht="14" customHeight="1">
      <c r="A175" t="s">
        <v>525</v>
      </c>
      <c r="B175" s="38" t="s">
        <v>1061</v>
      </c>
      <c r="C175" s="38" t="s">
        <v>1062</v>
      </c>
      <c r="D175" s="38" t="s">
        <v>1061</v>
      </c>
      <c r="E175" t="s">
        <v>787</v>
      </c>
      <c r="F175" t="s">
        <v>529</v>
      </c>
      <c r="H175" s="38" t="s">
        <v>1063</v>
      </c>
      <c r="I175" t="s">
        <v>538</v>
      </c>
    </row>
    <row r="176" spans="1:9" ht="14" customHeight="1">
      <c r="A176" t="s">
        <v>525</v>
      </c>
      <c r="B176" s="38" t="s">
        <v>1064</v>
      </c>
      <c r="C176" s="38" t="s">
        <v>1065</v>
      </c>
      <c r="D176" s="38" t="s">
        <v>1064</v>
      </c>
      <c r="E176" t="s">
        <v>787</v>
      </c>
      <c r="F176" t="s">
        <v>529</v>
      </c>
      <c r="H176" s="38" t="s">
        <v>1066</v>
      </c>
      <c r="I176" t="s">
        <v>538</v>
      </c>
    </row>
    <row r="177" spans="1:9" ht="14" customHeight="1">
      <c r="A177" t="s">
        <v>525</v>
      </c>
      <c r="B177" s="38" t="s">
        <v>1067</v>
      </c>
      <c r="C177" s="38" t="s">
        <v>1068</v>
      </c>
      <c r="D177" s="38" t="s">
        <v>1067</v>
      </c>
      <c r="E177" t="s">
        <v>787</v>
      </c>
      <c r="F177" t="s">
        <v>529</v>
      </c>
      <c r="H177" s="38" t="s">
        <v>1069</v>
      </c>
      <c r="I177" t="s">
        <v>538</v>
      </c>
    </row>
    <row r="178" spans="1:9" ht="14" customHeight="1">
      <c r="A178" t="s">
        <v>525</v>
      </c>
      <c r="B178" s="38" t="s">
        <v>1070</v>
      </c>
      <c r="C178" s="38" t="s">
        <v>1071</v>
      </c>
      <c r="E178" t="s">
        <v>787</v>
      </c>
      <c r="F178" t="s">
        <v>529</v>
      </c>
      <c r="H178" s="38" t="s">
        <v>1072</v>
      </c>
      <c r="I178" t="s">
        <v>538</v>
      </c>
    </row>
    <row r="179" spans="1:9" ht="14" customHeight="1">
      <c r="A179" t="s">
        <v>525</v>
      </c>
      <c r="B179" s="38" t="s">
        <v>1073</v>
      </c>
      <c r="C179" s="38" t="s">
        <v>1074</v>
      </c>
      <c r="D179" s="38" t="s">
        <v>1073</v>
      </c>
      <c r="E179" t="s">
        <v>787</v>
      </c>
      <c r="F179" t="s">
        <v>529</v>
      </c>
      <c r="H179" s="38" t="s">
        <v>1075</v>
      </c>
      <c r="I179" t="s">
        <v>538</v>
      </c>
    </row>
    <row r="180" spans="1:9" ht="14" customHeight="1">
      <c r="A180" t="s">
        <v>525</v>
      </c>
      <c r="B180" s="38" t="s">
        <v>1076</v>
      </c>
      <c r="C180" s="38" t="s">
        <v>1077</v>
      </c>
      <c r="D180" s="38" t="s">
        <v>1076</v>
      </c>
      <c r="E180" t="s">
        <v>787</v>
      </c>
      <c r="F180" t="s">
        <v>529</v>
      </c>
      <c r="H180" s="38" t="s">
        <v>1078</v>
      </c>
      <c r="I180" t="s">
        <v>538</v>
      </c>
    </row>
    <row r="181" spans="1:9" ht="14" customHeight="1">
      <c r="A181" t="s">
        <v>525</v>
      </c>
      <c r="B181" s="38" t="s">
        <v>1079</v>
      </c>
      <c r="C181" s="38" t="s">
        <v>1080</v>
      </c>
      <c r="D181" s="38" t="s">
        <v>1079</v>
      </c>
      <c r="E181" t="s">
        <v>787</v>
      </c>
      <c r="F181" t="s">
        <v>529</v>
      </c>
      <c r="H181" s="38" t="s">
        <v>1081</v>
      </c>
      <c r="I181" t="s">
        <v>538</v>
      </c>
    </row>
    <row r="182" spans="1:9" ht="14" customHeight="1">
      <c r="A182" t="s">
        <v>525</v>
      </c>
      <c r="B182" s="38" t="s">
        <v>1082</v>
      </c>
      <c r="C182" s="38" t="s">
        <v>1083</v>
      </c>
      <c r="D182" s="38" t="s">
        <v>1082</v>
      </c>
      <c r="E182" t="s">
        <v>787</v>
      </c>
      <c r="F182" t="s">
        <v>529</v>
      </c>
      <c r="H182" s="38" t="s">
        <v>1084</v>
      </c>
      <c r="I182" t="s">
        <v>538</v>
      </c>
    </row>
    <row r="183" spans="1:9" ht="14" customHeight="1">
      <c r="A183" t="s">
        <v>525</v>
      </c>
      <c r="B183" s="38" t="s">
        <v>1085</v>
      </c>
      <c r="C183" s="38" t="s">
        <v>1086</v>
      </c>
      <c r="D183" s="38" t="s">
        <v>1085</v>
      </c>
      <c r="E183" t="s">
        <v>787</v>
      </c>
      <c r="F183" t="s">
        <v>529</v>
      </c>
      <c r="H183" s="38" t="s">
        <v>1087</v>
      </c>
      <c r="I183" t="s">
        <v>538</v>
      </c>
    </row>
    <row r="184" spans="1:9" ht="14" customHeight="1">
      <c r="A184" t="s">
        <v>525</v>
      </c>
      <c r="B184" s="38" t="s">
        <v>1088</v>
      </c>
      <c r="C184" s="38" t="s">
        <v>1089</v>
      </c>
      <c r="D184" s="38" t="s">
        <v>1088</v>
      </c>
      <c r="E184" t="s">
        <v>787</v>
      </c>
      <c r="F184" t="s">
        <v>529</v>
      </c>
      <c r="H184" s="38" t="s">
        <v>1090</v>
      </c>
      <c r="I184" t="s">
        <v>538</v>
      </c>
    </row>
    <row r="185" spans="1:9" ht="14" customHeight="1">
      <c r="A185" t="s">
        <v>525</v>
      </c>
      <c r="B185" s="38" t="s">
        <v>1091</v>
      </c>
      <c r="C185" s="38" t="s">
        <v>1092</v>
      </c>
      <c r="D185" s="38" t="s">
        <v>1091</v>
      </c>
      <c r="E185" t="s">
        <v>787</v>
      </c>
      <c r="F185" t="s">
        <v>529</v>
      </c>
      <c r="H185" s="38" t="s">
        <v>1093</v>
      </c>
      <c r="I185" t="s">
        <v>538</v>
      </c>
    </row>
    <row r="186" spans="1:9" ht="14" customHeight="1">
      <c r="A186" t="s">
        <v>525</v>
      </c>
      <c r="B186" s="38" t="s">
        <v>1094</v>
      </c>
      <c r="C186" s="38" t="s">
        <v>1095</v>
      </c>
      <c r="D186" s="38" t="s">
        <v>1094</v>
      </c>
      <c r="E186" t="s">
        <v>787</v>
      </c>
      <c r="F186" t="s">
        <v>529</v>
      </c>
      <c r="H186" s="38" t="s">
        <v>1096</v>
      </c>
      <c r="I186" t="s">
        <v>538</v>
      </c>
    </row>
    <row r="187" spans="1:9" ht="14" customHeight="1">
      <c r="A187" t="s">
        <v>525</v>
      </c>
      <c r="B187" s="38" t="s">
        <v>1097</v>
      </c>
      <c r="C187" s="38" t="s">
        <v>1098</v>
      </c>
      <c r="D187" s="38" t="s">
        <v>1097</v>
      </c>
      <c r="E187" t="s">
        <v>787</v>
      </c>
      <c r="F187" t="s">
        <v>529</v>
      </c>
      <c r="H187" s="38" t="s">
        <v>1099</v>
      </c>
      <c r="I187" t="s">
        <v>538</v>
      </c>
    </row>
    <row r="188" spans="1:9" ht="14" customHeight="1">
      <c r="A188" t="s">
        <v>525</v>
      </c>
      <c r="B188" s="38" t="s">
        <v>1100</v>
      </c>
      <c r="C188" s="38" t="s">
        <v>1101</v>
      </c>
      <c r="D188" s="38" t="s">
        <v>1100</v>
      </c>
      <c r="E188" t="s">
        <v>787</v>
      </c>
      <c r="F188" t="s">
        <v>529</v>
      </c>
      <c r="H188" s="38" t="s">
        <v>1102</v>
      </c>
      <c r="I188" t="s">
        <v>538</v>
      </c>
    </row>
    <row r="189" spans="1:9" ht="14" customHeight="1">
      <c r="A189" t="s">
        <v>525</v>
      </c>
      <c r="B189" s="38" t="s">
        <v>1103</v>
      </c>
      <c r="C189" s="38" t="s">
        <v>1104</v>
      </c>
      <c r="E189" t="s">
        <v>787</v>
      </c>
      <c r="F189" t="s">
        <v>529</v>
      </c>
      <c r="H189" s="38" t="s">
        <v>1105</v>
      </c>
      <c r="I189" t="s">
        <v>538</v>
      </c>
    </row>
    <row r="190" spans="1:9" ht="14" customHeight="1">
      <c r="A190" t="s">
        <v>525</v>
      </c>
      <c r="B190" s="38" t="s">
        <v>1106</v>
      </c>
      <c r="C190" s="38" t="s">
        <v>1107</v>
      </c>
      <c r="D190" s="38" t="s">
        <v>1106</v>
      </c>
      <c r="E190" t="s">
        <v>787</v>
      </c>
      <c r="F190" t="s">
        <v>529</v>
      </c>
      <c r="H190" s="38" t="s">
        <v>1108</v>
      </c>
      <c r="I190" t="s">
        <v>538</v>
      </c>
    </row>
    <row r="191" spans="1:9" ht="14" customHeight="1">
      <c r="A191" t="s">
        <v>525</v>
      </c>
      <c r="B191" s="38" t="s">
        <v>1109</v>
      </c>
      <c r="C191" s="38" t="s">
        <v>1110</v>
      </c>
      <c r="D191" s="38" t="s">
        <v>1109</v>
      </c>
      <c r="E191" t="s">
        <v>787</v>
      </c>
      <c r="F191" t="s">
        <v>529</v>
      </c>
      <c r="H191" s="38" t="s">
        <v>1111</v>
      </c>
      <c r="I191" t="s">
        <v>538</v>
      </c>
    </row>
    <row r="192" spans="1:9" ht="14" customHeight="1">
      <c r="A192" t="s">
        <v>525</v>
      </c>
      <c r="B192" s="38" t="s">
        <v>1112</v>
      </c>
      <c r="C192" s="38" t="s">
        <v>1113</v>
      </c>
      <c r="D192" s="38" t="s">
        <v>1112</v>
      </c>
      <c r="E192" t="s">
        <v>787</v>
      </c>
      <c r="F192" t="s">
        <v>529</v>
      </c>
      <c r="H192" s="38" t="s">
        <v>1114</v>
      </c>
      <c r="I192" t="s">
        <v>538</v>
      </c>
    </row>
    <row r="193" spans="1:9" ht="14" customHeight="1">
      <c r="A193" t="s">
        <v>525</v>
      </c>
      <c r="B193" s="38" t="s">
        <v>1115</v>
      </c>
      <c r="C193" s="38" t="s">
        <v>1116</v>
      </c>
      <c r="D193" s="38" t="s">
        <v>1115</v>
      </c>
      <c r="E193" t="s">
        <v>787</v>
      </c>
      <c r="F193" t="s">
        <v>529</v>
      </c>
      <c r="H193" s="38" t="s">
        <v>1117</v>
      </c>
      <c r="I193" t="s">
        <v>538</v>
      </c>
    </row>
    <row r="194" spans="1:9" ht="14" customHeight="1">
      <c r="A194" t="s">
        <v>525</v>
      </c>
      <c r="B194" s="38" t="s">
        <v>1118</v>
      </c>
      <c r="C194" s="38" t="s">
        <v>1119</v>
      </c>
      <c r="D194" s="38" t="s">
        <v>1118</v>
      </c>
      <c r="E194" t="s">
        <v>787</v>
      </c>
      <c r="F194" t="s">
        <v>529</v>
      </c>
      <c r="H194" s="38" t="s">
        <v>1120</v>
      </c>
      <c r="I194" t="s">
        <v>538</v>
      </c>
    </row>
    <row r="195" spans="1:9" ht="14" customHeight="1">
      <c r="A195" t="s">
        <v>525</v>
      </c>
      <c r="B195" s="38" t="s">
        <v>1121</v>
      </c>
      <c r="C195" s="38" t="s">
        <v>1122</v>
      </c>
      <c r="D195" s="38" t="s">
        <v>1121</v>
      </c>
      <c r="E195" t="s">
        <v>787</v>
      </c>
      <c r="F195" t="s">
        <v>529</v>
      </c>
      <c r="H195" s="38" t="s">
        <v>1123</v>
      </c>
      <c r="I195" t="s">
        <v>538</v>
      </c>
    </row>
    <row r="196" spans="1:9" ht="14" customHeight="1">
      <c r="A196" t="s">
        <v>525</v>
      </c>
      <c r="B196" s="38" t="s">
        <v>1124</v>
      </c>
      <c r="C196" s="38" t="s">
        <v>1125</v>
      </c>
      <c r="D196" s="38" t="s">
        <v>1124</v>
      </c>
      <c r="E196" t="s">
        <v>787</v>
      </c>
      <c r="F196" t="s">
        <v>529</v>
      </c>
      <c r="H196" s="38" t="s">
        <v>1126</v>
      </c>
      <c r="I196" t="s">
        <v>538</v>
      </c>
    </row>
    <row r="197" spans="1:9" ht="14" customHeight="1">
      <c r="A197" t="s">
        <v>525</v>
      </c>
      <c r="B197" s="38" t="s">
        <v>1127</v>
      </c>
      <c r="C197" s="38" t="s">
        <v>1128</v>
      </c>
      <c r="D197" s="38" t="s">
        <v>1127</v>
      </c>
      <c r="E197" t="s">
        <v>787</v>
      </c>
      <c r="F197" t="s">
        <v>529</v>
      </c>
      <c r="H197" s="38" t="s">
        <v>1129</v>
      </c>
      <c r="I197" t="s">
        <v>538</v>
      </c>
    </row>
    <row r="198" spans="1:9" ht="14" customHeight="1">
      <c r="A198" t="s">
        <v>525</v>
      </c>
      <c r="B198" s="38" t="s">
        <v>1130</v>
      </c>
      <c r="C198" s="38" t="s">
        <v>1131</v>
      </c>
      <c r="D198" s="38" t="s">
        <v>1130</v>
      </c>
      <c r="E198" t="s">
        <v>787</v>
      </c>
      <c r="F198" t="s">
        <v>529</v>
      </c>
      <c r="H198" s="38" t="s">
        <v>1132</v>
      </c>
      <c r="I198" t="s">
        <v>538</v>
      </c>
    </row>
    <row r="199" spans="1:9" ht="14" customHeight="1">
      <c r="A199" t="s">
        <v>525</v>
      </c>
      <c r="B199" s="38" t="s">
        <v>1133</v>
      </c>
      <c r="C199" s="38" t="s">
        <v>1134</v>
      </c>
      <c r="D199" s="38" t="s">
        <v>1133</v>
      </c>
      <c r="E199" t="s">
        <v>787</v>
      </c>
      <c r="F199" t="s">
        <v>529</v>
      </c>
      <c r="H199" s="38" t="s">
        <v>1135</v>
      </c>
      <c r="I199" t="s">
        <v>538</v>
      </c>
    </row>
    <row r="200" spans="1:9" ht="409.6">
      <c r="A200" t="s">
        <v>525</v>
      </c>
      <c r="B200" s="38" t="s">
        <v>1136</v>
      </c>
      <c r="C200" s="38" t="s">
        <v>1137</v>
      </c>
      <c r="D200" s="38" t="s">
        <v>1136</v>
      </c>
      <c r="E200" t="s">
        <v>787</v>
      </c>
      <c r="F200" t="s">
        <v>529</v>
      </c>
      <c r="H200" s="38" t="s">
        <v>1138</v>
      </c>
      <c r="I200" t="s">
        <v>538</v>
      </c>
    </row>
    <row r="201" spans="1:9" ht="14" customHeight="1">
      <c r="A201" t="s">
        <v>525</v>
      </c>
      <c r="B201" s="38" t="s">
        <v>1139</v>
      </c>
      <c r="C201" s="38" t="s">
        <v>1140</v>
      </c>
      <c r="D201" s="38" t="s">
        <v>1139</v>
      </c>
      <c r="E201" t="s">
        <v>787</v>
      </c>
      <c r="F201" t="s">
        <v>529</v>
      </c>
      <c r="H201" s="38" t="s">
        <v>1141</v>
      </c>
      <c r="I201" t="s">
        <v>542</v>
      </c>
    </row>
    <row r="202" spans="1:9" ht="14" customHeight="1">
      <c r="A202" t="s">
        <v>525</v>
      </c>
      <c r="B202" s="38" t="s">
        <v>1142</v>
      </c>
      <c r="C202" s="38" t="s">
        <v>1143</v>
      </c>
      <c r="D202" s="38" t="s">
        <v>1142</v>
      </c>
      <c r="E202" t="s">
        <v>787</v>
      </c>
      <c r="F202" t="s">
        <v>529</v>
      </c>
      <c r="H202" s="38" t="s">
        <v>1144</v>
      </c>
      <c r="I202" t="s">
        <v>542</v>
      </c>
    </row>
    <row r="203" spans="1:9" ht="14" customHeight="1">
      <c r="A203" t="s">
        <v>525</v>
      </c>
      <c r="B203" s="38" t="s">
        <v>1145</v>
      </c>
      <c r="C203" s="38" t="s">
        <v>1146</v>
      </c>
      <c r="D203" s="38" t="s">
        <v>1145</v>
      </c>
      <c r="E203" t="s">
        <v>787</v>
      </c>
      <c r="F203" t="s">
        <v>529</v>
      </c>
      <c r="H203" s="38" t="s">
        <v>1147</v>
      </c>
      <c r="I203" t="s">
        <v>538</v>
      </c>
    </row>
    <row r="204" spans="1:9" ht="14" customHeight="1">
      <c r="A204" t="s">
        <v>525</v>
      </c>
      <c r="B204" s="38" t="s">
        <v>1148</v>
      </c>
      <c r="C204" s="38" t="s">
        <v>1149</v>
      </c>
      <c r="D204" s="38" t="s">
        <v>1148</v>
      </c>
      <c r="E204" t="s">
        <v>787</v>
      </c>
      <c r="F204" t="s">
        <v>529</v>
      </c>
      <c r="H204" s="38" t="s">
        <v>1150</v>
      </c>
      <c r="I204" t="s">
        <v>538</v>
      </c>
    </row>
    <row r="205" spans="1:9" ht="14" customHeight="1">
      <c r="A205" t="s">
        <v>525</v>
      </c>
      <c r="B205" s="38" t="s">
        <v>1151</v>
      </c>
      <c r="C205" s="38" t="s">
        <v>1152</v>
      </c>
      <c r="D205" s="38" t="s">
        <v>1153</v>
      </c>
      <c r="E205" t="s">
        <v>787</v>
      </c>
      <c r="F205" t="s">
        <v>529</v>
      </c>
      <c r="H205" s="38" t="s">
        <v>1154</v>
      </c>
      <c r="I205" t="s">
        <v>538</v>
      </c>
    </row>
    <row r="206" spans="1:9" ht="14" customHeight="1">
      <c r="A206" t="s">
        <v>525</v>
      </c>
      <c r="B206" s="38" t="s">
        <v>1155</v>
      </c>
      <c r="C206" s="38" t="s">
        <v>1156</v>
      </c>
      <c r="D206" s="38" t="s">
        <v>1155</v>
      </c>
      <c r="E206" t="s">
        <v>787</v>
      </c>
      <c r="F206" t="s">
        <v>529</v>
      </c>
      <c r="H206" s="38" t="s">
        <v>1157</v>
      </c>
      <c r="I206" t="s">
        <v>538</v>
      </c>
    </row>
    <row r="207" spans="1:9" ht="14" customHeight="1">
      <c r="A207" t="s">
        <v>525</v>
      </c>
      <c r="B207" s="38" t="s">
        <v>1158</v>
      </c>
      <c r="C207" s="38" t="s">
        <v>1159</v>
      </c>
      <c r="D207" s="38" t="s">
        <v>1158</v>
      </c>
      <c r="E207" t="s">
        <v>787</v>
      </c>
      <c r="F207" t="s">
        <v>529</v>
      </c>
      <c r="H207" s="38" t="s">
        <v>1160</v>
      </c>
      <c r="I207" t="s">
        <v>538</v>
      </c>
    </row>
    <row r="208" spans="1:9" ht="14" customHeight="1">
      <c r="A208" t="s">
        <v>525</v>
      </c>
      <c r="B208" s="38" t="s">
        <v>1161</v>
      </c>
      <c r="C208" s="38" t="s">
        <v>1162</v>
      </c>
      <c r="E208" t="s">
        <v>787</v>
      </c>
      <c r="F208" t="s">
        <v>529</v>
      </c>
      <c r="H208" s="38" t="s">
        <v>1163</v>
      </c>
      <c r="I208" t="s">
        <v>538</v>
      </c>
    </row>
    <row r="209" spans="1:9" ht="14" customHeight="1">
      <c r="A209" t="s">
        <v>525</v>
      </c>
      <c r="B209" s="38" t="s">
        <v>1164</v>
      </c>
      <c r="C209" s="38" t="s">
        <v>1165</v>
      </c>
      <c r="D209" s="38" t="s">
        <v>1164</v>
      </c>
      <c r="E209" t="s">
        <v>787</v>
      </c>
      <c r="F209" t="s">
        <v>529</v>
      </c>
      <c r="H209" s="38" t="s">
        <v>1166</v>
      </c>
      <c r="I209" t="s">
        <v>538</v>
      </c>
    </row>
    <row r="210" spans="1:9" ht="14" customHeight="1">
      <c r="A210" t="s">
        <v>525</v>
      </c>
      <c r="B210" s="38" t="s">
        <v>1167</v>
      </c>
      <c r="C210" s="38" t="s">
        <v>1168</v>
      </c>
      <c r="D210" s="38" t="s">
        <v>1169</v>
      </c>
      <c r="E210" t="s">
        <v>787</v>
      </c>
      <c r="F210" t="s">
        <v>529</v>
      </c>
      <c r="H210" s="38" t="s">
        <v>1170</v>
      </c>
      <c r="I210" t="s">
        <v>538</v>
      </c>
    </row>
    <row r="211" spans="1:9" ht="14" customHeight="1">
      <c r="A211" t="s">
        <v>525</v>
      </c>
      <c r="B211" s="38" t="s">
        <v>1171</v>
      </c>
      <c r="C211" s="38" t="s">
        <v>1172</v>
      </c>
      <c r="D211" s="38" t="s">
        <v>1173</v>
      </c>
      <c r="E211" t="s">
        <v>787</v>
      </c>
      <c r="F211" t="s">
        <v>529</v>
      </c>
      <c r="H211" s="38" t="s">
        <v>1174</v>
      </c>
      <c r="I211" t="s">
        <v>538</v>
      </c>
    </row>
    <row r="212" spans="1:9" ht="409.6">
      <c r="A212" t="s">
        <v>525</v>
      </c>
      <c r="B212" s="38" t="s">
        <v>1175</v>
      </c>
      <c r="C212" s="38" t="s">
        <v>1176</v>
      </c>
      <c r="E212" t="s">
        <v>787</v>
      </c>
      <c r="F212" t="s">
        <v>529</v>
      </c>
      <c r="H212" s="38" t="s">
        <v>1138</v>
      </c>
      <c r="I212" t="s">
        <v>538</v>
      </c>
    </row>
  </sheetData>
  <pageMargins left="0.7" right="0.7" top="0.75" bottom="0.75" header="0.3" footer="0.3"/>
  <pageSetup paperSize="256" orientation="portrait" horizontalDpi="203" verticalDpi="20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D3043-BE0B-4E8C-8888-9ABE2EB03E55}">
  <dimension ref="A1:AX123"/>
  <sheetViews>
    <sheetView workbookViewId="0">
      <pane ySplit="2" topLeftCell="A115" activePane="bottomLeft" state="frozen"/>
      <selection pane="bottomLeft" activeCell="I107" sqref="I107"/>
    </sheetView>
    <sheetView workbookViewId="1"/>
  </sheetViews>
  <sheetFormatPr baseColWidth="10" defaultColWidth="8.83203125" defaultRowHeight="15"/>
  <cols>
    <col min="1" max="1" width="49.6640625" customWidth="1"/>
    <col min="2" max="2" width="19.5" customWidth="1"/>
    <col min="3" max="3" width="16.5" bestFit="1" customWidth="1"/>
    <col min="4" max="4" width="19.5" customWidth="1"/>
    <col min="5" max="5" width="18" customWidth="1"/>
    <col min="6" max="6" width="11" bestFit="1" customWidth="1"/>
    <col min="7" max="7" width="17.5" bestFit="1" customWidth="1"/>
    <col min="8" max="8" width="17.5" style="139" customWidth="1"/>
    <col min="9" max="9" width="31.6640625" customWidth="1"/>
    <col min="10" max="10" width="160.1640625" style="98" customWidth="1"/>
    <col min="11" max="11" width="30.6640625" style="103" customWidth="1"/>
  </cols>
  <sheetData>
    <row r="1" spans="1:50" s="2" customFormat="1" ht="22">
      <c r="A1" s="59" t="s">
        <v>287</v>
      </c>
      <c r="B1" s="60"/>
      <c r="C1" s="60"/>
      <c r="D1" s="60"/>
      <c r="E1" s="60"/>
      <c r="F1" s="60"/>
      <c r="G1" s="60"/>
      <c r="H1" s="138"/>
      <c r="I1" s="60"/>
      <c r="J1" s="99"/>
      <c r="K1" s="229" t="s">
        <v>288</v>
      </c>
      <c r="L1" s="230"/>
      <c r="M1" s="230"/>
      <c r="N1" s="230"/>
      <c r="O1" s="230"/>
      <c r="P1" s="230"/>
      <c r="Q1" s="230"/>
      <c r="R1" s="230"/>
      <c r="S1" s="230"/>
      <c r="T1" s="230"/>
      <c r="U1" s="230"/>
      <c r="V1" s="230"/>
      <c r="W1" s="230"/>
      <c r="X1" s="230"/>
      <c r="Y1" s="230"/>
      <c r="Z1" s="230"/>
      <c r="AA1" s="230"/>
      <c r="AB1" s="230"/>
      <c r="AC1" s="230"/>
      <c r="AD1" s="230"/>
      <c r="AE1" s="230"/>
      <c r="AF1" s="230"/>
      <c r="AG1" s="230"/>
      <c r="AH1" s="230"/>
      <c r="AI1" s="230"/>
      <c r="AJ1" s="230"/>
      <c r="AK1" s="230"/>
      <c r="AL1" s="230"/>
      <c r="AM1" s="230"/>
      <c r="AN1" s="230"/>
      <c r="AO1" s="230"/>
      <c r="AP1" s="230"/>
      <c r="AQ1" s="230"/>
      <c r="AR1" s="230"/>
      <c r="AS1" s="230"/>
      <c r="AT1" s="230"/>
      <c r="AU1" s="230"/>
      <c r="AV1" s="230"/>
      <c r="AW1" s="230"/>
      <c r="AX1" s="231"/>
    </row>
    <row r="2" spans="1:50" s="2" customFormat="1" ht="32">
      <c r="A2" s="1" t="s">
        <v>289</v>
      </c>
      <c r="B2" s="1" t="s">
        <v>290</v>
      </c>
      <c r="C2" s="1" t="s">
        <v>291</v>
      </c>
      <c r="D2" s="3" t="s">
        <v>292</v>
      </c>
      <c r="E2" s="3" t="s">
        <v>293</v>
      </c>
      <c r="F2" s="1" t="s">
        <v>294</v>
      </c>
      <c r="G2" s="1" t="s">
        <v>295</v>
      </c>
      <c r="H2" s="123" t="s">
        <v>1177</v>
      </c>
      <c r="I2" s="3" t="s">
        <v>298</v>
      </c>
      <c r="J2" s="100" t="s">
        <v>297</v>
      </c>
      <c r="K2" s="102" t="s">
        <v>299</v>
      </c>
      <c r="L2" s="2" t="s">
        <v>300</v>
      </c>
      <c r="M2" s="2" t="s">
        <v>301</v>
      </c>
      <c r="N2" s="2" t="s">
        <v>302</v>
      </c>
      <c r="O2" s="2" t="s">
        <v>303</v>
      </c>
      <c r="P2" s="2" t="s">
        <v>304</v>
      </c>
      <c r="Q2" s="2" t="s">
        <v>305</v>
      </c>
      <c r="R2" s="2" t="s">
        <v>306</v>
      </c>
      <c r="S2" s="2" t="s">
        <v>307</v>
      </c>
      <c r="T2" s="2" t="s">
        <v>308</v>
      </c>
      <c r="U2" s="2" t="s">
        <v>309</v>
      </c>
      <c r="V2" s="2" t="s">
        <v>310</v>
      </c>
      <c r="W2" s="2" t="s">
        <v>311</v>
      </c>
      <c r="X2" s="2" t="s">
        <v>312</v>
      </c>
      <c r="Y2" s="2" t="s">
        <v>313</v>
      </c>
      <c r="Z2" s="2" t="s">
        <v>314</v>
      </c>
      <c r="AA2" s="2" t="s">
        <v>315</v>
      </c>
      <c r="AB2" s="2" t="s">
        <v>316</v>
      </c>
      <c r="AC2" s="2" t="s">
        <v>317</v>
      </c>
      <c r="AD2" s="2" t="s">
        <v>318</v>
      </c>
      <c r="AE2" s="2" t="s">
        <v>319</v>
      </c>
      <c r="AF2" s="2" t="s">
        <v>320</v>
      </c>
      <c r="AG2" s="2" t="s">
        <v>321</v>
      </c>
      <c r="AH2" s="2" t="s">
        <v>322</v>
      </c>
      <c r="AI2" s="2" t="s">
        <v>323</v>
      </c>
      <c r="AJ2" s="2" t="s">
        <v>324</v>
      </c>
      <c r="AK2" s="2" t="s">
        <v>325</v>
      </c>
      <c r="AL2" s="2" t="s">
        <v>326</v>
      </c>
      <c r="AM2" s="2" t="s">
        <v>327</v>
      </c>
      <c r="AN2" s="2" t="s">
        <v>328</v>
      </c>
      <c r="AO2" s="2" t="s">
        <v>329</v>
      </c>
      <c r="AP2" s="2" t="s">
        <v>330</v>
      </c>
      <c r="AQ2" s="2" t="s">
        <v>331</v>
      </c>
      <c r="AR2" s="2" t="s">
        <v>332</v>
      </c>
      <c r="AS2" s="2" t="s">
        <v>333</v>
      </c>
      <c r="AT2" s="2" t="s">
        <v>334</v>
      </c>
      <c r="AU2" s="2" t="s">
        <v>335</v>
      </c>
      <c r="AV2" s="2" t="s">
        <v>336</v>
      </c>
      <c r="AW2" s="2" t="s">
        <v>337</v>
      </c>
      <c r="AX2" s="2" t="s">
        <v>338</v>
      </c>
    </row>
    <row r="3" spans="1:50" ht="48">
      <c r="A3" s="34" t="s">
        <v>532</v>
      </c>
      <c r="B3" s="34"/>
      <c r="C3" s="2"/>
      <c r="D3" s="34" t="s">
        <v>533</v>
      </c>
      <c r="E3" s="4"/>
      <c r="F3" s="96" t="s">
        <v>1178</v>
      </c>
      <c r="G3" s="2"/>
      <c r="H3" s="115" t="s">
        <v>1179</v>
      </c>
      <c r="I3" s="111" t="s">
        <v>5</v>
      </c>
      <c r="J3" s="97"/>
      <c r="K3" s="10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row>
    <row r="4" spans="1:50" s="113" customFormat="1" ht="189" customHeight="1">
      <c r="A4" s="101" t="s">
        <v>192</v>
      </c>
      <c r="B4" s="101"/>
      <c r="C4" s="111"/>
      <c r="D4" s="101" t="s">
        <v>192</v>
      </c>
      <c r="E4" s="101"/>
      <c r="F4" s="112" t="s">
        <v>1180</v>
      </c>
      <c r="G4" s="111"/>
      <c r="H4" s="115" t="s">
        <v>1181</v>
      </c>
      <c r="I4" s="111" t="s">
        <v>5</v>
      </c>
      <c r="J4" s="101" t="s">
        <v>1182</v>
      </c>
      <c r="K4" s="102" t="s">
        <v>1183</v>
      </c>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s="117" customFormat="1" ht="112">
      <c r="A5" s="114" t="s">
        <v>193</v>
      </c>
      <c r="B5" s="114"/>
      <c r="C5" s="115"/>
      <c r="D5" s="114" t="s">
        <v>193</v>
      </c>
      <c r="E5" s="116"/>
      <c r="F5" s="118" t="s">
        <v>1180</v>
      </c>
      <c r="G5" s="115"/>
      <c r="H5" s="115" t="s">
        <v>1181</v>
      </c>
      <c r="I5" s="111" t="s">
        <v>5</v>
      </c>
      <c r="J5" s="101" t="s">
        <v>1184</v>
      </c>
      <c r="K5" s="102"/>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row>
    <row r="6" spans="1:50" s="117" customFormat="1" ht="320">
      <c r="A6" s="114" t="s">
        <v>1185</v>
      </c>
      <c r="B6" s="114"/>
      <c r="C6" s="115"/>
      <c r="D6" s="114" t="s">
        <v>1185</v>
      </c>
      <c r="E6" s="116"/>
      <c r="F6" s="118" t="s">
        <v>1180</v>
      </c>
      <c r="G6" s="115"/>
      <c r="H6" s="115" t="s">
        <v>1186</v>
      </c>
      <c r="I6" s="111" t="s">
        <v>5</v>
      </c>
      <c r="J6" s="101" t="s">
        <v>1187</v>
      </c>
      <c r="K6" s="102"/>
      <c r="L6" s="115"/>
      <c r="M6" s="115"/>
      <c r="N6" s="115"/>
      <c r="O6" s="115"/>
      <c r="P6" s="115"/>
      <c r="Q6" s="115"/>
      <c r="R6" s="115"/>
      <c r="S6" s="115"/>
      <c r="T6" s="115"/>
      <c r="U6" s="115"/>
      <c r="V6" s="115"/>
      <c r="W6" s="115"/>
      <c r="X6" s="115"/>
      <c r="Y6" s="115"/>
      <c r="Z6" s="115"/>
      <c r="AA6" s="115"/>
      <c r="AB6" s="115"/>
      <c r="AC6" s="115"/>
      <c r="AD6" s="115"/>
      <c r="AE6" s="115"/>
      <c r="AF6" s="115"/>
      <c r="AG6" s="115"/>
      <c r="AH6" s="115"/>
      <c r="AI6" s="115"/>
      <c r="AJ6" s="115"/>
      <c r="AK6" s="115"/>
      <c r="AL6" s="115"/>
      <c r="AM6" s="115"/>
      <c r="AN6" s="115"/>
      <c r="AO6" s="115"/>
      <c r="AP6" s="115"/>
      <c r="AQ6" s="115"/>
      <c r="AR6" s="115"/>
      <c r="AS6" s="115"/>
      <c r="AT6" s="115"/>
      <c r="AU6" s="115"/>
      <c r="AV6" s="115"/>
      <c r="AW6" s="115"/>
      <c r="AX6" s="115"/>
    </row>
    <row r="7" spans="1:50" s="117" customFormat="1" ht="224">
      <c r="A7" s="114" t="s">
        <v>1188</v>
      </c>
      <c r="B7" s="114"/>
      <c r="C7" s="115"/>
      <c r="D7" s="114" t="s">
        <v>1188</v>
      </c>
      <c r="E7" s="116"/>
      <c r="F7" s="118" t="s">
        <v>1180</v>
      </c>
      <c r="G7" s="115"/>
      <c r="H7" s="115" t="s">
        <v>1181</v>
      </c>
      <c r="I7" s="111" t="s">
        <v>5</v>
      </c>
      <c r="J7" s="101" t="s">
        <v>1189</v>
      </c>
      <c r="K7" s="102"/>
      <c r="L7" s="115"/>
      <c r="M7" s="115"/>
      <c r="N7" s="115"/>
      <c r="O7" s="115"/>
      <c r="P7" s="115"/>
      <c r="Q7" s="115"/>
      <c r="R7" s="115"/>
      <c r="S7" s="115"/>
      <c r="T7" s="115"/>
      <c r="U7" s="115"/>
      <c r="V7" s="115"/>
      <c r="W7" s="115"/>
      <c r="X7" s="115"/>
      <c r="Y7" s="115"/>
      <c r="Z7" s="115"/>
      <c r="AA7" s="115"/>
      <c r="AB7" s="115"/>
      <c r="AC7" s="115"/>
      <c r="AD7" s="115"/>
      <c r="AE7" s="115"/>
      <c r="AF7" s="115"/>
      <c r="AG7" s="115"/>
      <c r="AH7" s="115"/>
      <c r="AI7" s="115"/>
      <c r="AJ7" s="115"/>
      <c r="AK7" s="115"/>
      <c r="AL7" s="115"/>
      <c r="AM7" s="115"/>
      <c r="AN7" s="115"/>
      <c r="AO7" s="115"/>
      <c r="AP7" s="115"/>
      <c r="AQ7" s="115"/>
      <c r="AR7" s="115"/>
      <c r="AS7" s="115"/>
      <c r="AT7" s="115"/>
      <c r="AU7" s="115"/>
      <c r="AV7" s="115"/>
      <c r="AW7" s="115"/>
      <c r="AX7" s="115"/>
    </row>
    <row r="8" spans="1:50" s="117" customFormat="1" ht="288">
      <c r="A8" s="114" t="s">
        <v>1190</v>
      </c>
      <c r="B8" s="114"/>
      <c r="C8" s="115"/>
      <c r="D8" s="114" t="s">
        <v>1190</v>
      </c>
      <c r="E8" s="116"/>
      <c r="F8" s="118" t="s">
        <v>1180</v>
      </c>
      <c r="G8" s="115"/>
      <c r="H8" s="115" t="s">
        <v>1191</v>
      </c>
      <c r="I8" s="111" t="s">
        <v>5</v>
      </c>
      <c r="J8" s="101" t="s">
        <v>1192</v>
      </c>
      <c r="K8" s="102"/>
      <c r="L8" s="115"/>
      <c r="M8" s="115"/>
      <c r="N8" s="115"/>
      <c r="O8" s="115"/>
      <c r="P8" s="115"/>
      <c r="Q8" s="115"/>
      <c r="R8" s="115"/>
      <c r="S8" s="115"/>
      <c r="T8" s="115"/>
      <c r="U8" s="115"/>
      <c r="V8" s="115"/>
      <c r="W8" s="115"/>
      <c r="X8" s="115"/>
      <c r="Y8" s="115"/>
      <c r="Z8" s="115"/>
      <c r="AA8" s="115"/>
      <c r="AB8" s="115"/>
      <c r="AC8" s="115"/>
      <c r="AD8" s="115"/>
      <c r="AE8" s="115"/>
      <c r="AF8" s="115"/>
      <c r="AG8" s="115"/>
      <c r="AH8" s="115"/>
      <c r="AI8" s="115"/>
      <c r="AJ8" s="115"/>
      <c r="AK8" s="115"/>
      <c r="AL8" s="115"/>
      <c r="AM8" s="115"/>
      <c r="AN8" s="115"/>
      <c r="AO8" s="115"/>
      <c r="AP8" s="115"/>
      <c r="AQ8" s="115"/>
      <c r="AR8" s="115"/>
      <c r="AS8" s="115"/>
      <c r="AT8" s="115"/>
      <c r="AU8" s="115"/>
      <c r="AV8" s="115"/>
      <c r="AW8" s="115"/>
      <c r="AX8" s="115"/>
    </row>
    <row r="9" spans="1:50" s="117" customFormat="1" ht="335">
      <c r="A9" s="114" t="s">
        <v>1193</v>
      </c>
      <c r="B9" s="114"/>
      <c r="C9" s="115"/>
      <c r="D9" s="114" t="s">
        <v>1193</v>
      </c>
      <c r="E9" s="116"/>
      <c r="F9" s="118" t="s">
        <v>1180</v>
      </c>
      <c r="G9" s="115"/>
      <c r="H9" s="115" t="s">
        <v>1181</v>
      </c>
      <c r="I9" s="111" t="s">
        <v>5</v>
      </c>
      <c r="J9" s="101" t="s">
        <v>1194</v>
      </c>
      <c r="K9" s="102"/>
      <c r="L9" s="115"/>
      <c r="M9" s="115"/>
      <c r="N9" s="115"/>
      <c r="O9" s="115"/>
      <c r="P9" s="115"/>
      <c r="Q9" s="115"/>
      <c r="R9" s="115"/>
      <c r="S9" s="115"/>
      <c r="T9" s="115"/>
      <c r="U9" s="115"/>
      <c r="V9" s="115"/>
      <c r="W9" s="115"/>
      <c r="X9" s="115"/>
      <c r="Y9" s="115"/>
      <c r="Z9" s="115"/>
      <c r="AA9" s="115"/>
      <c r="AB9" s="115"/>
      <c r="AC9" s="115"/>
      <c r="AD9" s="115"/>
      <c r="AE9" s="115"/>
      <c r="AF9" s="115"/>
      <c r="AG9" s="115"/>
      <c r="AH9" s="115"/>
      <c r="AI9" s="115"/>
      <c r="AJ9" s="115"/>
      <c r="AK9" s="115"/>
      <c r="AL9" s="115"/>
      <c r="AM9" s="115"/>
      <c r="AN9" s="115"/>
      <c r="AO9" s="115"/>
      <c r="AP9" s="115"/>
      <c r="AQ9" s="115"/>
      <c r="AR9" s="115"/>
      <c r="AS9" s="115"/>
      <c r="AT9" s="115"/>
      <c r="AU9" s="115"/>
      <c r="AV9" s="115"/>
      <c r="AW9" s="115"/>
      <c r="AX9" s="115"/>
    </row>
    <row r="10" spans="1:50" s="117" customFormat="1" ht="160">
      <c r="A10" s="114" t="s">
        <v>1195</v>
      </c>
      <c r="B10" s="114"/>
      <c r="C10" s="115"/>
      <c r="D10" s="114" t="s">
        <v>1195</v>
      </c>
      <c r="E10" s="116"/>
      <c r="F10" s="118" t="s">
        <v>1180</v>
      </c>
      <c r="G10" s="115"/>
      <c r="H10" s="115" t="s">
        <v>1181</v>
      </c>
      <c r="I10" s="111" t="s">
        <v>5</v>
      </c>
      <c r="J10" s="101" t="s">
        <v>1196</v>
      </c>
      <c r="K10" s="102"/>
      <c r="L10" s="115"/>
      <c r="M10" s="115"/>
      <c r="N10" s="115"/>
      <c r="O10" s="115"/>
      <c r="P10" s="115"/>
      <c r="Q10" s="115"/>
      <c r="R10" s="115"/>
      <c r="S10" s="115"/>
      <c r="T10" s="115"/>
      <c r="U10" s="115"/>
      <c r="V10" s="115"/>
      <c r="W10" s="115"/>
      <c r="X10" s="115"/>
      <c r="Y10" s="115"/>
      <c r="Z10" s="115"/>
      <c r="AA10" s="115"/>
      <c r="AB10" s="115"/>
      <c r="AC10" s="115"/>
      <c r="AD10" s="115"/>
      <c r="AE10" s="115"/>
      <c r="AF10" s="115"/>
      <c r="AG10" s="115"/>
      <c r="AH10" s="115"/>
      <c r="AI10" s="115"/>
      <c r="AJ10" s="115"/>
      <c r="AK10" s="115"/>
      <c r="AL10" s="115"/>
      <c r="AM10" s="115"/>
      <c r="AN10" s="115"/>
      <c r="AO10" s="115"/>
      <c r="AP10" s="115"/>
      <c r="AQ10" s="115"/>
      <c r="AR10" s="115"/>
      <c r="AS10" s="115"/>
      <c r="AT10" s="115"/>
      <c r="AU10" s="115"/>
      <c r="AV10" s="115"/>
      <c r="AW10" s="115"/>
      <c r="AX10" s="115"/>
    </row>
    <row r="11" spans="1:50" ht="32">
      <c r="A11" s="34" t="s">
        <v>580</v>
      </c>
      <c r="B11" s="34"/>
      <c r="C11" s="2"/>
      <c r="D11" s="34" t="s">
        <v>582</v>
      </c>
      <c r="E11" s="4"/>
      <c r="F11" s="96" t="s">
        <v>1178</v>
      </c>
      <c r="G11" s="2"/>
      <c r="H11" s="115" t="s">
        <v>1179</v>
      </c>
      <c r="I11" s="111" t="s">
        <v>5</v>
      </c>
      <c r="J11" s="97"/>
      <c r="K11" s="10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row>
    <row r="12" spans="1:50" ht="48">
      <c r="A12" s="34" t="s">
        <v>585</v>
      </c>
      <c r="B12" s="34"/>
      <c r="C12" s="2"/>
      <c r="D12" s="34" t="s">
        <v>586</v>
      </c>
      <c r="E12" s="4"/>
      <c r="F12" s="104" t="s">
        <v>1197</v>
      </c>
      <c r="G12" s="2"/>
      <c r="H12" s="115" t="s">
        <v>1179</v>
      </c>
      <c r="I12" s="111" t="s">
        <v>5</v>
      </c>
      <c r="J12" s="97"/>
      <c r="K12" s="10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row>
    <row r="13" spans="1:50" s="117" customFormat="1" ht="48">
      <c r="A13" s="114" t="s">
        <v>1198</v>
      </c>
      <c r="B13" s="114"/>
      <c r="C13" s="115"/>
      <c r="D13" s="114" t="s">
        <v>1198</v>
      </c>
      <c r="E13" s="116"/>
      <c r="F13" s="118" t="s">
        <v>1180</v>
      </c>
      <c r="G13" s="115"/>
      <c r="H13" s="115" t="s">
        <v>1181</v>
      </c>
      <c r="I13" s="111" t="s">
        <v>5</v>
      </c>
      <c r="J13" s="111"/>
      <c r="K13" s="102"/>
      <c r="L13" s="115"/>
      <c r="M13" s="115"/>
      <c r="N13" s="115"/>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row>
    <row r="14" spans="1:50" s="117" customFormat="1" ht="64">
      <c r="A14" s="114" t="s">
        <v>1199</v>
      </c>
      <c r="B14" s="114"/>
      <c r="C14" s="115"/>
      <c r="D14" s="114" t="s">
        <v>1199</v>
      </c>
      <c r="E14" s="116"/>
      <c r="F14" s="118" t="s">
        <v>1180</v>
      </c>
      <c r="G14" s="115"/>
      <c r="H14" s="115" t="s">
        <v>1181</v>
      </c>
      <c r="I14" s="111" t="s">
        <v>5</v>
      </c>
      <c r="J14" s="111"/>
      <c r="K14" s="102"/>
      <c r="L14" s="115"/>
      <c r="M14" s="115"/>
      <c r="N14" s="115"/>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row>
    <row r="15" spans="1:50" s="117" customFormat="1" ht="48">
      <c r="A15" s="114" t="s">
        <v>1200</v>
      </c>
      <c r="B15" s="114"/>
      <c r="C15" s="115"/>
      <c r="D15" s="114" t="s">
        <v>1200</v>
      </c>
      <c r="E15" s="116"/>
      <c r="F15" s="118" t="s">
        <v>1180</v>
      </c>
      <c r="G15" s="115"/>
      <c r="H15" s="115" t="s">
        <v>1181</v>
      </c>
      <c r="I15" s="111" t="s">
        <v>5</v>
      </c>
      <c r="J15" s="111"/>
      <c r="K15" s="102"/>
      <c r="L15" s="115"/>
      <c r="M15" s="115"/>
      <c r="N15" s="115"/>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row>
    <row r="16" spans="1:50" s="117" customFormat="1" ht="48">
      <c r="A16" s="114" t="s">
        <v>1201</v>
      </c>
      <c r="B16" s="114"/>
      <c r="C16" s="115"/>
      <c r="D16" s="114" t="s">
        <v>1201</v>
      </c>
      <c r="E16" s="116"/>
      <c r="F16" s="118" t="s">
        <v>1180</v>
      </c>
      <c r="G16" s="115"/>
      <c r="H16" s="115" t="s">
        <v>1191</v>
      </c>
      <c r="I16" s="111" t="s">
        <v>5</v>
      </c>
      <c r="J16" s="111"/>
      <c r="K16" s="102"/>
      <c r="L16" s="115"/>
      <c r="M16" s="115"/>
      <c r="N16" s="115"/>
      <c r="O16" s="115"/>
      <c r="P16" s="115"/>
      <c r="Q16" s="115"/>
      <c r="R16" s="115"/>
      <c r="S16" s="115"/>
      <c r="T16" s="115"/>
      <c r="U16" s="115"/>
      <c r="V16" s="115"/>
      <c r="W16" s="115"/>
      <c r="X16" s="115"/>
      <c r="Y16" s="115"/>
      <c r="Z16" s="115"/>
      <c r="AA16" s="115"/>
      <c r="AB16" s="115"/>
      <c r="AC16" s="115"/>
      <c r="AD16" s="115"/>
      <c r="AE16" s="115"/>
      <c r="AF16" s="115"/>
      <c r="AG16" s="115"/>
      <c r="AH16" s="115"/>
      <c r="AI16" s="115"/>
      <c r="AJ16" s="115"/>
      <c r="AK16" s="115"/>
      <c r="AL16" s="115"/>
      <c r="AM16" s="115"/>
      <c r="AN16" s="115"/>
      <c r="AO16" s="115"/>
      <c r="AP16" s="115"/>
      <c r="AQ16" s="115"/>
      <c r="AR16" s="115"/>
      <c r="AS16" s="115"/>
      <c r="AT16" s="115"/>
      <c r="AU16" s="115"/>
      <c r="AV16" s="115"/>
      <c r="AW16" s="115"/>
      <c r="AX16" s="115"/>
    </row>
    <row r="17" spans="1:50" ht="48">
      <c r="A17" s="34" t="s">
        <v>606</v>
      </c>
      <c r="B17" s="34"/>
      <c r="C17" s="2"/>
      <c r="D17" s="34" t="s">
        <v>608</v>
      </c>
      <c r="E17" s="4"/>
      <c r="F17" s="96" t="s">
        <v>1178</v>
      </c>
      <c r="G17" s="2"/>
      <c r="H17" s="115" t="s">
        <v>1179</v>
      </c>
      <c r="I17" s="111" t="s">
        <v>5</v>
      </c>
      <c r="J17" s="97"/>
      <c r="K17" s="10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row>
    <row r="18" spans="1:50" ht="48">
      <c r="A18" s="34" t="s">
        <v>616</v>
      </c>
      <c r="B18" s="34"/>
      <c r="C18" s="2"/>
      <c r="D18" s="34" t="s">
        <v>608</v>
      </c>
      <c r="E18" s="4"/>
      <c r="F18" s="96" t="s">
        <v>1178</v>
      </c>
      <c r="G18" s="2"/>
      <c r="H18" s="115" t="s">
        <v>1179</v>
      </c>
      <c r="I18" s="111" t="s">
        <v>5</v>
      </c>
      <c r="J18" s="97"/>
      <c r="K18" s="10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row>
    <row r="19" spans="1:50" s="113" customFormat="1" ht="48">
      <c r="A19" s="101" t="s">
        <v>1202</v>
      </c>
      <c r="B19" s="101"/>
      <c r="C19" s="111"/>
      <c r="D19" s="101" t="s">
        <v>1202</v>
      </c>
      <c r="E19" s="101"/>
      <c r="F19" s="112" t="s">
        <v>1180</v>
      </c>
      <c r="G19" s="111"/>
      <c r="H19" s="115" t="s">
        <v>1181</v>
      </c>
      <c r="I19" s="111" t="s">
        <v>5</v>
      </c>
      <c r="J19" s="111"/>
      <c r="K19" s="102"/>
      <c r="L19" s="111"/>
      <c r="M19" s="111"/>
      <c r="N19" s="111"/>
      <c r="O19" s="111"/>
      <c r="P19" s="111"/>
      <c r="Q19" s="111"/>
      <c r="R19" s="111"/>
      <c r="S19" s="111"/>
      <c r="T19" s="111"/>
      <c r="U19" s="111"/>
      <c r="V19" s="111"/>
      <c r="W19" s="111"/>
      <c r="X19" s="111"/>
      <c r="Y19" s="111"/>
      <c r="Z19" s="111"/>
      <c r="AA19" s="111"/>
      <c r="AB19" s="111"/>
      <c r="AC19" s="111"/>
      <c r="AD19" s="111"/>
      <c r="AE19" s="111"/>
      <c r="AF19" s="111"/>
      <c r="AG19" s="111"/>
      <c r="AH19" s="111"/>
      <c r="AI19" s="111"/>
      <c r="AJ19" s="111"/>
      <c r="AK19" s="111"/>
      <c r="AL19" s="111"/>
      <c r="AM19" s="111"/>
      <c r="AN19" s="111"/>
      <c r="AO19" s="111"/>
      <c r="AP19" s="111"/>
      <c r="AQ19" s="111"/>
      <c r="AR19" s="111"/>
      <c r="AS19" s="111"/>
      <c r="AT19" s="111"/>
      <c r="AU19" s="111"/>
      <c r="AV19" s="111"/>
      <c r="AW19" s="111"/>
      <c r="AX19" s="111"/>
    </row>
    <row r="20" spans="1:50" s="117" customFormat="1" ht="48">
      <c r="A20" s="114" t="s">
        <v>1203</v>
      </c>
      <c r="B20" s="114"/>
      <c r="C20" s="115"/>
      <c r="D20" s="114" t="s">
        <v>1203</v>
      </c>
      <c r="E20" s="116"/>
      <c r="F20" s="118" t="s">
        <v>1180</v>
      </c>
      <c r="G20" s="115"/>
      <c r="H20" s="115" t="s">
        <v>1181</v>
      </c>
      <c r="I20" s="111" t="s">
        <v>5</v>
      </c>
      <c r="J20" s="111"/>
      <c r="K20" s="102"/>
      <c r="L20" s="115"/>
      <c r="M20" s="115"/>
      <c r="N20" s="115"/>
      <c r="O20" s="115"/>
      <c r="P20" s="115"/>
      <c r="Q20" s="115"/>
      <c r="R20" s="115"/>
      <c r="S20" s="115"/>
      <c r="T20" s="115"/>
      <c r="U20" s="115"/>
      <c r="V20" s="115"/>
      <c r="W20" s="115"/>
      <c r="X20" s="115"/>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row>
    <row r="21" spans="1:50" s="117" customFormat="1" ht="80">
      <c r="A21" s="114" t="s">
        <v>1204</v>
      </c>
      <c r="B21" s="114"/>
      <c r="C21" s="115"/>
      <c r="D21" s="114" t="s">
        <v>1204</v>
      </c>
      <c r="E21" s="116"/>
      <c r="F21" s="118" t="s">
        <v>1180</v>
      </c>
      <c r="G21" s="115"/>
      <c r="H21" s="115" t="s">
        <v>1181</v>
      </c>
      <c r="I21" s="111" t="s">
        <v>5</v>
      </c>
      <c r="J21" s="111"/>
      <c r="K21" s="102"/>
      <c r="L21" s="115"/>
      <c r="M21" s="115"/>
      <c r="N21" s="115"/>
      <c r="O21" s="115"/>
      <c r="P21" s="115"/>
      <c r="Q21" s="115"/>
      <c r="R21" s="115"/>
      <c r="S21" s="115"/>
      <c r="T21" s="115"/>
      <c r="U21" s="115"/>
      <c r="V21" s="115"/>
      <c r="W21" s="115"/>
      <c r="X21" s="115"/>
      <c r="Y21" s="115"/>
      <c r="Z21" s="115"/>
      <c r="AA21" s="115"/>
      <c r="AB21" s="115"/>
      <c r="AC21" s="115"/>
      <c r="AD21" s="115"/>
      <c r="AE21" s="115"/>
      <c r="AF21" s="115"/>
      <c r="AG21" s="115"/>
      <c r="AH21" s="115"/>
      <c r="AI21" s="115"/>
      <c r="AJ21" s="115"/>
      <c r="AK21" s="115"/>
      <c r="AL21" s="115"/>
      <c r="AM21" s="115"/>
      <c r="AN21" s="115"/>
      <c r="AO21" s="115"/>
      <c r="AP21" s="115"/>
      <c r="AQ21" s="115"/>
      <c r="AR21" s="115"/>
      <c r="AS21" s="115"/>
      <c r="AT21" s="115"/>
      <c r="AU21" s="115"/>
      <c r="AV21" s="115"/>
      <c r="AW21" s="115"/>
      <c r="AX21" s="115"/>
    </row>
    <row r="22" spans="1:50" s="117" customFormat="1" ht="64">
      <c r="A22" s="114" t="s">
        <v>1205</v>
      </c>
      <c r="B22" s="114"/>
      <c r="C22" s="115"/>
      <c r="D22" s="114" t="s">
        <v>1205</v>
      </c>
      <c r="E22" s="116"/>
      <c r="F22" s="118" t="s">
        <v>1180</v>
      </c>
      <c r="G22" s="115"/>
      <c r="H22" s="115" t="s">
        <v>1181</v>
      </c>
      <c r="I22" s="111" t="s">
        <v>5</v>
      </c>
      <c r="J22" s="111"/>
      <c r="K22" s="102"/>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row>
    <row r="23" spans="1:50" s="117" customFormat="1" ht="48">
      <c r="A23" s="132" t="s">
        <v>621</v>
      </c>
      <c r="B23" s="114"/>
      <c r="C23" s="115"/>
      <c r="D23" s="114" t="s">
        <v>621</v>
      </c>
      <c r="E23" s="116"/>
      <c r="F23" s="118" t="s">
        <v>1180</v>
      </c>
      <c r="G23" s="115"/>
      <c r="H23" s="127" t="s">
        <v>341</v>
      </c>
      <c r="I23" s="111" t="s">
        <v>5</v>
      </c>
      <c r="J23" s="111"/>
      <c r="K23" s="102"/>
      <c r="L23" s="115"/>
      <c r="M23" s="115"/>
      <c r="N23" s="115"/>
      <c r="O23" s="115"/>
      <c r="P23" s="115"/>
      <c r="Q23" s="115"/>
      <c r="R23" s="115"/>
      <c r="S23" s="115"/>
      <c r="T23" s="115"/>
      <c r="U23" s="115"/>
      <c r="V23" s="115"/>
      <c r="W23" s="115"/>
      <c r="X23" s="115"/>
      <c r="Y23" s="115"/>
      <c r="Z23" s="115"/>
      <c r="AA23" s="115"/>
      <c r="AB23" s="115"/>
      <c r="AC23" s="115"/>
      <c r="AD23" s="115"/>
      <c r="AE23" s="115"/>
      <c r="AF23" s="115"/>
      <c r="AG23" s="115"/>
      <c r="AH23" s="115"/>
      <c r="AI23" s="115"/>
      <c r="AJ23" s="115"/>
      <c r="AK23" s="115"/>
      <c r="AL23" s="115"/>
      <c r="AM23" s="115"/>
      <c r="AN23" s="115"/>
      <c r="AO23" s="115"/>
      <c r="AP23" s="115"/>
      <c r="AQ23" s="115"/>
      <c r="AR23" s="115"/>
      <c r="AS23" s="115"/>
      <c r="AT23" s="115"/>
      <c r="AU23" s="115"/>
      <c r="AV23" s="115"/>
      <c r="AW23" s="115"/>
      <c r="AX23" s="115"/>
    </row>
    <row r="24" spans="1:50" s="117" customFormat="1" ht="32">
      <c r="A24" s="132" t="s">
        <v>634</v>
      </c>
      <c r="B24" s="114"/>
      <c r="C24" s="115"/>
      <c r="D24" s="114"/>
      <c r="E24" s="116"/>
      <c r="F24" s="118" t="s">
        <v>1180</v>
      </c>
      <c r="G24" s="115"/>
      <c r="H24" s="133" t="s">
        <v>341</v>
      </c>
      <c r="I24" s="111" t="s">
        <v>5</v>
      </c>
      <c r="J24" s="111"/>
      <c r="K24" s="102"/>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row>
    <row r="25" spans="1:50" ht="48">
      <c r="A25" s="34" t="s">
        <v>672</v>
      </c>
      <c r="B25" s="34"/>
      <c r="C25" s="2"/>
      <c r="D25" s="34" t="s">
        <v>674</v>
      </c>
      <c r="E25" s="4"/>
      <c r="F25" s="96" t="s">
        <v>1178</v>
      </c>
      <c r="G25" s="2"/>
      <c r="H25" s="115" t="s">
        <v>1179</v>
      </c>
      <c r="I25" s="111" t="s">
        <v>5</v>
      </c>
      <c r="J25" s="97"/>
      <c r="K25" s="10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row>
    <row r="26" spans="1:50" ht="48">
      <c r="A26" s="34" t="s">
        <v>677</v>
      </c>
      <c r="B26" s="34"/>
      <c r="C26" s="2"/>
      <c r="D26" s="34" t="s">
        <v>674</v>
      </c>
      <c r="E26" s="4"/>
      <c r="F26" s="96" t="s">
        <v>1178</v>
      </c>
      <c r="G26" s="2"/>
      <c r="H26" s="115" t="s">
        <v>1179</v>
      </c>
      <c r="I26" s="111" t="s">
        <v>5</v>
      </c>
      <c r="J26" s="97"/>
      <c r="K26" s="10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row>
    <row r="27" spans="1:50" ht="16">
      <c r="A27" s="105" t="s">
        <v>1206</v>
      </c>
      <c r="B27" s="34"/>
      <c r="C27" s="2"/>
      <c r="D27" s="34"/>
      <c r="E27" s="4"/>
      <c r="F27" s="131" t="s">
        <v>1180</v>
      </c>
      <c r="G27" s="2"/>
      <c r="H27" s="127" t="s">
        <v>341</v>
      </c>
      <c r="I27" s="111" t="s">
        <v>5</v>
      </c>
      <c r="J27" s="97"/>
      <c r="K27" s="10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row>
    <row r="28" spans="1:50" s="110" customFormat="1" ht="16">
      <c r="A28" s="105" t="s">
        <v>1207</v>
      </c>
      <c r="B28" s="105"/>
      <c r="C28" s="106"/>
      <c r="D28" s="105"/>
      <c r="E28" s="107"/>
      <c r="F28" s="131" t="s">
        <v>1180</v>
      </c>
      <c r="G28" s="106"/>
      <c r="H28" s="127" t="s">
        <v>341</v>
      </c>
      <c r="I28" s="111" t="s">
        <v>5</v>
      </c>
      <c r="J28" s="108"/>
      <c r="K28" s="109"/>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06"/>
      <c r="AO28" s="106"/>
      <c r="AP28" s="106"/>
      <c r="AQ28" s="106"/>
      <c r="AR28" s="106"/>
      <c r="AS28" s="106"/>
      <c r="AT28" s="106"/>
      <c r="AU28" s="106"/>
      <c r="AV28" s="106"/>
      <c r="AW28" s="106"/>
      <c r="AX28" s="106"/>
    </row>
    <row r="29" spans="1:50" ht="16">
      <c r="A29" s="34" t="s">
        <v>1208</v>
      </c>
      <c r="B29" s="34"/>
      <c r="C29" s="2"/>
      <c r="D29" s="34"/>
      <c r="E29" s="4"/>
      <c r="F29" s="131" t="s">
        <v>1180</v>
      </c>
      <c r="G29" s="2"/>
      <c r="H29" s="115" t="s">
        <v>1186</v>
      </c>
      <c r="I29" s="111" t="s">
        <v>5</v>
      </c>
      <c r="J29" s="97"/>
      <c r="K29" s="10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row>
    <row r="30" spans="1:50" s="117" customFormat="1" ht="32">
      <c r="A30" s="130" t="s">
        <v>1209</v>
      </c>
      <c r="B30" s="114"/>
      <c r="C30" s="115"/>
      <c r="D30" s="114" t="s">
        <v>1210</v>
      </c>
      <c r="E30" s="116"/>
      <c r="F30" s="118" t="s">
        <v>1211</v>
      </c>
      <c r="G30" s="115"/>
      <c r="H30" s="128" t="s">
        <v>1179</v>
      </c>
      <c r="I30" s="111" t="s">
        <v>5</v>
      </c>
      <c r="J30" s="111"/>
      <c r="K30" s="102"/>
      <c r="L30" s="115"/>
      <c r="M30" s="115"/>
      <c r="N30" s="115"/>
      <c r="O30" s="115"/>
      <c r="P30" s="115"/>
      <c r="Q30" s="115"/>
      <c r="R30" s="115"/>
      <c r="S30" s="115"/>
      <c r="T30" s="115"/>
      <c r="U30" s="115"/>
      <c r="V30" s="115"/>
      <c r="W30" s="115"/>
      <c r="X30" s="115"/>
      <c r="Y30" s="115"/>
      <c r="Z30" s="115"/>
      <c r="AA30" s="115"/>
      <c r="AB30" s="115"/>
      <c r="AC30" s="115"/>
      <c r="AD30" s="115"/>
      <c r="AE30" s="115"/>
      <c r="AF30" s="115"/>
      <c r="AG30" s="115"/>
      <c r="AH30" s="115"/>
      <c r="AI30" s="115"/>
      <c r="AJ30" s="115"/>
      <c r="AK30" s="115"/>
      <c r="AL30" s="115"/>
      <c r="AM30" s="115"/>
      <c r="AN30" s="115"/>
      <c r="AO30" s="115"/>
      <c r="AP30" s="115"/>
      <c r="AQ30" s="115"/>
      <c r="AR30" s="115"/>
      <c r="AS30" s="115"/>
      <c r="AT30" s="115"/>
      <c r="AU30" s="115"/>
      <c r="AV30" s="115"/>
      <c r="AW30" s="115"/>
      <c r="AX30" s="115"/>
    </row>
    <row r="31" spans="1:50" ht="16">
      <c r="A31" s="105" t="s">
        <v>764</v>
      </c>
      <c r="B31" s="34"/>
      <c r="C31" s="2"/>
      <c r="D31" s="34"/>
      <c r="E31" s="4"/>
      <c r="F31" s="131" t="s">
        <v>1180</v>
      </c>
      <c r="G31" s="2"/>
      <c r="H31" s="127" t="s">
        <v>341</v>
      </c>
      <c r="I31" s="111" t="s">
        <v>5</v>
      </c>
      <c r="J31" s="97"/>
      <c r="K31" s="10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row>
    <row r="32" spans="1:50" s="117" customFormat="1" ht="16">
      <c r="A32" s="114" t="s">
        <v>1212</v>
      </c>
      <c r="B32" s="114"/>
      <c r="C32" s="115"/>
      <c r="D32" s="114"/>
      <c r="E32" s="116"/>
      <c r="F32" s="118" t="s">
        <v>1180</v>
      </c>
      <c r="G32" s="115"/>
      <c r="H32" s="115" t="s">
        <v>1186</v>
      </c>
      <c r="I32" s="111" t="s">
        <v>5</v>
      </c>
      <c r="J32" s="111" t="s">
        <v>1213</v>
      </c>
      <c r="K32" s="102"/>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row>
    <row r="33" spans="1:50" ht="16">
      <c r="A33" s="105" t="s">
        <v>1214</v>
      </c>
      <c r="B33" s="34"/>
      <c r="C33" s="2"/>
      <c r="D33" s="34"/>
      <c r="E33" s="4"/>
      <c r="F33" s="131" t="s">
        <v>1180</v>
      </c>
      <c r="G33" s="2"/>
      <c r="H33" s="127" t="s">
        <v>341</v>
      </c>
      <c r="I33" s="111" t="s">
        <v>5</v>
      </c>
      <c r="J33" s="97"/>
      <c r="K33" s="10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row>
    <row r="34" spans="1:50" s="117" customFormat="1" ht="16">
      <c r="A34" s="114" t="s">
        <v>1215</v>
      </c>
      <c r="B34" s="114"/>
      <c r="C34" s="115"/>
      <c r="D34" s="114"/>
      <c r="E34" s="116"/>
      <c r="F34" s="118" t="s">
        <v>1180</v>
      </c>
      <c r="G34" s="115"/>
      <c r="H34" s="115" t="s">
        <v>1186</v>
      </c>
      <c r="I34" s="111" t="s">
        <v>5</v>
      </c>
      <c r="J34" s="111"/>
      <c r="K34" s="102"/>
      <c r="L34" s="115"/>
      <c r="M34" s="115"/>
      <c r="N34" s="115"/>
      <c r="O34" s="115"/>
      <c r="P34" s="115"/>
      <c r="Q34" s="115"/>
      <c r="R34" s="115"/>
      <c r="S34" s="115"/>
      <c r="T34" s="115"/>
      <c r="U34" s="115"/>
      <c r="V34" s="115"/>
      <c r="W34" s="115"/>
      <c r="X34" s="115"/>
      <c r="Y34" s="115"/>
      <c r="Z34" s="115"/>
      <c r="AA34" s="115"/>
      <c r="AB34" s="115"/>
      <c r="AC34" s="115"/>
      <c r="AD34" s="115"/>
      <c r="AE34" s="115"/>
      <c r="AF34" s="115"/>
      <c r="AG34" s="115"/>
      <c r="AH34" s="115"/>
      <c r="AI34" s="115"/>
      <c r="AJ34" s="115"/>
      <c r="AK34" s="115"/>
      <c r="AL34" s="115"/>
      <c r="AM34" s="115"/>
      <c r="AN34" s="115"/>
      <c r="AO34" s="115"/>
      <c r="AP34" s="115"/>
      <c r="AQ34" s="115"/>
      <c r="AR34" s="115"/>
      <c r="AS34" s="115"/>
      <c r="AT34" s="115"/>
      <c r="AU34" s="115"/>
      <c r="AV34" s="115"/>
      <c r="AW34" s="115"/>
      <c r="AX34" s="115"/>
    </row>
    <row r="35" spans="1:50" s="117" customFormat="1" ht="48">
      <c r="A35" s="132" t="s">
        <v>1216</v>
      </c>
      <c r="B35" s="114"/>
      <c r="C35" s="115"/>
      <c r="D35" s="114" t="s">
        <v>1217</v>
      </c>
      <c r="E35" s="116"/>
      <c r="F35" s="118" t="s">
        <v>1180</v>
      </c>
      <c r="G35" s="115"/>
      <c r="H35" s="133" t="s">
        <v>341</v>
      </c>
      <c r="I35" s="111" t="s">
        <v>5</v>
      </c>
      <c r="J35" s="111"/>
      <c r="K35" s="102"/>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row>
    <row r="36" spans="1:50" s="117" customFormat="1" ht="48">
      <c r="A36" s="114" t="s">
        <v>1218</v>
      </c>
      <c r="B36" s="114"/>
      <c r="C36" s="115"/>
      <c r="D36" s="114" t="s">
        <v>1218</v>
      </c>
      <c r="E36" s="116"/>
      <c r="F36" s="118" t="s">
        <v>1180</v>
      </c>
      <c r="G36" s="115"/>
      <c r="H36" s="115" t="s">
        <v>1181</v>
      </c>
      <c r="I36" s="111" t="s">
        <v>5</v>
      </c>
      <c r="J36" s="111"/>
      <c r="K36" s="102"/>
      <c r="L36" s="115"/>
      <c r="M36" s="115"/>
      <c r="N36" s="115"/>
      <c r="O36" s="115"/>
      <c r="P36" s="115"/>
      <c r="Q36" s="115"/>
      <c r="R36" s="115"/>
      <c r="S36" s="115"/>
      <c r="T36" s="115"/>
      <c r="U36" s="115"/>
      <c r="V36" s="115"/>
      <c r="W36" s="115"/>
      <c r="X36" s="115"/>
      <c r="Y36" s="115"/>
      <c r="Z36" s="115"/>
      <c r="AA36" s="115"/>
      <c r="AB36" s="115"/>
      <c r="AC36" s="115"/>
      <c r="AD36" s="115"/>
      <c r="AE36" s="115"/>
      <c r="AF36" s="115"/>
      <c r="AG36" s="115"/>
      <c r="AH36" s="115"/>
      <c r="AI36" s="115"/>
      <c r="AJ36" s="115"/>
      <c r="AK36" s="115"/>
      <c r="AL36" s="115"/>
      <c r="AM36" s="115"/>
      <c r="AN36" s="115"/>
      <c r="AO36" s="115"/>
      <c r="AP36" s="115"/>
      <c r="AQ36" s="115"/>
      <c r="AR36" s="115"/>
      <c r="AS36" s="115"/>
      <c r="AT36" s="115"/>
      <c r="AU36" s="115"/>
      <c r="AV36" s="115"/>
      <c r="AW36" s="115"/>
      <c r="AX36" s="115"/>
    </row>
    <row r="37" spans="1:50" s="117" customFormat="1" ht="48">
      <c r="A37" s="114" t="s">
        <v>1219</v>
      </c>
      <c r="B37" s="114"/>
      <c r="C37" s="115"/>
      <c r="D37" s="114" t="s">
        <v>1219</v>
      </c>
      <c r="E37" s="116"/>
      <c r="F37" s="118" t="s">
        <v>1180</v>
      </c>
      <c r="G37" s="115"/>
      <c r="H37" s="115" t="s">
        <v>1181</v>
      </c>
      <c r="I37" s="111" t="s">
        <v>5</v>
      </c>
      <c r="J37" s="111"/>
      <c r="K37" s="102"/>
      <c r="L37" s="115"/>
      <c r="M37" s="115"/>
      <c r="N37" s="115"/>
      <c r="O37" s="115"/>
      <c r="P37" s="115"/>
      <c r="Q37" s="115"/>
      <c r="R37" s="115"/>
      <c r="S37" s="115"/>
      <c r="T37" s="115"/>
      <c r="U37" s="115"/>
      <c r="V37" s="115"/>
      <c r="W37" s="115"/>
      <c r="X37" s="115"/>
      <c r="Y37" s="115"/>
      <c r="Z37" s="115"/>
      <c r="AA37" s="115"/>
      <c r="AB37" s="115"/>
      <c r="AC37" s="115"/>
      <c r="AD37" s="115"/>
      <c r="AE37" s="115"/>
      <c r="AF37" s="115"/>
      <c r="AG37" s="115"/>
      <c r="AH37" s="115"/>
      <c r="AI37" s="115"/>
      <c r="AJ37" s="115"/>
      <c r="AK37" s="115"/>
      <c r="AL37" s="115"/>
      <c r="AM37" s="115"/>
      <c r="AN37" s="115"/>
      <c r="AO37" s="115"/>
      <c r="AP37" s="115"/>
      <c r="AQ37" s="115"/>
      <c r="AR37" s="115"/>
      <c r="AS37" s="115"/>
      <c r="AT37" s="115"/>
      <c r="AU37" s="115"/>
      <c r="AV37" s="115"/>
      <c r="AW37" s="115"/>
      <c r="AX37" s="115"/>
    </row>
    <row r="38" spans="1:50" s="117" customFormat="1" ht="80">
      <c r="A38" s="114" t="s">
        <v>1220</v>
      </c>
      <c r="B38" s="114"/>
      <c r="C38" s="115"/>
      <c r="D38" s="114" t="s">
        <v>1220</v>
      </c>
      <c r="E38" s="116"/>
      <c r="F38" s="118" t="s">
        <v>1180</v>
      </c>
      <c r="G38" s="115"/>
      <c r="H38" s="115" t="s">
        <v>1181</v>
      </c>
      <c r="I38" s="111" t="s">
        <v>5</v>
      </c>
      <c r="J38" s="111"/>
      <c r="K38" s="102"/>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row>
    <row r="39" spans="1:50" s="117" customFormat="1" ht="64">
      <c r="A39" s="114" t="s">
        <v>1221</v>
      </c>
      <c r="B39" s="114"/>
      <c r="C39" s="115"/>
      <c r="D39" s="114" t="s">
        <v>1221</v>
      </c>
      <c r="E39" s="116"/>
      <c r="F39" s="118" t="s">
        <v>1180</v>
      </c>
      <c r="G39" s="115"/>
      <c r="H39" s="115" t="s">
        <v>1181</v>
      </c>
      <c r="I39" s="111" t="s">
        <v>5</v>
      </c>
      <c r="J39" s="111"/>
      <c r="K39" s="102"/>
      <c r="L39" s="115"/>
      <c r="M39" s="115"/>
      <c r="N39" s="115"/>
      <c r="O39" s="115"/>
      <c r="P39" s="115"/>
      <c r="Q39" s="115"/>
      <c r="R39" s="115"/>
      <c r="S39" s="115"/>
      <c r="T39" s="115"/>
      <c r="U39" s="115"/>
      <c r="V39" s="115"/>
      <c r="W39" s="115"/>
      <c r="X39" s="115"/>
      <c r="Y39" s="115"/>
      <c r="Z39" s="115"/>
      <c r="AA39" s="115"/>
      <c r="AB39" s="115"/>
      <c r="AC39" s="115"/>
      <c r="AD39" s="115"/>
      <c r="AE39" s="115"/>
      <c r="AF39" s="115"/>
      <c r="AG39" s="115"/>
      <c r="AH39" s="115"/>
      <c r="AI39" s="115"/>
      <c r="AJ39" s="115"/>
      <c r="AK39" s="115"/>
      <c r="AL39" s="115"/>
      <c r="AM39" s="115"/>
      <c r="AN39" s="115"/>
      <c r="AO39" s="115"/>
      <c r="AP39" s="115"/>
      <c r="AQ39" s="115"/>
      <c r="AR39" s="115"/>
      <c r="AS39" s="115"/>
      <c r="AT39" s="115"/>
      <c r="AU39" s="115"/>
      <c r="AV39" s="115"/>
      <c r="AW39" s="115"/>
      <c r="AX39" s="115"/>
    </row>
    <row r="40" spans="1:50" s="117" customFormat="1" ht="48">
      <c r="A40" s="130" t="s">
        <v>1222</v>
      </c>
      <c r="B40" s="114"/>
      <c r="C40" s="115"/>
      <c r="D40" s="114" t="s">
        <v>1222</v>
      </c>
      <c r="E40" s="116"/>
      <c r="F40" s="118" t="s">
        <v>1180</v>
      </c>
      <c r="G40" s="115"/>
      <c r="H40" s="128" t="s">
        <v>1181</v>
      </c>
      <c r="I40" s="111" t="s">
        <v>5</v>
      </c>
      <c r="J40" s="111"/>
      <c r="K40" s="102"/>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row>
    <row r="41" spans="1:50" s="117" customFormat="1" ht="16">
      <c r="A41" s="130" t="s">
        <v>1223</v>
      </c>
      <c r="B41" s="114"/>
      <c r="C41" s="115"/>
      <c r="D41" s="114"/>
      <c r="E41" s="116"/>
      <c r="F41" s="118" t="s">
        <v>1180</v>
      </c>
      <c r="G41" s="115"/>
      <c r="H41" s="128" t="s">
        <v>1181</v>
      </c>
      <c r="I41" s="111" t="s">
        <v>5</v>
      </c>
      <c r="J41" s="111"/>
      <c r="K41" s="102"/>
      <c r="L41" s="115"/>
      <c r="M41" s="115"/>
      <c r="N41" s="115"/>
      <c r="O41" s="115"/>
      <c r="P41" s="115"/>
      <c r="Q41" s="115"/>
      <c r="R41" s="115"/>
      <c r="S41" s="115"/>
      <c r="T41" s="115"/>
      <c r="U41" s="115"/>
      <c r="V41" s="115"/>
      <c r="W41" s="115"/>
      <c r="X41" s="115"/>
      <c r="Y41" s="115"/>
      <c r="Z41" s="115"/>
      <c r="AA41" s="115"/>
      <c r="AB41" s="115"/>
      <c r="AC41" s="115"/>
      <c r="AD41" s="115"/>
      <c r="AE41" s="115"/>
      <c r="AF41" s="115"/>
      <c r="AG41" s="115"/>
      <c r="AH41" s="115"/>
      <c r="AI41" s="115"/>
      <c r="AJ41" s="115"/>
      <c r="AK41" s="115"/>
      <c r="AL41" s="115"/>
      <c r="AM41" s="115"/>
      <c r="AN41" s="115"/>
      <c r="AO41" s="115"/>
      <c r="AP41" s="115"/>
      <c r="AQ41" s="115"/>
      <c r="AR41" s="115"/>
      <c r="AS41" s="115"/>
      <c r="AT41" s="115"/>
      <c r="AU41" s="115"/>
      <c r="AV41" s="115"/>
      <c r="AW41" s="115"/>
      <c r="AX41" s="115"/>
    </row>
    <row r="42" spans="1:50" s="117" customFormat="1" ht="48">
      <c r="A42" s="137" t="s">
        <v>219</v>
      </c>
      <c r="B42" s="114"/>
      <c r="C42" s="115"/>
      <c r="D42" s="114" t="s">
        <v>219</v>
      </c>
      <c r="E42" s="116"/>
      <c r="F42" s="118" t="s">
        <v>1180</v>
      </c>
      <c r="G42" s="115"/>
      <c r="H42" s="128" t="s">
        <v>1224</v>
      </c>
      <c r="I42" s="111" t="s">
        <v>5</v>
      </c>
      <c r="J42" s="111"/>
      <c r="K42" s="102"/>
      <c r="L42" s="115"/>
      <c r="M42" s="115"/>
      <c r="N42" s="115"/>
      <c r="O42" s="115"/>
      <c r="P42" s="115"/>
      <c r="Q42" s="115"/>
      <c r="R42" s="115"/>
      <c r="S42" s="115"/>
      <c r="T42" s="115"/>
      <c r="U42" s="115"/>
      <c r="V42" s="115"/>
      <c r="W42" s="115"/>
      <c r="X42" s="115"/>
      <c r="Y42" s="115"/>
      <c r="Z42" s="115"/>
      <c r="AA42" s="115"/>
      <c r="AB42" s="115"/>
      <c r="AC42" s="115"/>
      <c r="AD42" s="115"/>
      <c r="AE42" s="115"/>
      <c r="AF42" s="115"/>
      <c r="AG42" s="115"/>
      <c r="AH42" s="115"/>
      <c r="AI42" s="115"/>
      <c r="AJ42" s="115"/>
      <c r="AK42" s="115"/>
      <c r="AL42" s="115"/>
      <c r="AM42" s="115"/>
      <c r="AN42" s="115"/>
      <c r="AO42" s="115"/>
      <c r="AP42" s="115"/>
      <c r="AQ42" s="115"/>
      <c r="AR42" s="115"/>
      <c r="AS42" s="115"/>
      <c r="AT42" s="115"/>
      <c r="AU42" s="115"/>
      <c r="AV42" s="115"/>
      <c r="AW42" s="115"/>
      <c r="AX42" s="115"/>
    </row>
    <row r="43" spans="1:50" s="117" customFormat="1" ht="48">
      <c r="A43" s="114" t="s">
        <v>1225</v>
      </c>
      <c r="B43" s="114"/>
      <c r="C43" s="115"/>
      <c r="D43" s="114" t="s">
        <v>1225</v>
      </c>
      <c r="E43" s="116"/>
      <c r="F43" s="118" t="s">
        <v>1180</v>
      </c>
      <c r="G43" s="115"/>
      <c r="H43" s="115" t="s">
        <v>1181</v>
      </c>
      <c r="I43" s="111" t="s">
        <v>5</v>
      </c>
      <c r="J43" s="111"/>
      <c r="K43" s="102"/>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row>
    <row r="44" spans="1:50" s="117" customFormat="1" ht="48">
      <c r="A44" s="114" t="s">
        <v>1226</v>
      </c>
      <c r="B44" s="114"/>
      <c r="C44" s="115"/>
      <c r="D44" s="114" t="s">
        <v>1226</v>
      </c>
      <c r="E44" s="116"/>
      <c r="F44" s="118" t="s">
        <v>1180</v>
      </c>
      <c r="G44" s="115"/>
      <c r="H44" s="115" t="s">
        <v>1181</v>
      </c>
      <c r="I44" s="111" t="s">
        <v>5</v>
      </c>
      <c r="J44" s="111"/>
      <c r="K44" s="102"/>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row>
    <row r="45" spans="1:50" s="117" customFormat="1" ht="48">
      <c r="A45" s="114" t="s">
        <v>1227</v>
      </c>
      <c r="B45" s="114"/>
      <c r="C45" s="115"/>
      <c r="D45" s="114" t="s">
        <v>1228</v>
      </c>
      <c r="E45" s="116"/>
      <c r="F45" s="118" t="s">
        <v>1180</v>
      </c>
      <c r="G45" s="115"/>
      <c r="H45" s="115" t="s">
        <v>1181</v>
      </c>
      <c r="I45" s="111" t="s">
        <v>5</v>
      </c>
      <c r="J45" s="111"/>
      <c r="K45" s="102"/>
      <c r="L45" s="115"/>
      <c r="M45" s="115"/>
      <c r="N45" s="115"/>
      <c r="O45" s="115"/>
      <c r="P45" s="115"/>
      <c r="Q45" s="115"/>
      <c r="R45" s="115"/>
      <c r="S45" s="115"/>
      <c r="T45" s="115"/>
      <c r="U45" s="115"/>
      <c r="V45" s="115"/>
      <c r="W45" s="115"/>
      <c r="X45" s="115"/>
      <c r="Y45" s="115"/>
      <c r="Z45" s="115"/>
      <c r="AA45" s="115"/>
      <c r="AB45" s="115"/>
      <c r="AC45" s="115"/>
      <c r="AD45" s="115"/>
      <c r="AE45" s="115"/>
      <c r="AF45" s="115"/>
      <c r="AG45" s="115"/>
      <c r="AH45" s="115"/>
      <c r="AI45" s="115"/>
      <c r="AJ45" s="115"/>
      <c r="AK45" s="115"/>
      <c r="AL45" s="115"/>
      <c r="AM45" s="115"/>
      <c r="AN45" s="115"/>
      <c r="AO45" s="115"/>
      <c r="AP45" s="115"/>
      <c r="AQ45" s="115"/>
      <c r="AR45" s="115"/>
      <c r="AS45" s="115"/>
      <c r="AT45" s="115"/>
      <c r="AU45" s="115"/>
      <c r="AV45" s="115"/>
      <c r="AW45" s="115"/>
      <c r="AX45" s="115"/>
    </row>
    <row r="46" spans="1:50" s="117" customFormat="1" ht="48">
      <c r="A46" s="114" t="s">
        <v>1229</v>
      </c>
      <c r="B46" s="114"/>
      <c r="C46" s="115"/>
      <c r="D46" s="114" t="s">
        <v>1229</v>
      </c>
      <c r="E46" s="116"/>
      <c r="F46" s="118" t="s">
        <v>1180</v>
      </c>
      <c r="G46" s="115"/>
      <c r="H46" s="115" t="s">
        <v>1181</v>
      </c>
      <c r="I46" s="111" t="s">
        <v>5</v>
      </c>
      <c r="J46" s="111"/>
      <c r="K46" s="102"/>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row>
    <row r="47" spans="1:50" s="117" customFormat="1" ht="48">
      <c r="A47" s="114" t="s">
        <v>1230</v>
      </c>
      <c r="B47" s="114"/>
      <c r="C47" s="115"/>
      <c r="D47" s="114" t="s">
        <v>1230</v>
      </c>
      <c r="E47" s="116"/>
      <c r="F47" s="118" t="s">
        <v>1180</v>
      </c>
      <c r="G47" s="115"/>
      <c r="H47" s="115" t="s">
        <v>1181</v>
      </c>
      <c r="I47" s="111" t="s">
        <v>5</v>
      </c>
      <c r="J47" s="111"/>
      <c r="K47" s="102"/>
      <c r="L47" s="115"/>
      <c r="M47" s="115"/>
      <c r="N47" s="115"/>
      <c r="O47" s="115"/>
      <c r="P47" s="115"/>
      <c r="Q47" s="115"/>
      <c r="R47" s="115"/>
      <c r="S47" s="115"/>
      <c r="T47" s="115"/>
      <c r="U47" s="115"/>
      <c r="V47" s="115"/>
      <c r="W47" s="115"/>
      <c r="X47" s="115"/>
      <c r="Y47" s="115"/>
      <c r="Z47" s="115"/>
      <c r="AA47" s="115"/>
      <c r="AB47" s="115"/>
      <c r="AC47" s="115"/>
      <c r="AD47" s="115"/>
      <c r="AE47" s="115"/>
      <c r="AF47" s="115"/>
      <c r="AG47" s="115"/>
      <c r="AH47" s="115"/>
      <c r="AI47" s="115"/>
      <c r="AJ47" s="115"/>
      <c r="AK47" s="115"/>
      <c r="AL47" s="115"/>
      <c r="AM47" s="115"/>
      <c r="AN47" s="115"/>
      <c r="AO47" s="115"/>
      <c r="AP47" s="115"/>
      <c r="AQ47" s="115"/>
      <c r="AR47" s="115"/>
      <c r="AS47" s="115"/>
      <c r="AT47" s="115"/>
      <c r="AU47" s="115"/>
      <c r="AV47" s="115"/>
      <c r="AW47" s="115"/>
      <c r="AX47" s="115"/>
    </row>
    <row r="48" spans="1:50" s="117" customFormat="1" ht="80">
      <c r="A48" s="114" t="s">
        <v>1231</v>
      </c>
      <c r="B48" s="114"/>
      <c r="C48" s="115"/>
      <c r="D48" s="114" t="s">
        <v>1231</v>
      </c>
      <c r="E48" s="116"/>
      <c r="F48" s="118" t="s">
        <v>1180</v>
      </c>
      <c r="G48" s="115"/>
      <c r="H48" s="115" t="s">
        <v>1181</v>
      </c>
      <c r="I48" s="111" t="s">
        <v>5</v>
      </c>
      <c r="J48" s="111"/>
      <c r="K48" s="102"/>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row>
    <row r="49" spans="1:50" s="122" customFormat="1" ht="64">
      <c r="A49" s="130" t="s">
        <v>1232</v>
      </c>
      <c r="B49" s="119"/>
      <c r="C49" s="118"/>
      <c r="D49" s="130" t="s">
        <v>1232</v>
      </c>
      <c r="E49" s="120"/>
      <c r="F49" s="118" t="s">
        <v>1180</v>
      </c>
      <c r="G49" s="118"/>
      <c r="H49" s="129" t="s">
        <v>1181</v>
      </c>
      <c r="I49" s="111" t="s">
        <v>5</v>
      </c>
      <c r="J49" s="112"/>
      <c r="K49" s="121"/>
      <c r="L49" s="118"/>
      <c r="M49" s="118"/>
      <c r="N49" s="118"/>
      <c r="O49" s="118"/>
      <c r="P49" s="118"/>
      <c r="Q49" s="118"/>
      <c r="R49" s="118"/>
      <c r="S49" s="118"/>
      <c r="T49" s="118"/>
      <c r="U49" s="118"/>
      <c r="V49" s="118"/>
      <c r="W49" s="118"/>
      <c r="X49" s="118"/>
      <c r="Y49" s="118"/>
      <c r="Z49" s="118"/>
      <c r="AA49" s="118"/>
      <c r="AB49" s="118"/>
      <c r="AC49" s="118"/>
      <c r="AD49" s="118"/>
      <c r="AE49" s="118"/>
      <c r="AF49" s="118"/>
      <c r="AG49" s="118"/>
      <c r="AH49" s="118"/>
      <c r="AI49" s="118"/>
      <c r="AJ49" s="118"/>
      <c r="AK49" s="118"/>
      <c r="AL49" s="118"/>
      <c r="AM49" s="118"/>
      <c r="AN49" s="118"/>
      <c r="AO49" s="118"/>
      <c r="AP49" s="118"/>
      <c r="AQ49" s="118"/>
      <c r="AR49" s="118"/>
      <c r="AS49" s="118"/>
      <c r="AT49" s="118"/>
      <c r="AU49" s="118"/>
      <c r="AV49" s="118"/>
      <c r="AW49" s="118"/>
      <c r="AX49" s="118"/>
    </row>
    <row r="50" spans="1:50" s="117" customFormat="1" ht="48">
      <c r="A50" s="114" t="s">
        <v>1233</v>
      </c>
      <c r="B50" s="114"/>
      <c r="C50" s="115"/>
      <c r="D50" s="114" t="s">
        <v>1233</v>
      </c>
      <c r="E50" s="116"/>
      <c r="F50" s="118" t="s">
        <v>1180</v>
      </c>
      <c r="G50" s="115"/>
      <c r="H50" s="115" t="s">
        <v>1181</v>
      </c>
      <c r="I50" s="111" t="s">
        <v>5</v>
      </c>
      <c r="J50" s="111"/>
      <c r="K50" s="102"/>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row>
    <row r="51" spans="1:50" s="117" customFormat="1" ht="48">
      <c r="A51" s="114" t="s">
        <v>1234</v>
      </c>
      <c r="B51" s="114"/>
      <c r="C51" s="115"/>
      <c r="D51" s="114" t="s">
        <v>1234</v>
      </c>
      <c r="E51" s="116"/>
      <c r="F51" s="118" t="s">
        <v>1180</v>
      </c>
      <c r="G51" s="115"/>
      <c r="H51" s="115" t="s">
        <v>1181</v>
      </c>
      <c r="I51" s="111" t="s">
        <v>5</v>
      </c>
      <c r="J51" s="111"/>
      <c r="K51" s="102"/>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row>
    <row r="52" spans="1:50" s="117" customFormat="1" ht="80">
      <c r="A52" s="114" t="s">
        <v>1235</v>
      </c>
      <c r="B52" s="114"/>
      <c r="C52" s="115"/>
      <c r="D52" s="114" t="s">
        <v>1235</v>
      </c>
      <c r="E52" s="116"/>
      <c r="F52" s="118" t="s">
        <v>1180</v>
      </c>
      <c r="G52" s="115"/>
      <c r="H52" s="115" t="s">
        <v>1181</v>
      </c>
      <c r="I52" s="111" t="s">
        <v>5</v>
      </c>
      <c r="J52" s="111"/>
      <c r="K52" s="102"/>
      <c r="L52" s="115"/>
      <c r="M52" s="115"/>
      <c r="N52" s="115"/>
      <c r="O52" s="115"/>
      <c r="P52" s="115"/>
      <c r="Q52" s="115"/>
      <c r="R52" s="115"/>
      <c r="S52" s="115"/>
      <c r="T52" s="115"/>
      <c r="U52" s="115"/>
      <c r="V52" s="115"/>
      <c r="W52" s="115"/>
      <c r="X52" s="115"/>
      <c r="Y52" s="115"/>
      <c r="Z52" s="115"/>
      <c r="AA52" s="115"/>
      <c r="AB52" s="115"/>
      <c r="AC52" s="115"/>
      <c r="AD52" s="115"/>
      <c r="AE52" s="115"/>
      <c r="AF52" s="115"/>
      <c r="AG52" s="115"/>
      <c r="AH52" s="115"/>
      <c r="AI52" s="115"/>
      <c r="AJ52" s="115"/>
      <c r="AK52" s="115"/>
      <c r="AL52" s="115"/>
      <c r="AM52" s="115"/>
      <c r="AN52" s="115"/>
      <c r="AO52" s="115"/>
      <c r="AP52" s="115"/>
      <c r="AQ52" s="115"/>
      <c r="AR52" s="115"/>
      <c r="AS52" s="115"/>
      <c r="AT52" s="115"/>
      <c r="AU52" s="115"/>
      <c r="AV52" s="115"/>
      <c r="AW52" s="115"/>
      <c r="AX52" s="115"/>
    </row>
    <row r="53" spans="1:50" s="117" customFormat="1" ht="64">
      <c r="A53" s="114" t="s">
        <v>1236</v>
      </c>
      <c r="B53" s="114"/>
      <c r="C53" s="115"/>
      <c r="D53" s="114" t="s">
        <v>1236</v>
      </c>
      <c r="E53" s="116"/>
      <c r="F53" s="118" t="s">
        <v>1180</v>
      </c>
      <c r="G53" s="115"/>
      <c r="H53" s="115" t="s">
        <v>1181</v>
      </c>
      <c r="I53" s="111" t="s">
        <v>5</v>
      </c>
      <c r="J53" s="111"/>
      <c r="K53" s="102"/>
      <c r="L53" s="115"/>
      <c r="M53" s="115"/>
      <c r="N53" s="115"/>
      <c r="O53" s="115"/>
      <c r="P53" s="115"/>
      <c r="Q53" s="115"/>
      <c r="R53" s="115"/>
      <c r="S53" s="115"/>
      <c r="T53" s="115"/>
      <c r="U53" s="115"/>
      <c r="V53" s="115"/>
      <c r="W53" s="115"/>
      <c r="X53" s="115"/>
      <c r="Y53" s="115"/>
      <c r="Z53" s="115"/>
      <c r="AA53" s="115"/>
      <c r="AB53" s="115"/>
      <c r="AC53" s="115"/>
      <c r="AD53" s="115"/>
      <c r="AE53" s="115"/>
      <c r="AF53" s="115"/>
      <c r="AG53" s="115"/>
      <c r="AH53" s="115"/>
      <c r="AI53" s="115"/>
      <c r="AJ53" s="115"/>
      <c r="AK53" s="115"/>
      <c r="AL53" s="115"/>
      <c r="AM53" s="115"/>
      <c r="AN53" s="115"/>
      <c r="AO53" s="115"/>
      <c r="AP53" s="115"/>
      <c r="AQ53" s="115"/>
      <c r="AR53" s="115"/>
      <c r="AS53" s="115"/>
      <c r="AT53" s="115"/>
      <c r="AU53" s="115"/>
      <c r="AV53" s="115"/>
      <c r="AW53" s="115"/>
      <c r="AX53" s="115"/>
    </row>
    <row r="54" spans="1:50" s="117" customFormat="1" ht="48">
      <c r="A54" s="114" t="s">
        <v>1237</v>
      </c>
      <c r="B54" s="114"/>
      <c r="C54" s="115"/>
      <c r="D54" s="114" t="s">
        <v>1237</v>
      </c>
      <c r="E54" s="116"/>
      <c r="F54" s="118" t="s">
        <v>1180</v>
      </c>
      <c r="G54" s="115"/>
      <c r="H54" s="115" t="s">
        <v>1181</v>
      </c>
      <c r="I54" s="111" t="s">
        <v>5</v>
      </c>
      <c r="J54" s="111"/>
      <c r="K54" s="102"/>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row>
    <row r="55" spans="1:50" s="117" customFormat="1" ht="48">
      <c r="A55" s="114" t="s">
        <v>1238</v>
      </c>
      <c r="B55" s="114"/>
      <c r="C55" s="115"/>
      <c r="D55" s="114" t="s">
        <v>1238</v>
      </c>
      <c r="E55" s="116"/>
      <c r="F55" s="118" t="s">
        <v>1180</v>
      </c>
      <c r="G55" s="115"/>
      <c r="H55" s="115" t="s">
        <v>1181</v>
      </c>
      <c r="I55" s="111" t="s">
        <v>5</v>
      </c>
      <c r="J55" s="111"/>
      <c r="K55" s="102"/>
      <c r="L55" s="115"/>
      <c r="M55" s="115"/>
      <c r="N55" s="115"/>
      <c r="O55" s="115"/>
      <c r="P55" s="115"/>
      <c r="Q55" s="115"/>
      <c r="R55" s="115"/>
      <c r="S55" s="115"/>
      <c r="T55" s="115"/>
      <c r="U55" s="115"/>
      <c r="V55" s="115"/>
      <c r="W55" s="115"/>
      <c r="X55" s="115"/>
      <c r="Y55" s="115"/>
      <c r="Z55" s="115"/>
      <c r="AA55" s="115"/>
      <c r="AB55" s="115"/>
      <c r="AC55" s="115"/>
      <c r="AD55" s="115"/>
      <c r="AE55" s="115"/>
      <c r="AF55" s="115"/>
      <c r="AG55" s="115"/>
      <c r="AH55" s="115"/>
      <c r="AI55" s="115"/>
      <c r="AJ55" s="115"/>
      <c r="AK55" s="115"/>
      <c r="AL55" s="115"/>
      <c r="AM55" s="115"/>
      <c r="AN55" s="115"/>
      <c r="AO55" s="115"/>
      <c r="AP55" s="115"/>
      <c r="AQ55" s="115"/>
      <c r="AR55" s="115"/>
      <c r="AS55" s="115"/>
      <c r="AT55" s="115"/>
      <c r="AU55" s="115"/>
      <c r="AV55" s="115"/>
      <c r="AW55" s="115"/>
      <c r="AX55" s="115"/>
    </row>
    <row r="56" spans="1:50" s="117" customFormat="1" ht="80">
      <c r="A56" s="114" t="s">
        <v>1239</v>
      </c>
      <c r="B56" s="114"/>
      <c r="C56" s="115"/>
      <c r="D56" s="114" t="s">
        <v>1239</v>
      </c>
      <c r="E56" s="116"/>
      <c r="F56" s="118" t="s">
        <v>1180</v>
      </c>
      <c r="G56" s="115"/>
      <c r="H56" s="115" t="s">
        <v>1181</v>
      </c>
      <c r="I56" s="111" t="s">
        <v>5</v>
      </c>
      <c r="J56" s="111"/>
      <c r="K56" s="102"/>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row>
    <row r="57" spans="1:50" s="117" customFormat="1" ht="64">
      <c r="A57" s="114" t="s">
        <v>1240</v>
      </c>
      <c r="B57" s="114"/>
      <c r="C57" s="115"/>
      <c r="D57" s="114" t="s">
        <v>1240</v>
      </c>
      <c r="E57" s="116"/>
      <c r="F57" s="118" t="s">
        <v>1180</v>
      </c>
      <c r="G57" s="115"/>
      <c r="H57" s="115" t="s">
        <v>1181</v>
      </c>
      <c r="I57" s="111" t="s">
        <v>5</v>
      </c>
      <c r="J57" s="111"/>
      <c r="K57" s="102"/>
      <c r="L57" s="115"/>
      <c r="M57" s="115"/>
      <c r="N57" s="115"/>
      <c r="O57" s="115"/>
      <c r="P57" s="115"/>
      <c r="Q57" s="115"/>
      <c r="R57" s="115"/>
      <c r="S57" s="115"/>
      <c r="T57" s="115"/>
      <c r="U57" s="115"/>
      <c r="V57" s="115"/>
      <c r="W57" s="115"/>
      <c r="X57" s="115"/>
      <c r="Y57" s="115"/>
      <c r="Z57" s="115"/>
      <c r="AA57" s="115"/>
      <c r="AB57" s="115"/>
      <c r="AC57" s="115"/>
      <c r="AD57" s="115"/>
      <c r="AE57" s="115"/>
      <c r="AF57" s="115"/>
      <c r="AG57" s="115"/>
      <c r="AH57" s="115"/>
      <c r="AI57" s="115"/>
      <c r="AJ57" s="115"/>
      <c r="AK57" s="115"/>
      <c r="AL57" s="115"/>
      <c r="AM57" s="115"/>
      <c r="AN57" s="115"/>
      <c r="AO57" s="115"/>
      <c r="AP57" s="115"/>
      <c r="AQ57" s="115"/>
      <c r="AR57" s="115"/>
      <c r="AS57" s="115"/>
      <c r="AT57" s="115"/>
      <c r="AU57" s="115"/>
      <c r="AV57" s="115"/>
      <c r="AW57" s="115"/>
      <c r="AX57" s="115"/>
    </row>
    <row r="58" spans="1:50" s="117" customFormat="1" ht="64">
      <c r="A58" s="130" t="s">
        <v>1241</v>
      </c>
      <c r="B58" s="114"/>
      <c r="C58" s="115"/>
      <c r="D58" s="114" t="s">
        <v>1241</v>
      </c>
      <c r="E58" s="116"/>
      <c r="F58" s="118" t="s">
        <v>1180</v>
      </c>
      <c r="G58" s="115"/>
      <c r="H58" s="128" t="s">
        <v>1224</v>
      </c>
      <c r="I58" s="111" t="s">
        <v>5</v>
      </c>
      <c r="J58" s="111"/>
      <c r="K58" s="102"/>
      <c r="L58" s="115"/>
      <c r="M58" s="115"/>
      <c r="N58" s="115"/>
      <c r="O58" s="115"/>
      <c r="P58" s="115"/>
      <c r="Q58" s="115"/>
      <c r="R58" s="115"/>
      <c r="S58" s="115"/>
      <c r="T58" s="115"/>
      <c r="U58" s="115"/>
      <c r="V58" s="115"/>
      <c r="W58" s="115"/>
      <c r="X58" s="115"/>
      <c r="Y58" s="115"/>
      <c r="Z58" s="115"/>
      <c r="AA58" s="115"/>
      <c r="AB58" s="115"/>
      <c r="AC58" s="115"/>
      <c r="AD58" s="115"/>
      <c r="AE58" s="115"/>
      <c r="AF58" s="115"/>
      <c r="AG58" s="115"/>
      <c r="AH58" s="115"/>
      <c r="AI58" s="115"/>
      <c r="AJ58" s="115"/>
      <c r="AK58" s="115"/>
      <c r="AL58" s="115"/>
      <c r="AM58" s="115"/>
      <c r="AN58" s="115"/>
      <c r="AO58" s="115"/>
      <c r="AP58" s="115"/>
      <c r="AQ58" s="115"/>
      <c r="AR58" s="115"/>
      <c r="AS58" s="115"/>
      <c r="AT58" s="115"/>
      <c r="AU58" s="115"/>
      <c r="AV58" s="115"/>
      <c r="AW58" s="115"/>
      <c r="AX58" s="115"/>
    </row>
    <row r="59" spans="1:50" s="117" customFormat="1" ht="48">
      <c r="A59" s="114" t="s">
        <v>1242</v>
      </c>
      <c r="B59" s="114"/>
      <c r="C59" s="115"/>
      <c r="D59" s="114" t="s">
        <v>1242</v>
      </c>
      <c r="E59" s="116"/>
      <c r="F59" s="118" t="s">
        <v>1180</v>
      </c>
      <c r="G59" s="115"/>
      <c r="H59" s="115" t="s">
        <v>1181</v>
      </c>
      <c r="I59" s="111" t="s">
        <v>5</v>
      </c>
      <c r="J59" s="111"/>
      <c r="K59" s="102"/>
      <c r="L59" s="115"/>
      <c r="M59" s="115"/>
      <c r="N59" s="115"/>
      <c r="O59" s="115"/>
      <c r="P59" s="115"/>
      <c r="Q59" s="115"/>
      <c r="R59" s="115"/>
      <c r="S59" s="115"/>
      <c r="T59" s="115"/>
      <c r="U59" s="115"/>
      <c r="V59" s="115"/>
      <c r="W59" s="115"/>
      <c r="X59" s="115"/>
      <c r="Y59" s="115"/>
      <c r="Z59" s="115"/>
      <c r="AA59" s="115"/>
      <c r="AB59" s="115"/>
      <c r="AC59" s="115"/>
      <c r="AD59" s="115"/>
      <c r="AE59" s="115"/>
      <c r="AF59" s="115"/>
      <c r="AG59" s="115"/>
      <c r="AH59" s="115"/>
      <c r="AI59" s="115"/>
      <c r="AJ59" s="115"/>
      <c r="AK59" s="115"/>
      <c r="AL59" s="115"/>
      <c r="AM59" s="115"/>
      <c r="AN59" s="115"/>
      <c r="AO59" s="115"/>
      <c r="AP59" s="115"/>
      <c r="AQ59" s="115"/>
      <c r="AR59" s="115"/>
      <c r="AS59" s="115"/>
      <c r="AT59" s="115"/>
      <c r="AU59" s="115"/>
      <c r="AV59" s="115"/>
      <c r="AW59" s="115"/>
      <c r="AX59" s="115"/>
    </row>
    <row r="60" spans="1:50" s="117" customFormat="1" ht="80">
      <c r="A60" s="114" t="s">
        <v>1243</v>
      </c>
      <c r="B60" s="114"/>
      <c r="C60" s="115"/>
      <c r="D60" s="114" t="s">
        <v>1243</v>
      </c>
      <c r="E60" s="116"/>
      <c r="F60" s="118" t="s">
        <v>1180</v>
      </c>
      <c r="G60" s="115"/>
      <c r="H60" s="115" t="s">
        <v>1181</v>
      </c>
      <c r="I60" s="111" t="s">
        <v>5</v>
      </c>
      <c r="J60" s="111"/>
      <c r="K60" s="102"/>
      <c r="L60" s="115"/>
      <c r="M60" s="115"/>
      <c r="N60" s="115"/>
      <c r="O60" s="115"/>
      <c r="P60" s="115"/>
      <c r="Q60" s="115"/>
      <c r="R60" s="115"/>
      <c r="S60" s="115"/>
      <c r="T60" s="115"/>
      <c r="U60" s="115"/>
      <c r="V60" s="115"/>
      <c r="W60" s="115"/>
      <c r="X60" s="115"/>
      <c r="Y60" s="115"/>
      <c r="Z60" s="115"/>
      <c r="AA60" s="115"/>
      <c r="AB60" s="115"/>
      <c r="AC60" s="115"/>
      <c r="AD60" s="115"/>
      <c r="AE60" s="115"/>
      <c r="AF60" s="115"/>
      <c r="AG60" s="115"/>
      <c r="AH60" s="115"/>
      <c r="AI60" s="115"/>
      <c r="AJ60" s="115"/>
      <c r="AK60" s="115"/>
      <c r="AL60" s="115"/>
      <c r="AM60" s="115"/>
      <c r="AN60" s="115"/>
      <c r="AO60" s="115"/>
      <c r="AP60" s="115"/>
      <c r="AQ60" s="115"/>
      <c r="AR60" s="115"/>
      <c r="AS60" s="115"/>
      <c r="AT60" s="115"/>
      <c r="AU60" s="115"/>
      <c r="AV60" s="115"/>
      <c r="AW60" s="115"/>
      <c r="AX60" s="115"/>
    </row>
    <row r="61" spans="1:50" s="117" customFormat="1" ht="48">
      <c r="A61" s="114" t="s">
        <v>1244</v>
      </c>
      <c r="B61" s="114"/>
      <c r="C61" s="115"/>
      <c r="D61" s="114" t="s">
        <v>1244</v>
      </c>
      <c r="E61" s="116"/>
      <c r="F61" s="118" t="s">
        <v>1180</v>
      </c>
      <c r="G61" s="115"/>
      <c r="H61" s="115" t="s">
        <v>1181</v>
      </c>
      <c r="I61" s="111" t="s">
        <v>5</v>
      </c>
      <c r="J61" s="111"/>
      <c r="K61" s="102"/>
      <c r="L61" s="115"/>
      <c r="M61" s="115"/>
      <c r="N61" s="115"/>
      <c r="O61" s="115"/>
      <c r="P61" s="115"/>
      <c r="Q61" s="115"/>
      <c r="R61" s="115"/>
      <c r="S61" s="115"/>
      <c r="T61" s="115"/>
      <c r="U61" s="115"/>
      <c r="V61" s="115"/>
      <c r="W61" s="115"/>
      <c r="X61" s="115"/>
      <c r="Y61" s="115"/>
      <c r="Z61" s="115"/>
      <c r="AA61" s="115"/>
      <c r="AB61" s="115"/>
      <c r="AC61" s="115"/>
      <c r="AD61" s="115"/>
      <c r="AE61" s="115"/>
      <c r="AF61" s="115"/>
      <c r="AG61" s="115"/>
      <c r="AH61" s="115"/>
      <c r="AI61" s="115"/>
      <c r="AJ61" s="115"/>
      <c r="AK61" s="115"/>
      <c r="AL61" s="115"/>
      <c r="AM61" s="115"/>
      <c r="AN61" s="115"/>
      <c r="AO61" s="115"/>
      <c r="AP61" s="115"/>
      <c r="AQ61" s="115"/>
      <c r="AR61" s="115"/>
      <c r="AS61" s="115"/>
      <c r="AT61" s="115"/>
      <c r="AU61" s="115"/>
      <c r="AV61" s="115"/>
      <c r="AW61" s="115"/>
      <c r="AX61" s="115"/>
    </row>
    <row r="62" spans="1:50" s="117" customFormat="1" ht="48">
      <c r="A62" s="114" t="s">
        <v>1245</v>
      </c>
      <c r="B62" s="114"/>
      <c r="C62" s="115"/>
      <c r="D62" s="114" t="s">
        <v>1245</v>
      </c>
      <c r="E62" s="116"/>
      <c r="F62" s="118" t="s">
        <v>1180</v>
      </c>
      <c r="G62" s="115"/>
      <c r="H62" s="115" t="s">
        <v>1181</v>
      </c>
      <c r="I62" s="111" t="s">
        <v>5</v>
      </c>
      <c r="J62" s="111"/>
      <c r="K62" s="102"/>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row>
    <row r="63" spans="1:50" s="117" customFormat="1" ht="80">
      <c r="A63" s="114" t="s">
        <v>1246</v>
      </c>
      <c r="B63" s="114"/>
      <c r="C63" s="115"/>
      <c r="D63" s="114" t="s">
        <v>1246</v>
      </c>
      <c r="E63" s="116"/>
      <c r="F63" s="118" t="s">
        <v>1180</v>
      </c>
      <c r="G63" s="115"/>
      <c r="H63" s="115" t="s">
        <v>1181</v>
      </c>
      <c r="I63" s="111" t="s">
        <v>5</v>
      </c>
      <c r="J63" s="111"/>
      <c r="K63" s="102"/>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row>
    <row r="64" spans="1:50" s="117" customFormat="1" ht="64">
      <c r="A64" s="114" t="s">
        <v>1247</v>
      </c>
      <c r="B64" s="114"/>
      <c r="C64" s="115"/>
      <c r="D64" s="114" t="s">
        <v>1247</v>
      </c>
      <c r="E64" s="116"/>
      <c r="F64" s="118" t="s">
        <v>1180</v>
      </c>
      <c r="G64" s="115"/>
      <c r="H64" s="115" t="s">
        <v>1181</v>
      </c>
      <c r="I64" s="111" t="s">
        <v>5</v>
      </c>
      <c r="J64" s="111"/>
      <c r="K64" s="102"/>
      <c r="L64" s="115"/>
      <c r="M64" s="115"/>
      <c r="N64" s="115"/>
      <c r="O64" s="115"/>
      <c r="P64" s="115"/>
      <c r="Q64" s="115"/>
      <c r="R64" s="115"/>
      <c r="S64" s="115"/>
      <c r="T64" s="115"/>
      <c r="U64" s="115"/>
      <c r="V64" s="115"/>
      <c r="W64" s="115"/>
      <c r="X64" s="115"/>
      <c r="Y64" s="115"/>
      <c r="Z64" s="115"/>
      <c r="AA64" s="115"/>
      <c r="AB64" s="115"/>
      <c r="AC64" s="115"/>
      <c r="AD64" s="115"/>
      <c r="AE64" s="115"/>
      <c r="AF64" s="115"/>
      <c r="AG64" s="115"/>
      <c r="AH64" s="115"/>
      <c r="AI64" s="115"/>
      <c r="AJ64" s="115"/>
      <c r="AK64" s="115"/>
      <c r="AL64" s="115"/>
      <c r="AM64" s="115"/>
      <c r="AN64" s="115"/>
      <c r="AO64" s="115"/>
      <c r="AP64" s="115"/>
      <c r="AQ64" s="115"/>
      <c r="AR64" s="115"/>
      <c r="AS64" s="115"/>
      <c r="AT64" s="115"/>
      <c r="AU64" s="115"/>
      <c r="AV64" s="115"/>
      <c r="AW64" s="115"/>
      <c r="AX64" s="115"/>
    </row>
    <row r="65" spans="1:50" s="122" customFormat="1" ht="48">
      <c r="A65" s="114" t="s">
        <v>1248</v>
      </c>
      <c r="B65" s="119"/>
      <c r="C65" s="118"/>
      <c r="D65" s="114" t="s">
        <v>1248</v>
      </c>
      <c r="E65" s="120"/>
      <c r="F65" s="118" t="s">
        <v>1180</v>
      </c>
      <c r="G65" s="118"/>
      <c r="H65" s="128" t="s">
        <v>1181</v>
      </c>
      <c r="I65" s="111" t="s">
        <v>5</v>
      </c>
      <c r="J65" s="112"/>
      <c r="K65" s="121"/>
      <c r="L65" s="118"/>
      <c r="M65" s="118"/>
      <c r="N65" s="118"/>
      <c r="O65" s="118"/>
      <c r="P65" s="118"/>
      <c r="Q65" s="118"/>
      <c r="R65" s="118"/>
      <c r="S65" s="118"/>
      <c r="T65" s="118"/>
      <c r="U65" s="118"/>
      <c r="V65" s="118"/>
      <c r="W65" s="118"/>
      <c r="X65" s="118"/>
      <c r="Y65" s="118"/>
      <c r="Z65" s="118"/>
      <c r="AA65" s="118"/>
      <c r="AB65" s="118"/>
      <c r="AC65" s="118"/>
      <c r="AD65" s="118"/>
      <c r="AE65" s="118"/>
      <c r="AF65" s="118"/>
      <c r="AG65" s="118"/>
      <c r="AH65" s="118"/>
      <c r="AI65" s="118"/>
      <c r="AJ65" s="118"/>
      <c r="AK65" s="118"/>
      <c r="AL65" s="118"/>
      <c r="AM65" s="118"/>
      <c r="AN65" s="118"/>
      <c r="AO65" s="118"/>
      <c r="AP65" s="118"/>
      <c r="AQ65" s="118"/>
      <c r="AR65" s="118"/>
      <c r="AS65" s="118"/>
      <c r="AT65" s="118"/>
      <c r="AU65" s="118"/>
      <c r="AV65" s="118"/>
      <c r="AW65" s="118"/>
      <c r="AX65" s="118"/>
    </row>
    <row r="66" spans="1:50" s="117" customFormat="1" ht="48">
      <c r="A66" s="114" t="s">
        <v>1249</v>
      </c>
      <c r="B66" s="114"/>
      <c r="C66" s="115"/>
      <c r="D66" s="114" t="s">
        <v>1249</v>
      </c>
      <c r="E66" s="116"/>
      <c r="F66" s="118" t="s">
        <v>1180</v>
      </c>
      <c r="G66" s="115"/>
      <c r="H66" s="115" t="s">
        <v>1181</v>
      </c>
      <c r="I66" s="111" t="s">
        <v>5</v>
      </c>
      <c r="J66" s="111"/>
      <c r="K66" s="102"/>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15"/>
      <c r="AR66" s="115"/>
      <c r="AS66" s="115"/>
      <c r="AT66" s="115"/>
      <c r="AU66" s="115"/>
      <c r="AV66" s="115"/>
      <c r="AW66" s="115"/>
      <c r="AX66" s="115"/>
    </row>
    <row r="67" spans="1:50" s="117" customFormat="1" ht="80">
      <c r="A67" s="114" t="s">
        <v>1250</v>
      </c>
      <c r="B67" s="114"/>
      <c r="C67" s="115"/>
      <c r="D67" s="114" t="s">
        <v>1250</v>
      </c>
      <c r="E67" s="116"/>
      <c r="F67" s="118" t="s">
        <v>1180</v>
      </c>
      <c r="G67" s="115"/>
      <c r="H67" s="115" t="s">
        <v>1181</v>
      </c>
      <c r="I67" s="111" t="s">
        <v>5</v>
      </c>
      <c r="J67" s="111"/>
      <c r="K67" s="102"/>
      <c r="L67" s="115"/>
      <c r="M67" s="115"/>
      <c r="N67" s="115"/>
      <c r="O67" s="115"/>
      <c r="P67" s="115"/>
      <c r="Q67" s="115"/>
      <c r="R67" s="115"/>
      <c r="S67" s="115"/>
      <c r="T67" s="115"/>
      <c r="U67" s="115"/>
      <c r="V67" s="115"/>
      <c r="W67" s="115"/>
      <c r="X67" s="115"/>
      <c r="Y67" s="115"/>
      <c r="Z67" s="115"/>
      <c r="AA67" s="115"/>
      <c r="AB67" s="115"/>
      <c r="AC67" s="115"/>
      <c r="AD67" s="115"/>
      <c r="AE67" s="115"/>
      <c r="AF67" s="115"/>
      <c r="AG67" s="115"/>
      <c r="AH67" s="115"/>
      <c r="AI67" s="115"/>
      <c r="AJ67" s="115"/>
      <c r="AK67" s="115"/>
      <c r="AL67" s="115"/>
      <c r="AM67" s="115"/>
      <c r="AN67" s="115"/>
      <c r="AO67" s="115"/>
      <c r="AP67" s="115"/>
      <c r="AQ67" s="115"/>
      <c r="AR67" s="115"/>
      <c r="AS67" s="115"/>
      <c r="AT67" s="115"/>
      <c r="AU67" s="115"/>
      <c r="AV67" s="115"/>
      <c r="AW67" s="115"/>
      <c r="AX67" s="115"/>
    </row>
    <row r="68" spans="1:50" s="117" customFormat="1" ht="64">
      <c r="A68" s="114" t="s">
        <v>1251</v>
      </c>
      <c r="B68" s="114"/>
      <c r="C68" s="115"/>
      <c r="D68" s="114" t="s">
        <v>1251</v>
      </c>
      <c r="E68" s="116"/>
      <c r="F68" s="118" t="s">
        <v>1180</v>
      </c>
      <c r="G68" s="115"/>
      <c r="H68" s="115" t="s">
        <v>1181</v>
      </c>
      <c r="I68" s="111" t="s">
        <v>5</v>
      </c>
      <c r="J68" s="111"/>
      <c r="K68" s="102"/>
      <c r="L68" s="115"/>
      <c r="M68" s="115"/>
      <c r="N68" s="115"/>
      <c r="O68" s="115"/>
      <c r="P68" s="115"/>
      <c r="Q68" s="115"/>
      <c r="R68" s="115"/>
      <c r="S68" s="115"/>
      <c r="T68" s="115"/>
      <c r="U68" s="115"/>
      <c r="V68" s="115"/>
      <c r="W68" s="115"/>
      <c r="X68" s="115"/>
      <c r="Y68" s="115"/>
      <c r="Z68" s="115"/>
      <c r="AA68" s="115"/>
      <c r="AB68" s="115"/>
      <c r="AC68" s="115"/>
      <c r="AD68" s="115"/>
      <c r="AE68" s="115"/>
      <c r="AF68" s="115"/>
      <c r="AG68" s="115"/>
      <c r="AH68" s="115"/>
      <c r="AI68" s="115"/>
      <c r="AJ68" s="115"/>
      <c r="AK68" s="115"/>
      <c r="AL68" s="115"/>
      <c r="AM68" s="115"/>
      <c r="AN68" s="115"/>
      <c r="AO68" s="115"/>
      <c r="AP68" s="115"/>
      <c r="AQ68" s="115"/>
      <c r="AR68" s="115"/>
      <c r="AS68" s="115"/>
      <c r="AT68" s="115"/>
      <c r="AU68" s="115"/>
      <c r="AV68" s="115"/>
      <c r="AW68" s="115"/>
      <c r="AX68" s="115"/>
    </row>
    <row r="69" spans="1:50" s="117" customFormat="1" ht="64">
      <c r="A69" s="114" t="s">
        <v>1252</v>
      </c>
      <c r="B69" s="114"/>
      <c r="C69" s="115"/>
      <c r="D69" s="114" t="s">
        <v>1252</v>
      </c>
      <c r="E69" s="116"/>
      <c r="F69" s="118" t="s">
        <v>1180</v>
      </c>
      <c r="G69" s="115"/>
      <c r="H69" s="115" t="s">
        <v>1181</v>
      </c>
      <c r="I69" s="111" t="s">
        <v>5</v>
      </c>
      <c r="J69" s="111"/>
      <c r="K69" s="102"/>
      <c r="L69" s="115"/>
      <c r="M69" s="115"/>
      <c r="N69" s="115"/>
      <c r="O69" s="115"/>
      <c r="P69" s="115"/>
      <c r="Q69" s="115"/>
      <c r="R69" s="115"/>
      <c r="S69" s="115"/>
      <c r="T69" s="115"/>
      <c r="U69" s="115"/>
      <c r="V69" s="115"/>
      <c r="W69" s="115"/>
      <c r="X69" s="115"/>
      <c r="Y69" s="115"/>
      <c r="Z69" s="115"/>
      <c r="AA69" s="115"/>
      <c r="AB69" s="115"/>
      <c r="AC69" s="115"/>
      <c r="AD69" s="115"/>
      <c r="AE69" s="115"/>
      <c r="AF69" s="115"/>
      <c r="AG69" s="115"/>
      <c r="AH69" s="115"/>
      <c r="AI69" s="115"/>
      <c r="AJ69" s="115"/>
      <c r="AK69" s="115"/>
      <c r="AL69" s="115"/>
      <c r="AM69" s="115"/>
      <c r="AN69" s="115"/>
      <c r="AO69" s="115"/>
      <c r="AP69" s="115"/>
      <c r="AQ69" s="115"/>
      <c r="AR69" s="115"/>
      <c r="AS69" s="115"/>
      <c r="AT69" s="115"/>
      <c r="AU69" s="115"/>
      <c r="AV69" s="115"/>
      <c r="AW69" s="115"/>
      <c r="AX69" s="115"/>
    </row>
    <row r="70" spans="1:50" s="117" customFormat="1" ht="48">
      <c r="A70" s="114" t="s">
        <v>1253</v>
      </c>
      <c r="B70" s="114"/>
      <c r="C70" s="115"/>
      <c r="D70" s="114" t="s">
        <v>1253</v>
      </c>
      <c r="E70" s="116"/>
      <c r="F70" s="118" t="s">
        <v>1180</v>
      </c>
      <c r="G70" s="115"/>
      <c r="H70" s="115" t="s">
        <v>1181</v>
      </c>
      <c r="I70" s="111" t="s">
        <v>5</v>
      </c>
      <c r="J70" s="111"/>
      <c r="K70" s="102"/>
      <c r="L70" s="115"/>
      <c r="M70" s="115"/>
      <c r="N70" s="115"/>
      <c r="O70" s="115"/>
      <c r="P70" s="115"/>
      <c r="Q70" s="115"/>
      <c r="R70" s="115"/>
      <c r="S70" s="115"/>
      <c r="T70" s="115"/>
      <c r="U70" s="115"/>
      <c r="V70" s="115"/>
      <c r="W70" s="115"/>
      <c r="X70" s="115"/>
      <c r="Y70" s="115"/>
      <c r="Z70" s="115"/>
      <c r="AA70" s="115"/>
      <c r="AB70" s="115"/>
      <c r="AC70" s="115"/>
      <c r="AD70" s="115"/>
      <c r="AE70" s="115"/>
      <c r="AF70" s="115"/>
      <c r="AG70" s="115"/>
      <c r="AH70" s="115"/>
      <c r="AI70" s="115"/>
      <c r="AJ70" s="115"/>
      <c r="AK70" s="115"/>
      <c r="AL70" s="115"/>
      <c r="AM70" s="115"/>
      <c r="AN70" s="115"/>
      <c r="AO70" s="115"/>
      <c r="AP70" s="115"/>
      <c r="AQ70" s="115"/>
      <c r="AR70" s="115"/>
      <c r="AS70" s="115"/>
      <c r="AT70" s="115"/>
      <c r="AU70" s="115"/>
      <c r="AV70" s="115"/>
      <c r="AW70" s="115"/>
      <c r="AX70" s="115"/>
    </row>
    <row r="71" spans="1:50" s="117" customFormat="1" ht="80">
      <c r="A71" s="114" t="s">
        <v>1254</v>
      </c>
      <c r="B71" s="114"/>
      <c r="C71" s="115"/>
      <c r="D71" s="114" t="s">
        <v>1254</v>
      </c>
      <c r="E71" s="116"/>
      <c r="F71" s="118" t="s">
        <v>1180</v>
      </c>
      <c r="G71" s="115"/>
      <c r="H71" s="115" t="s">
        <v>1181</v>
      </c>
      <c r="I71" s="111" t="s">
        <v>5</v>
      </c>
      <c r="J71" s="111"/>
      <c r="K71" s="102"/>
      <c r="L71" s="115"/>
      <c r="M71" s="115"/>
      <c r="N71" s="115"/>
      <c r="O71" s="115"/>
      <c r="P71" s="115"/>
      <c r="Q71" s="115"/>
      <c r="R71" s="115"/>
      <c r="S71" s="115"/>
      <c r="T71" s="115"/>
      <c r="U71" s="115"/>
      <c r="V71" s="115"/>
      <c r="W71" s="115"/>
      <c r="X71" s="115"/>
      <c r="Y71" s="115"/>
      <c r="Z71" s="115"/>
      <c r="AA71" s="115"/>
      <c r="AB71" s="115"/>
      <c r="AC71" s="115"/>
      <c r="AD71" s="115"/>
      <c r="AE71" s="115"/>
      <c r="AF71" s="115"/>
      <c r="AG71" s="115"/>
      <c r="AH71" s="115"/>
      <c r="AI71" s="115"/>
      <c r="AJ71" s="115"/>
      <c r="AK71" s="115"/>
      <c r="AL71" s="115"/>
      <c r="AM71" s="115"/>
      <c r="AN71" s="115"/>
      <c r="AO71" s="115"/>
      <c r="AP71" s="115"/>
      <c r="AQ71" s="115"/>
      <c r="AR71" s="115"/>
      <c r="AS71" s="115"/>
      <c r="AT71" s="115"/>
      <c r="AU71" s="115"/>
      <c r="AV71" s="115"/>
      <c r="AW71" s="115"/>
      <c r="AX71" s="115"/>
    </row>
    <row r="72" spans="1:50" s="117" customFormat="1" ht="64">
      <c r="A72" s="114" t="s">
        <v>1255</v>
      </c>
      <c r="B72" s="114"/>
      <c r="C72" s="115"/>
      <c r="D72" s="114" t="s">
        <v>1255</v>
      </c>
      <c r="E72" s="116"/>
      <c r="F72" s="118" t="s">
        <v>1180</v>
      </c>
      <c r="G72" s="115"/>
      <c r="H72" s="115" t="s">
        <v>1181</v>
      </c>
      <c r="I72" s="111" t="s">
        <v>5</v>
      </c>
      <c r="J72" s="111"/>
      <c r="K72" s="102"/>
      <c r="L72" s="115"/>
      <c r="M72" s="115"/>
      <c r="N72" s="115"/>
      <c r="O72" s="115"/>
      <c r="P72" s="115"/>
      <c r="Q72" s="115"/>
      <c r="R72" s="115"/>
      <c r="S72" s="115"/>
      <c r="T72" s="115"/>
      <c r="U72" s="115"/>
      <c r="V72" s="115"/>
      <c r="W72" s="115"/>
      <c r="X72" s="115"/>
      <c r="Y72" s="115"/>
      <c r="Z72" s="115"/>
      <c r="AA72" s="115"/>
      <c r="AB72" s="115"/>
      <c r="AC72" s="115"/>
      <c r="AD72" s="115"/>
      <c r="AE72" s="115"/>
      <c r="AF72" s="115"/>
      <c r="AG72" s="115"/>
      <c r="AH72" s="115"/>
      <c r="AI72" s="115"/>
      <c r="AJ72" s="115"/>
      <c r="AK72" s="115"/>
      <c r="AL72" s="115"/>
      <c r="AM72" s="115"/>
      <c r="AN72" s="115"/>
      <c r="AO72" s="115"/>
      <c r="AP72" s="115"/>
      <c r="AQ72" s="115"/>
      <c r="AR72" s="115"/>
      <c r="AS72" s="115"/>
      <c r="AT72" s="115"/>
      <c r="AU72" s="115"/>
      <c r="AV72" s="115"/>
      <c r="AW72" s="115"/>
      <c r="AX72" s="115"/>
    </row>
    <row r="73" spans="1:50" s="117" customFormat="1" ht="48">
      <c r="A73" s="130" t="s">
        <v>1256</v>
      </c>
      <c r="B73" s="114"/>
      <c r="C73" s="115"/>
      <c r="D73" s="114" t="s">
        <v>1257</v>
      </c>
      <c r="E73" s="116"/>
      <c r="F73" s="118" t="s">
        <v>1180</v>
      </c>
      <c r="G73" s="115"/>
      <c r="H73" s="128" t="s">
        <v>1191</v>
      </c>
      <c r="I73" s="111" t="s">
        <v>5</v>
      </c>
      <c r="J73" s="111"/>
      <c r="K73" s="102"/>
      <c r="L73" s="115"/>
      <c r="M73" s="115"/>
      <c r="N73" s="115"/>
      <c r="O73" s="115"/>
      <c r="P73" s="115"/>
      <c r="Q73" s="115"/>
      <c r="R73" s="115"/>
      <c r="S73" s="115"/>
      <c r="T73" s="115"/>
      <c r="U73" s="115"/>
      <c r="V73" s="115"/>
      <c r="W73" s="115"/>
      <c r="X73" s="115"/>
      <c r="Y73" s="115"/>
      <c r="Z73" s="115"/>
      <c r="AA73" s="115"/>
      <c r="AB73" s="115"/>
      <c r="AC73" s="115"/>
      <c r="AD73" s="115"/>
      <c r="AE73" s="115"/>
      <c r="AF73" s="115"/>
      <c r="AG73" s="115"/>
      <c r="AH73" s="115"/>
      <c r="AI73" s="115"/>
      <c r="AJ73" s="115"/>
      <c r="AK73" s="115"/>
      <c r="AL73" s="115"/>
      <c r="AM73" s="115"/>
      <c r="AN73" s="115"/>
      <c r="AO73" s="115"/>
      <c r="AP73" s="115"/>
      <c r="AQ73" s="115"/>
      <c r="AR73" s="115"/>
      <c r="AS73" s="115"/>
      <c r="AT73" s="115"/>
      <c r="AU73" s="115"/>
      <c r="AV73" s="115"/>
      <c r="AW73" s="115"/>
      <c r="AX73" s="115"/>
    </row>
    <row r="74" spans="1:50" s="117" customFormat="1" ht="48">
      <c r="A74" s="114" t="s">
        <v>1258</v>
      </c>
      <c r="B74" s="114"/>
      <c r="C74" s="115"/>
      <c r="D74" s="114" t="s">
        <v>1258</v>
      </c>
      <c r="E74" s="116"/>
      <c r="F74" s="118" t="s">
        <v>1180</v>
      </c>
      <c r="G74" s="115"/>
      <c r="H74" s="115" t="s">
        <v>1181</v>
      </c>
      <c r="I74" s="111" t="s">
        <v>5</v>
      </c>
      <c r="J74" s="111"/>
      <c r="K74" s="102"/>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row>
    <row r="75" spans="1:50" s="117" customFormat="1" ht="48">
      <c r="A75" s="114" t="s">
        <v>1259</v>
      </c>
      <c r="B75" s="114"/>
      <c r="C75" s="115"/>
      <c r="D75" s="114" t="s">
        <v>1259</v>
      </c>
      <c r="E75" s="116"/>
      <c r="F75" s="118" t="s">
        <v>1180</v>
      </c>
      <c r="G75" s="115"/>
      <c r="H75" s="115" t="s">
        <v>1181</v>
      </c>
      <c r="I75" s="111" t="s">
        <v>5</v>
      </c>
      <c r="J75" s="111"/>
      <c r="K75" s="102"/>
      <c r="L75" s="115"/>
      <c r="M75" s="115"/>
      <c r="N75" s="115"/>
      <c r="O75" s="115"/>
      <c r="P75" s="115"/>
      <c r="Q75" s="115"/>
      <c r="R75" s="115"/>
      <c r="S75" s="115"/>
      <c r="T75" s="115"/>
      <c r="U75" s="115"/>
      <c r="V75" s="115"/>
      <c r="W75" s="115"/>
      <c r="X75" s="115"/>
      <c r="Y75" s="115"/>
      <c r="Z75" s="115"/>
      <c r="AA75" s="115"/>
      <c r="AB75" s="115"/>
      <c r="AC75" s="115"/>
      <c r="AD75" s="115"/>
      <c r="AE75" s="115"/>
      <c r="AF75" s="115"/>
      <c r="AG75" s="115"/>
      <c r="AH75" s="115"/>
      <c r="AI75" s="115"/>
      <c r="AJ75" s="115"/>
      <c r="AK75" s="115"/>
      <c r="AL75" s="115"/>
      <c r="AM75" s="115"/>
      <c r="AN75" s="115"/>
      <c r="AO75" s="115"/>
      <c r="AP75" s="115"/>
      <c r="AQ75" s="115"/>
      <c r="AR75" s="115"/>
      <c r="AS75" s="115"/>
      <c r="AT75" s="115"/>
      <c r="AU75" s="115"/>
      <c r="AV75" s="115"/>
      <c r="AW75" s="115"/>
      <c r="AX75" s="115"/>
    </row>
    <row r="76" spans="1:50" s="117" customFormat="1" ht="80">
      <c r="A76" s="114" t="s">
        <v>1260</v>
      </c>
      <c r="B76" s="114"/>
      <c r="C76" s="115"/>
      <c r="D76" s="114" t="s">
        <v>1260</v>
      </c>
      <c r="E76" s="116"/>
      <c r="F76" s="118" t="s">
        <v>1180</v>
      </c>
      <c r="G76" s="115"/>
      <c r="H76" s="115" t="s">
        <v>1181</v>
      </c>
      <c r="I76" s="111" t="s">
        <v>5</v>
      </c>
      <c r="J76" s="111"/>
      <c r="K76" s="102"/>
      <c r="L76" s="115"/>
      <c r="M76" s="115"/>
      <c r="N76" s="115"/>
      <c r="O76" s="115"/>
      <c r="P76" s="115"/>
      <c r="Q76" s="115"/>
      <c r="R76" s="115"/>
      <c r="S76" s="115"/>
      <c r="T76" s="115"/>
      <c r="U76" s="115"/>
      <c r="V76" s="115"/>
      <c r="W76" s="115"/>
      <c r="X76" s="115"/>
      <c r="Y76" s="115"/>
      <c r="Z76" s="115"/>
      <c r="AA76" s="115"/>
      <c r="AB76" s="115"/>
      <c r="AC76" s="115"/>
      <c r="AD76" s="115"/>
      <c r="AE76" s="115"/>
      <c r="AF76" s="115"/>
      <c r="AG76" s="115"/>
      <c r="AH76" s="115"/>
      <c r="AI76" s="115"/>
      <c r="AJ76" s="115"/>
      <c r="AK76" s="115"/>
      <c r="AL76" s="115"/>
      <c r="AM76" s="115"/>
      <c r="AN76" s="115"/>
      <c r="AO76" s="115"/>
      <c r="AP76" s="115"/>
      <c r="AQ76" s="115"/>
      <c r="AR76" s="115"/>
      <c r="AS76" s="115"/>
      <c r="AT76" s="115"/>
      <c r="AU76" s="115"/>
      <c r="AV76" s="115"/>
      <c r="AW76" s="115"/>
      <c r="AX76" s="115"/>
    </row>
    <row r="77" spans="1:50" s="117" customFormat="1" ht="64">
      <c r="A77" s="114" t="s">
        <v>1261</v>
      </c>
      <c r="B77" s="114"/>
      <c r="C77" s="115"/>
      <c r="D77" s="114" t="s">
        <v>1261</v>
      </c>
      <c r="E77" s="116"/>
      <c r="F77" s="118" t="s">
        <v>1180</v>
      </c>
      <c r="G77" s="115"/>
      <c r="H77" s="115" t="s">
        <v>1181</v>
      </c>
      <c r="I77" s="111" t="s">
        <v>5</v>
      </c>
      <c r="J77" s="111"/>
      <c r="K77" s="102"/>
      <c r="L77" s="115"/>
      <c r="M77" s="115"/>
      <c r="N77" s="115"/>
      <c r="O77" s="115"/>
      <c r="P77" s="115"/>
      <c r="Q77" s="115"/>
      <c r="R77" s="115"/>
      <c r="S77" s="115"/>
      <c r="T77" s="115"/>
      <c r="U77" s="115"/>
      <c r="V77" s="115"/>
      <c r="W77" s="115"/>
      <c r="X77" s="115"/>
      <c r="Y77" s="115"/>
      <c r="Z77" s="115"/>
      <c r="AA77" s="115"/>
      <c r="AB77" s="115"/>
      <c r="AC77" s="115"/>
      <c r="AD77" s="115"/>
      <c r="AE77" s="115"/>
      <c r="AF77" s="115"/>
      <c r="AG77" s="115"/>
      <c r="AH77" s="115"/>
      <c r="AI77" s="115"/>
      <c r="AJ77" s="115"/>
      <c r="AK77" s="115"/>
      <c r="AL77" s="115"/>
      <c r="AM77" s="115"/>
      <c r="AN77" s="115"/>
      <c r="AO77" s="115"/>
      <c r="AP77" s="115"/>
      <c r="AQ77" s="115"/>
      <c r="AR77" s="115"/>
      <c r="AS77" s="115"/>
      <c r="AT77" s="115"/>
      <c r="AU77" s="115"/>
      <c r="AV77" s="115"/>
      <c r="AW77" s="115"/>
      <c r="AX77" s="115"/>
    </row>
    <row r="78" spans="1:50" s="117" customFormat="1" ht="48">
      <c r="A78" s="114" t="s">
        <v>1262</v>
      </c>
      <c r="B78" s="114"/>
      <c r="C78" s="115"/>
      <c r="D78" s="114" t="s">
        <v>1262</v>
      </c>
      <c r="E78" s="116"/>
      <c r="F78" s="118" t="s">
        <v>1180</v>
      </c>
      <c r="G78" s="115"/>
      <c r="H78" s="115" t="s">
        <v>1181</v>
      </c>
      <c r="I78" s="111" t="s">
        <v>5</v>
      </c>
      <c r="J78" s="111"/>
      <c r="K78" s="102"/>
      <c r="L78" s="115"/>
      <c r="M78" s="115"/>
      <c r="N78" s="115"/>
      <c r="O78" s="115"/>
      <c r="P78" s="115"/>
      <c r="Q78" s="115"/>
      <c r="R78" s="115"/>
      <c r="S78" s="115"/>
      <c r="T78" s="115"/>
      <c r="U78" s="115"/>
      <c r="V78" s="115"/>
      <c r="W78" s="115"/>
      <c r="X78" s="115"/>
      <c r="Y78" s="115"/>
      <c r="Z78" s="115"/>
      <c r="AA78" s="115"/>
      <c r="AB78" s="115"/>
      <c r="AC78" s="115"/>
      <c r="AD78" s="115"/>
      <c r="AE78" s="115"/>
      <c r="AF78" s="115"/>
      <c r="AG78" s="115"/>
      <c r="AH78" s="115"/>
      <c r="AI78" s="115"/>
      <c r="AJ78" s="115"/>
      <c r="AK78" s="115"/>
      <c r="AL78" s="115"/>
      <c r="AM78" s="115"/>
      <c r="AN78" s="115"/>
      <c r="AO78" s="115"/>
      <c r="AP78" s="115"/>
      <c r="AQ78" s="115"/>
      <c r="AR78" s="115"/>
      <c r="AS78" s="115"/>
      <c r="AT78" s="115"/>
      <c r="AU78" s="115"/>
      <c r="AV78" s="115"/>
      <c r="AW78" s="115"/>
      <c r="AX78" s="115"/>
    </row>
    <row r="79" spans="1:50" s="117" customFormat="1" ht="48">
      <c r="A79" s="114" t="s">
        <v>1263</v>
      </c>
      <c r="B79" s="114"/>
      <c r="C79" s="115"/>
      <c r="D79" s="114" t="s">
        <v>1263</v>
      </c>
      <c r="E79" s="116"/>
      <c r="F79" s="118" t="s">
        <v>1180</v>
      </c>
      <c r="G79" s="115"/>
      <c r="H79" s="115" t="s">
        <v>1181</v>
      </c>
      <c r="I79" s="111" t="s">
        <v>5</v>
      </c>
      <c r="J79" s="111"/>
      <c r="K79" s="102"/>
      <c r="L79" s="115"/>
      <c r="M79" s="115"/>
      <c r="N79" s="115"/>
      <c r="O79" s="115"/>
      <c r="P79" s="115"/>
      <c r="Q79" s="115"/>
      <c r="R79" s="115"/>
      <c r="S79" s="115"/>
      <c r="T79" s="115"/>
      <c r="U79" s="115"/>
      <c r="V79" s="115"/>
      <c r="W79" s="115"/>
      <c r="X79" s="115"/>
      <c r="Y79" s="115"/>
      <c r="Z79" s="115"/>
      <c r="AA79" s="115"/>
      <c r="AB79" s="115"/>
      <c r="AC79" s="115"/>
      <c r="AD79" s="115"/>
      <c r="AE79" s="115"/>
      <c r="AF79" s="115"/>
      <c r="AG79" s="115"/>
      <c r="AH79" s="115"/>
      <c r="AI79" s="115"/>
      <c r="AJ79" s="115"/>
      <c r="AK79" s="115"/>
      <c r="AL79" s="115"/>
      <c r="AM79" s="115"/>
      <c r="AN79" s="115"/>
      <c r="AO79" s="115"/>
      <c r="AP79" s="115"/>
      <c r="AQ79" s="115"/>
      <c r="AR79" s="115"/>
      <c r="AS79" s="115"/>
      <c r="AT79" s="115"/>
      <c r="AU79" s="115"/>
      <c r="AV79" s="115"/>
      <c r="AW79" s="115"/>
      <c r="AX79" s="115"/>
    </row>
    <row r="80" spans="1:50" s="117" customFormat="1" ht="80">
      <c r="A80" s="114" t="s">
        <v>1264</v>
      </c>
      <c r="B80" s="114"/>
      <c r="C80" s="115"/>
      <c r="D80" s="114" t="s">
        <v>1264</v>
      </c>
      <c r="E80" s="116"/>
      <c r="F80" s="118" t="s">
        <v>1180</v>
      </c>
      <c r="G80" s="115"/>
      <c r="H80" s="115" t="s">
        <v>1181</v>
      </c>
      <c r="I80" s="111" t="s">
        <v>5</v>
      </c>
      <c r="J80" s="111"/>
      <c r="K80" s="102"/>
      <c r="L80" s="115"/>
      <c r="M80" s="115"/>
      <c r="N80" s="115"/>
      <c r="O80" s="115"/>
      <c r="P80" s="115"/>
      <c r="Q80" s="115"/>
      <c r="R80" s="115"/>
      <c r="S80" s="115"/>
      <c r="T80" s="115"/>
      <c r="U80" s="115"/>
      <c r="V80" s="115"/>
      <c r="W80" s="115"/>
      <c r="X80" s="115"/>
      <c r="Y80" s="115"/>
      <c r="Z80" s="115"/>
      <c r="AA80" s="115"/>
      <c r="AB80" s="115"/>
      <c r="AC80" s="115"/>
      <c r="AD80" s="115"/>
      <c r="AE80" s="115"/>
      <c r="AF80" s="115"/>
      <c r="AG80" s="115"/>
      <c r="AH80" s="115"/>
      <c r="AI80" s="115"/>
      <c r="AJ80" s="115"/>
      <c r="AK80" s="115"/>
      <c r="AL80" s="115"/>
      <c r="AM80" s="115"/>
      <c r="AN80" s="115"/>
      <c r="AO80" s="115"/>
      <c r="AP80" s="115"/>
      <c r="AQ80" s="115"/>
      <c r="AR80" s="115"/>
      <c r="AS80" s="115"/>
      <c r="AT80" s="115"/>
      <c r="AU80" s="115"/>
      <c r="AV80" s="115"/>
      <c r="AW80" s="115"/>
      <c r="AX80" s="115"/>
    </row>
    <row r="81" spans="1:50" s="117" customFormat="1" ht="64">
      <c r="A81" s="114" t="s">
        <v>1265</v>
      </c>
      <c r="B81" s="114"/>
      <c r="C81" s="115"/>
      <c r="D81" s="114" t="s">
        <v>1265</v>
      </c>
      <c r="E81" s="116"/>
      <c r="F81" s="118" t="s">
        <v>1180</v>
      </c>
      <c r="G81" s="115"/>
      <c r="H81" s="115" t="s">
        <v>1181</v>
      </c>
      <c r="I81" s="111" t="s">
        <v>5</v>
      </c>
      <c r="J81" s="111"/>
      <c r="K81" s="102"/>
      <c r="L81" s="115"/>
      <c r="M81" s="115"/>
      <c r="N81" s="115"/>
      <c r="O81" s="115"/>
      <c r="P81" s="115"/>
      <c r="Q81" s="115"/>
      <c r="R81" s="115"/>
      <c r="S81" s="115"/>
      <c r="T81" s="115"/>
      <c r="U81" s="115"/>
      <c r="V81" s="115"/>
      <c r="W81" s="115"/>
      <c r="X81" s="115"/>
      <c r="Y81" s="115"/>
      <c r="Z81" s="115"/>
      <c r="AA81" s="115"/>
      <c r="AB81" s="115"/>
      <c r="AC81" s="115"/>
      <c r="AD81" s="115"/>
      <c r="AE81" s="115"/>
      <c r="AF81" s="115"/>
      <c r="AG81" s="115"/>
      <c r="AH81" s="115"/>
      <c r="AI81" s="115"/>
      <c r="AJ81" s="115"/>
      <c r="AK81" s="115"/>
      <c r="AL81" s="115"/>
      <c r="AM81" s="115"/>
      <c r="AN81" s="115"/>
      <c r="AO81" s="115"/>
      <c r="AP81" s="115"/>
      <c r="AQ81" s="115"/>
      <c r="AR81" s="115"/>
      <c r="AS81" s="115"/>
      <c r="AT81" s="115"/>
      <c r="AU81" s="115"/>
      <c r="AV81" s="115"/>
      <c r="AW81" s="115"/>
      <c r="AX81" s="115"/>
    </row>
    <row r="82" spans="1:50" s="117" customFormat="1" ht="80">
      <c r="A82" s="114" t="s">
        <v>1266</v>
      </c>
      <c r="B82" s="114"/>
      <c r="C82" s="115"/>
      <c r="D82" s="114" t="s">
        <v>1266</v>
      </c>
      <c r="E82" s="116"/>
      <c r="F82" s="118" t="s">
        <v>1180</v>
      </c>
      <c r="G82" s="115"/>
      <c r="H82" s="115" t="s">
        <v>1181</v>
      </c>
      <c r="I82" s="111" t="s">
        <v>5</v>
      </c>
      <c r="J82" s="111"/>
      <c r="K82" s="102"/>
      <c r="L82" s="115"/>
      <c r="M82" s="115"/>
      <c r="N82" s="115"/>
      <c r="O82" s="115"/>
      <c r="P82" s="115"/>
      <c r="Q82" s="115"/>
      <c r="R82" s="115"/>
      <c r="S82" s="115"/>
      <c r="T82" s="115"/>
      <c r="U82" s="115"/>
      <c r="V82" s="115"/>
      <c r="W82" s="115"/>
      <c r="X82" s="115"/>
      <c r="Y82" s="115"/>
      <c r="Z82" s="115"/>
      <c r="AA82" s="115"/>
      <c r="AB82" s="115"/>
      <c r="AC82" s="115"/>
      <c r="AD82" s="115"/>
      <c r="AE82" s="115"/>
      <c r="AF82" s="115"/>
      <c r="AG82" s="115"/>
      <c r="AH82" s="115"/>
      <c r="AI82" s="115"/>
      <c r="AJ82" s="115"/>
      <c r="AK82" s="115"/>
      <c r="AL82" s="115"/>
      <c r="AM82" s="115"/>
      <c r="AN82" s="115"/>
      <c r="AO82" s="115"/>
      <c r="AP82" s="115"/>
      <c r="AQ82" s="115"/>
      <c r="AR82" s="115"/>
      <c r="AS82" s="115"/>
      <c r="AT82" s="115"/>
      <c r="AU82" s="115"/>
      <c r="AV82" s="115"/>
      <c r="AW82" s="115"/>
      <c r="AX82" s="115"/>
    </row>
    <row r="83" spans="1:50" s="117" customFormat="1" ht="64">
      <c r="A83" s="114" t="s">
        <v>1267</v>
      </c>
      <c r="B83" s="114"/>
      <c r="C83" s="115"/>
      <c r="D83" s="114" t="s">
        <v>1267</v>
      </c>
      <c r="E83" s="116"/>
      <c r="F83" s="118" t="s">
        <v>1180</v>
      </c>
      <c r="G83" s="115"/>
      <c r="H83" s="115" t="s">
        <v>1181</v>
      </c>
      <c r="I83" s="111" t="s">
        <v>5</v>
      </c>
      <c r="J83" s="111"/>
      <c r="K83" s="102"/>
      <c r="L83" s="115"/>
      <c r="M83" s="115"/>
      <c r="N83" s="115"/>
      <c r="O83" s="115"/>
      <c r="P83" s="115"/>
      <c r="Q83" s="115"/>
      <c r="R83" s="115"/>
      <c r="S83" s="115"/>
      <c r="T83" s="115"/>
      <c r="U83" s="115"/>
      <c r="V83" s="115"/>
      <c r="W83" s="115"/>
      <c r="X83" s="115"/>
      <c r="Y83" s="115"/>
      <c r="Z83" s="115"/>
      <c r="AA83" s="115"/>
      <c r="AB83" s="115"/>
      <c r="AC83" s="115"/>
      <c r="AD83" s="115"/>
      <c r="AE83" s="115"/>
      <c r="AF83" s="115"/>
      <c r="AG83" s="115"/>
      <c r="AH83" s="115"/>
      <c r="AI83" s="115"/>
      <c r="AJ83" s="115"/>
      <c r="AK83" s="115"/>
      <c r="AL83" s="115"/>
      <c r="AM83" s="115"/>
      <c r="AN83" s="115"/>
      <c r="AO83" s="115"/>
      <c r="AP83" s="115"/>
      <c r="AQ83" s="115"/>
      <c r="AR83" s="115"/>
      <c r="AS83" s="115"/>
      <c r="AT83" s="115"/>
      <c r="AU83" s="115"/>
      <c r="AV83" s="115"/>
      <c r="AW83" s="115"/>
      <c r="AX83" s="115"/>
    </row>
    <row r="84" spans="1:50" ht="16">
      <c r="A84" s="34" t="s">
        <v>926</v>
      </c>
      <c r="B84" s="34"/>
      <c r="C84" s="2"/>
      <c r="D84" s="34"/>
      <c r="E84" s="4"/>
      <c r="F84" s="131" t="s">
        <v>1180</v>
      </c>
      <c r="G84" s="2"/>
      <c r="H84" s="115" t="s">
        <v>1181</v>
      </c>
      <c r="I84" s="111" t="s">
        <v>5</v>
      </c>
      <c r="J84" s="97"/>
      <c r="K84" s="10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row>
    <row r="85" spans="1:50" s="117" customFormat="1" ht="64">
      <c r="A85" s="114" t="s">
        <v>1268</v>
      </c>
      <c r="B85" s="114"/>
      <c r="C85" s="115"/>
      <c r="D85" s="114" t="s">
        <v>1268</v>
      </c>
      <c r="E85" s="116"/>
      <c r="F85" s="118" t="s">
        <v>1180</v>
      </c>
      <c r="G85" s="115"/>
      <c r="H85" s="115" t="s">
        <v>1181</v>
      </c>
      <c r="I85" s="111" t="s">
        <v>5</v>
      </c>
      <c r="J85" s="111"/>
      <c r="K85" s="102"/>
      <c r="L85" s="115"/>
      <c r="M85" s="115"/>
      <c r="N85" s="115"/>
      <c r="O85" s="115"/>
      <c r="P85" s="115"/>
      <c r="Q85" s="115"/>
      <c r="R85" s="115"/>
      <c r="S85" s="115"/>
      <c r="T85" s="115"/>
      <c r="U85" s="115"/>
      <c r="V85" s="115"/>
      <c r="W85" s="115"/>
      <c r="X85" s="115"/>
      <c r="Y85" s="115"/>
      <c r="Z85" s="115"/>
      <c r="AA85" s="115"/>
      <c r="AB85" s="115"/>
      <c r="AC85" s="115"/>
      <c r="AD85" s="115"/>
      <c r="AE85" s="115"/>
      <c r="AF85" s="115"/>
      <c r="AG85" s="115"/>
      <c r="AH85" s="115"/>
      <c r="AI85" s="115"/>
      <c r="AJ85" s="115"/>
      <c r="AK85" s="115"/>
      <c r="AL85" s="115"/>
      <c r="AM85" s="115"/>
      <c r="AN85" s="115"/>
      <c r="AO85" s="115"/>
      <c r="AP85" s="115"/>
      <c r="AQ85" s="115"/>
      <c r="AR85" s="115"/>
      <c r="AS85" s="115"/>
      <c r="AT85" s="115"/>
      <c r="AU85" s="115"/>
      <c r="AV85" s="115"/>
      <c r="AW85" s="115"/>
      <c r="AX85" s="115"/>
    </row>
    <row r="86" spans="1:50" s="117" customFormat="1" ht="48">
      <c r="A86" s="114" t="s">
        <v>1269</v>
      </c>
      <c r="B86" s="114"/>
      <c r="C86" s="115"/>
      <c r="D86" s="114" t="s">
        <v>1269</v>
      </c>
      <c r="E86" s="116"/>
      <c r="F86" s="118" t="s">
        <v>1180</v>
      </c>
      <c r="G86" s="115"/>
      <c r="H86" s="115" t="s">
        <v>1181</v>
      </c>
      <c r="I86" s="111" t="s">
        <v>5</v>
      </c>
      <c r="J86" s="111"/>
      <c r="K86" s="102"/>
      <c r="L86" s="115"/>
      <c r="M86" s="115"/>
      <c r="N86" s="115"/>
      <c r="O86" s="115"/>
      <c r="P86" s="115"/>
      <c r="Q86" s="115"/>
      <c r="R86" s="115"/>
      <c r="S86" s="115"/>
      <c r="T86" s="115"/>
      <c r="U86" s="115"/>
      <c r="V86" s="115"/>
      <c r="W86" s="115"/>
      <c r="X86" s="115"/>
      <c r="Y86" s="115"/>
      <c r="Z86" s="115"/>
      <c r="AA86" s="115"/>
      <c r="AB86" s="115"/>
      <c r="AC86" s="115"/>
      <c r="AD86" s="115"/>
      <c r="AE86" s="115"/>
      <c r="AF86" s="115"/>
      <c r="AG86" s="115"/>
      <c r="AH86" s="115"/>
      <c r="AI86" s="115"/>
      <c r="AJ86" s="115"/>
      <c r="AK86" s="115"/>
      <c r="AL86" s="115"/>
      <c r="AM86" s="115"/>
      <c r="AN86" s="115"/>
      <c r="AO86" s="115"/>
      <c r="AP86" s="115"/>
      <c r="AQ86" s="115"/>
      <c r="AR86" s="115"/>
      <c r="AS86" s="115"/>
      <c r="AT86" s="115"/>
      <c r="AU86" s="115"/>
      <c r="AV86" s="115"/>
      <c r="AW86" s="115"/>
      <c r="AX86" s="115"/>
    </row>
    <row r="87" spans="1:50" s="117" customFormat="1" ht="80">
      <c r="A87" s="114" t="s">
        <v>1270</v>
      </c>
      <c r="B87" s="114"/>
      <c r="C87" s="115"/>
      <c r="D87" s="114" t="s">
        <v>1270</v>
      </c>
      <c r="E87" s="116"/>
      <c r="F87" s="118" t="s">
        <v>1180</v>
      </c>
      <c r="G87" s="115"/>
      <c r="H87" s="115" t="s">
        <v>1181</v>
      </c>
      <c r="I87" s="111" t="s">
        <v>5</v>
      </c>
      <c r="J87" s="111"/>
      <c r="K87" s="102"/>
      <c r="L87" s="115"/>
      <c r="M87" s="115"/>
      <c r="N87" s="115"/>
      <c r="O87" s="115"/>
      <c r="P87" s="115"/>
      <c r="Q87" s="115"/>
      <c r="R87" s="115"/>
      <c r="S87" s="115"/>
      <c r="T87" s="115"/>
      <c r="U87" s="115"/>
      <c r="V87" s="115"/>
      <c r="W87" s="115"/>
      <c r="X87" s="115"/>
      <c r="Y87" s="115"/>
      <c r="Z87" s="115"/>
      <c r="AA87" s="115"/>
      <c r="AB87" s="115"/>
      <c r="AC87" s="115"/>
      <c r="AD87" s="115"/>
      <c r="AE87" s="115"/>
      <c r="AF87" s="115"/>
      <c r="AG87" s="115"/>
      <c r="AH87" s="115"/>
      <c r="AI87" s="115"/>
      <c r="AJ87" s="115"/>
      <c r="AK87" s="115"/>
      <c r="AL87" s="115"/>
      <c r="AM87" s="115"/>
      <c r="AN87" s="115"/>
      <c r="AO87" s="115"/>
      <c r="AP87" s="115"/>
      <c r="AQ87" s="115"/>
      <c r="AR87" s="115"/>
      <c r="AS87" s="115"/>
      <c r="AT87" s="115"/>
      <c r="AU87" s="115"/>
      <c r="AV87" s="115"/>
      <c r="AW87" s="115"/>
      <c r="AX87" s="115"/>
    </row>
    <row r="88" spans="1:50" s="117" customFormat="1" ht="64">
      <c r="A88" s="114" t="s">
        <v>1271</v>
      </c>
      <c r="B88" s="114"/>
      <c r="C88" s="115"/>
      <c r="D88" s="114" t="s">
        <v>1271</v>
      </c>
      <c r="E88" s="116"/>
      <c r="F88" s="118" t="s">
        <v>1180</v>
      </c>
      <c r="G88" s="115"/>
      <c r="H88" s="115" t="s">
        <v>1181</v>
      </c>
      <c r="I88" s="111" t="s">
        <v>5</v>
      </c>
      <c r="J88" s="111"/>
      <c r="K88" s="102"/>
      <c r="L88" s="115"/>
      <c r="M88" s="115"/>
      <c r="N88" s="115"/>
      <c r="O88" s="115"/>
      <c r="P88" s="115"/>
      <c r="Q88" s="115"/>
      <c r="R88" s="115"/>
      <c r="S88" s="115"/>
      <c r="T88" s="115"/>
      <c r="U88" s="115"/>
      <c r="V88" s="115"/>
      <c r="W88" s="115"/>
      <c r="X88" s="115"/>
      <c r="Y88" s="115"/>
      <c r="Z88" s="115"/>
      <c r="AA88" s="115"/>
      <c r="AB88" s="115"/>
      <c r="AC88" s="115"/>
      <c r="AD88" s="115"/>
      <c r="AE88" s="115"/>
      <c r="AF88" s="115"/>
      <c r="AG88" s="115"/>
      <c r="AH88" s="115"/>
      <c r="AI88" s="115"/>
      <c r="AJ88" s="115"/>
      <c r="AK88" s="115"/>
      <c r="AL88" s="115"/>
      <c r="AM88" s="115"/>
      <c r="AN88" s="115"/>
      <c r="AO88" s="115"/>
      <c r="AP88" s="115"/>
      <c r="AQ88" s="115"/>
      <c r="AR88" s="115"/>
      <c r="AS88" s="115"/>
      <c r="AT88" s="115"/>
      <c r="AU88" s="115"/>
      <c r="AV88" s="115"/>
      <c r="AW88" s="115"/>
      <c r="AX88" s="115"/>
    </row>
    <row r="89" spans="1:50" s="117" customFormat="1" ht="48">
      <c r="A89" s="114" t="s">
        <v>1272</v>
      </c>
      <c r="B89" s="114"/>
      <c r="C89" s="115"/>
      <c r="D89" s="114" t="s">
        <v>1272</v>
      </c>
      <c r="E89" s="116"/>
      <c r="F89" s="118" t="s">
        <v>1180</v>
      </c>
      <c r="G89" s="115"/>
      <c r="H89" s="115" t="s">
        <v>1181</v>
      </c>
      <c r="I89" s="111" t="s">
        <v>5</v>
      </c>
      <c r="J89" s="111"/>
      <c r="K89" s="102"/>
      <c r="L89" s="115"/>
      <c r="M89" s="115"/>
      <c r="N89" s="115"/>
      <c r="O89" s="115"/>
      <c r="P89" s="115"/>
      <c r="Q89" s="115"/>
      <c r="R89" s="115"/>
      <c r="S89" s="115"/>
      <c r="T89" s="115"/>
      <c r="U89" s="115"/>
      <c r="V89" s="115"/>
      <c r="W89" s="115"/>
      <c r="X89" s="115"/>
      <c r="Y89" s="115"/>
      <c r="Z89" s="115"/>
      <c r="AA89" s="115"/>
      <c r="AB89" s="115"/>
      <c r="AC89" s="115"/>
      <c r="AD89" s="115"/>
      <c r="AE89" s="115"/>
      <c r="AF89" s="115"/>
      <c r="AG89" s="115"/>
      <c r="AH89" s="115"/>
      <c r="AI89" s="115"/>
      <c r="AJ89" s="115"/>
      <c r="AK89" s="115"/>
      <c r="AL89" s="115"/>
      <c r="AM89" s="115"/>
      <c r="AN89" s="115"/>
      <c r="AO89" s="115"/>
      <c r="AP89" s="115"/>
      <c r="AQ89" s="115"/>
      <c r="AR89" s="115"/>
      <c r="AS89" s="115"/>
      <c r="AT89" s="115"/>
      <c r="AU89" s="115"/>
      <c r="AV89" s="115"/>
      <c r="AW89" s="115"/>
      <c r="AX89" s="115"/>
    </row>
    <row r="90" spans="1:50" s="117" customFormat="1" ht="48">
      <c r="A90" s="114" t="s">
        <v>1273</v>
      </c>
      <c r="B90" s="114"/>
      <c r="C90" s="115"/>
      <c r="D90" s="114" t="s">
        <v>1273</v>
      </c>
      <c r="E90" s="116"/>
      <c r="F90" s="118" t="s">
        <v>1180</v>
      </c>
      <c r="G90" s="115"/>
      <c r="H90" s="115" t="s">
        <v>1181</v>
      </c>
      <c r="I90" s="111" t="s">
        <v>5</v>
      </c>
      <c r="J90" s="111"/>
      <c r="K90" s="102"/>
      <c r="L90" s="115"/>
      <c r="M90" s="115"/>
      <c r="N90" s="115"/>
      <c r="O90" s="115"/>
      <c r="P90" s="115"/>
      <c r="Q90" s="115"/>
      <c r="R90" s="115"/>
      <c r="S90" s="115"/>
      <c r="T90" s="115"/>
      <c r="U90" s="115"/>
      <c r="V90" s="115"/>
      <c r="W90" s="115"/>
      <c r="X90" s="115"/>
      <c r="Y90" s="115"/>
      <c r="Z90" s="115"/>
      <c r="AA90" s="115"/>
      <c r="AB90" s="115"/>
      <c r="AC90" s="115"/>
      <c r="AD90" s="115"/>
      <c r="AE90" s="115"/>
      <c r="AF90" s="115"/>
      <c r="AG90" s="115"/>
      <c r="AH90" s="115"/>
      <c r="AI90" s="115"/>
      <c r="AJ90" s="115"/>
      <c r="AK90" s="115"/>
      <c r="AL90" s="115"/>
      <c r="AM90" s="115"/>
      <c r="AN90" s="115"/>
      <c r="AO90" s="115"/>
      <c r="AP90" s="115"/>
      <c r="AQ90" s="115"/>
      <c r="AR90" s="115"/>
      <c r="AS90" s="115"/>
      <c r="AT90" s="115"/>
      <c r="AU90" s="115"/>
      <c r="AV90" s="115"/>
      <c r="AW90" s="115"/>
      <c r="AX90" s="115"/>
    </row>
    <row r="91" spans="1:50" s="117" customFormat="1" ht="80">
      <c r="A91" s="114" t="s">
        <v>1274</v>
      </c>
      <c r="B91" s="114"/>
      <c r="C91" s="115"/>
      <c r="D91" s="114" t="s">
        <v>1274</v>
      </c>
      <c r="E91" s="116"/>
      <c r="F91" s="118" t="s">
        <v>1180</v>
      </c>
      <c r="G91" s="115"/>
      <c r="H91" s="115" t="s">
        <v>1181</v>
      </c>
      <c r="I91" s="111" t="s">
        <v>5</v>
      </c>
      <c r="J91" s="111"/>
      <c r="K91" s="102"/>
      <c r="L91" s="115"/>
      <c r="M91" s="115"/>
      <c r="N91" s="115"/>
      <c r="O91" s="115"/>
      <c r="P91" s="115"/>
      <c r="Q91" s="115"/>
      <c r="R91" s="115"/>
      <c r="S91" s="115"/>
      <c r="T91" s="115"/>
      <c r="U91" s="115"/>
      <c r="V91" s="115"/>
      <c r="W91" s="115"/>
      <c r="X91" s="115"/>
      <c r="Y91" s="115"/>
      <c r="Z91" s="115"/>
      <c r="AA91" s="115"/>
      <c r="AB91" s="115"/>
      <c r="AC91" s="115"/>
      <c r="AD91" s="115"/>
      <c r="AE91" s="115"/>
      <c r="AF91" s="115"/>
      <c r="AG91" s="115"/>
      <c r="AH91" s="115"/>
      <c r="AI91" s="115"/>
      <c r="AJ91" s="115"/>
      <c r="AK91" s="115"/>
      <c r="AL91" s="115"/>
      <c r="AM91" s="115"/>
      <c r="AN91" s="115"/>
      <c r="AO91" s="115"/>
      <c r="AP91" s="115"/>
      <c r="AQ91" s="115"/>
      <c r="AR91" s="115"/>
      <c r="AS91" s="115"/>
      <c r="AT91" s="115"/>
      <c r="AU91" s="115"/>
      <c r="AV91" s="115"/>
      <c r="AW91" s="115"/>
      <c r="AX91" s="115"/>
    </row>
    <row r="92" spans="1:50" s="117" customFormat="1" ht="64">
      <c r="A92" s="114" t="s">
        <v>1275</v>
      </c>
      <c r="B92" s="114"/>
      <c r="C92" s="115"/>
      <c r="D92" s="114" t="s">
        <v>1275</v>
      </c>
      <c r="E92" s="116"/>
      <c r="F92" s="118" t="s">
        <v>1180</v>
      </c>
      <c r="G92" s="115"/>
      <c r="H92" s="115" t="s">
        <v>1181</v>
      </c>
      <c r="I92" s="111" t="s">
        <v>5</v>
      </c>
      <c r="J92" s="111"/>
      <c r="K92" s="102"/>
      <c r="L92" s="115"/>
      <c r="M92" s="115"/>
      <c r="N92" s="115"/>
      <c r="O92" s="115"/>
      <c r="P92" s="115"/>
      <c r="Q92" s="115"/>
      <c r="R92" s="115"/>
      <c r="S92" s="115"/>
      <c r="T92" s="115"/>
      <c r="U92" s="115"/>
      <c r="V92" s="115"/>
      <c r="W92" s="115"/>
      <c r="X92" s="115"/>
      <c r="Y92" s="115"/>
      <c r="Z92" s="115"/>
      <c r="AA92" s="115"/>
      <c r="AB92" s="115"/>
      <c r="AC92" s="115"/>
      <c r="AD92" s="115"/>
      <c r="AE92" s="115"/>
      <c r="AF92" s="115"/>
      <c r="AG92" s="115"/>
      <c r="AH92" s="115"/>
      <c r="AI92" s="115"/>
      <c r="AJ92" s="115"/>
      <c r="AK92" s="115"/>
      <c r="AL92" s="115"/>
      <c r="AM92" s="115"/>
      <c r="AN92" s="115"/>
      <c r="AO92" s="115"/>
      <c r="AP92" s="115"/>
      <c r="AQ92" s="115"/>
      <c r="AR92" s="115"/>
      <c r="AS92" s="115"/>
      <c r="AT92" s="115"/>
      <c r="AU92" s="115"/>
      <c r="AV92" s="115"/>
      <c r="AW92" s="115"/>
      <c r="AX92" s="115"/>
    </row>
    <row r="93" spans="1:50" s="117" customFormat="1" ht="64">
      <c r="A93" s="114" t="s">
        <v>1276</v>
      </c>
      <c r="B93" s="114"/>
      <c r="C93" s="115"/>
      <c r="D93" s="114" t="s">
        <v>1276</v>
      </c>
      <c r="E93" s="116"/>
      <c r="F93" s="118" t="s">
        <v>1180</v>
      </c>
      <c r="G93" s="115"/>
      <c r="H93" s="115" t="s">
        <v>1181</v>
      </c>
      <c r="I93" s="111" t="s">
        <v>5</v>
      </c>
      <c r="J93" s="111"/>
      <c r="K93" s="102"/>
      <c r="L93" s="115"/>
      <c r="M93" s="115"/>
      <c r="N93" s="115"/>
      <c r="O93" s="115"/>
      <c r="P93" s="115"/>
      <c r="Q93" s="115"/>
      <c r="R93" s="115"/>
      <c r="S93" s="115"/>
      <c r="T93" s="115"/>
      <c r="U93" s="115"/>
      <c r="V93" s="115"/>
      <c r="W93" s="115"/>
      <c r="X93" s="115"/>
      <c r="Y93" s="115"/>
      <c r="Z93" s="115"/>
      <c r="AA93" s="115"/>
      <c r="AB93" s="115"/>
      <c r="AC93" s="115"/>
      <c r="AD93" s="115"/>
      <c r="AE93" s="115"/>
      <c r="AF93" s="115"/>
      <c r="AG93" s="115"/>
      <c r="AH93" s="115"/>
      <c r="AI93" s="115"/>
      <c r="AJ93" s="115"/>
      <c r="AK93" s="115"/>
      <c r="AL93" s="115"/>
      <c r="AM93" s="115"/>
      <c r="AN93" s="115"/>
      <c r="AO93" s="115"/>
      <c r="AP93" s="115"/>
      <c r="AQ93" s="115"/>
      <c r="AR93" s="115"/>
      <c r="AS93" s="115"/>
      <c r="AT93" s="115"/>
      <c r="AU93" s="115"/>
      <c r="AV93" s="115"/>
      <c r="AW93" s="115"/>
      <c r="AX93" s="115"/>
    </row>
    <row r="94" spans="1:50" s="117" customFormat="1" ht="48">
      <c r="A94" s="114" t="s">
        <v>1277</v>
      </c>
      <c r="B94" s="114"/>
      <c r="C94" s="115"/>
      <c r="D94" s="114" t="s">
        <v>1277</v>
      </c>
      <c r="E94" s="116"/>
      <c r="F94" s="118" t="s">
        <v>1180</v>
      </c>
      <c r="G94" s="115"/>
      <c r="H94" s="115" t="s">
        <v>1181</v>
      </c>
      <c r="I94" s="111" t="s">
        <v>5</v>
      </c>
      <c r="J94" s="111"/>
      <c r="K94" s="102"/>
      <c r="L94" s="115"/>
      <c r="M94" s="115"/>
      <c r="N94" s="115"/>
      <c r="O94" s="115"/>
      <c r="P94" s="115"/>
      <c r="Q94" s="115"/>
      <c r="R94" s="115"/>
      <c r="S94" s="115"/>
      <c r="T94" s="115"/>
      <c r="U94" s="115"/>
      <c r="V94" s="115"/>
      <c r="W94" s="115"/>
      <c r="X94" s="115"/>
      <c r="Y94" s="115"/>
      <c r="Z94" s="115"/>
      <c r="AA94" s="115"/>
      <c r="AB94" s="115"/>
      <c r="AC94" s="115"/>
      <c r="AD94" s="115"/>
      <c r="AE94" s="115"/>
      <c r="AF94" s="115"/>
      <c r="AG94" s="115"/>
      <c r="AH94" s="115"/>
      <c r="AI94" s="115"/>
      <c r="AJ94" s="115"/>
      <c r="AK94" s="115"/>
      <c r="AL94" s="115"/>
      <c r="AM94" s="115"/>
      <c r="AN94" s="115"/>
      <c r="AO94" s="115"/>
      <c r="AP94" s="115"/>
      <c r="AQ94" s="115"/>
      <c r="AR94" s="115"/>
      <c r="AS94" s="115"/>
      <c r="AT94" s="115"/>
      <c r="AU94" s="115"/>
      <c r="AV94" s="115"/>
      <c r="AW94" s="115"/>
      <c r="AX94" s="115"/>
    </row>
    <row r="95" spans="1:50" s="117" customFormat="1" ht="80">
      <c r="A95" s="114" t="s">
        <v>1278</v>
      </c>
      <c r="B95" s="114"/>
      <c r="C95" s="115"/>
      <c r="D95" s="114" t="s">
        <v>1278</v>
      </c>
      <c r="E95" s="116"/>
      <c r="F95" s="118" t="s">
        <v>1180</v>
      </c>
      <c r="G95" s="115"/>
      <c r="H95" s="115" t="s">
        <v>1181</v>
      </c>
      <c r="I95" s="111" t="s">
        <v>5</v>
      </c>
      <c r="J95" s="111"/>
      <c r="K95" s="102"/>
      <c r="L95" s="115"/>
      <c r="M95" s="115"/>
      <c r="N95" s="115"/>
      <c r="O95" s="115"/>
      <c r="P95" s="115"/>
      <c r="Q95" s="115"/>
      <c r="R95" s="115"/>
      <c r="S95" s="115"/>
      <c r="T95" s="115"/>
      <c r="U95" s="115"/>
      <c r="V95" s="115"/>
      <c r="W95" s="115"/>
      <c r="X95" s="115"/>
      <c r="Y95" s="115"/>
      <c r="Z95" s="115"/>
      <c r="AA95" s="115"/>
      <c r="AB95" s="115"/>
      <c r="AC95" s="115"/>
      <c r="AD95" s="115"/>
      <c r="AE95" s="115"/>
      <c r="AF95" s="115"/>
      <c r="AG95" s="115"/>
      <c r="AH95" s="115"/>
      <c r="AI95" s="115"/>
      <c r="AJ95" s="115"/>
      <c r="AK95" s="115"/>
      <c r="AL95" s="115"/>
      <c r="AM95" s="115"/>
      <c r="AN95" s="115"/>
      <c r="AO95" s="115"/>
      <c r="AP95" s="115"/>
      <c r="AQ95" s="115"/>
      <c r="AR95" s="115"/>
      <c r="AS95" s="115"/>
      <c r="AT95" s="115"/>
      <c r="AU95" s="115"/>
      <c r="AV95" s="115"/>
      <c r="AW95" s="115"/>
      <c r="AX95" s="115"/>
    </row>
    <row r="96" spans="1:50" s="117" customFormat="1" ht="64">
      <c r="A96" s="114" t="s">
        <v>1279</v>
      </c>
      <c r="B96" s="114"/>
      <c r="C96" s="115"/>
      <c r="D96" s="114" t="s">
        <v>1279</v>
      </c>
      <c r="E96" s="116"/>
      <c r="F96" s="118" t="s">
        <v>1180</v>
      </c>
      <c r="G96" s="115"/>
      <c r="H96" s="115" t="s">
        <v>1181</v>
      </c>
      <c r="I96" s="111" t="s">
        <v>5</v>
      </c>
      <c r="J96" s="111"/>
      <c r="K96" s="102"/>
      <c r="L96" s="115"/>
      <c r="M96" s="115"/>
      <c r="N96" s="115"/>
      <c r="O96" s="115"/>
      <c r="P96" s="115"/>
      <c r="Q96" s="115"/>
      <c r="R96" s="115"/>
      <c r="S96" s="115"/>
      <c r="T96" s="115"/>
      <c r="U96" s="115"/>
      <c r="V96" s="115"/>
      <c r="W96" s="115"/>
      <c r="X96" s="115"/>
      <c r="Y96" s="115"/>
      <c r="Z96" s="115"/>
      <c r="AA96" s="115"/>
      <c r="AB96" s="115"/>
      <c r="AC96" s="115"/>
      <c r="AD96" s="115"/>
      <c r="AE96" s="115"/>
      <c r="AF96" s="115"/>
      <c r="AG96" s="115"/>
      <c r="AH96" s="115"/>
      <c r="AI96" s="115"/>
      <c r="AJ96" s="115"/>
      <c r="AK96" s="115"/>
      <c r="AL96" s="115"/>
      <c r="AM96" s="115"/>
      <c r="AN96" s="115"/>
      <c r="AO96" s="115"/>
      <c r="AP96" s="115"/>
      <c r="AQ96" s="115"/>
      <c r="AR96" s="115"/>
      <c r="AS96" s="115"/>
      <c r="AT96" s="115"/>
      <c r="AU96" s="115"/>
      <c r="AV96" s="115"/>
      <c r="AW96" s="115"/>
      <c r="AX96" s="115"/>
    </row>
    <row r="97" spans="1:50" s="117" customFormat="1" ht="48">
      <c r="A97" s="114" t="s">
        <v>1280</v>
      </c>
      <c r="B97" s="114"/>
      <c r="C97" s="115"/>
      <c r="D97" s="114" t="s">
        <v>1280</v>
      </c>
      <c r="E97" s="116"/>
      <c r="F97" s="118" t="s">
        <v>1180</v>
      </c>
      <c r="G97" s="115"/>
      <c r="H97" s="115" t="s">
        <v>1181</v>
      </c>
      <c r="I97" s="111" t="s">
        <v>5</v>
      </c>
      <c r="J97" s="111"/>
      <c r="K97" s="102"/>
      <c r="L97" s="115"/>
      <c r="M97" s="115"/>
      <c r="N97" s="115"/>
      <c r="O97" s="115"/>
      <c r="P97" s="115"/>
      <c r="Q97" s="115"/>
      <c r="R97" s="115"/>
      <c r="S97" s="115"/>
      <c r="T97" s="115"/>
      <c r="U97" s="115"/>
      <c r="V97" s="115"/>
      <c r="W97" s="115"/>
      <c r="X97" s="115"/>
      <c r="Y97" s="115"/>
      <c r="Z97" s="115"/>
      <c r="AA97" s="115"/>
      <c r="AB97" s="115"/>
      <c r="AC97" s="115"/>
      <c r="AD97" s="115"/>
      <c r="AE97" s="115"/>
      <c r="AF97" s="115"/>
      <c r="AG97" s="115"/>
      <c r="AH97" s="115"/>
      <c r="AI97" s="115"/>
      <c r="AJ97" s="115"/>
      <c r="AK97" s="115"/>
      <c r="AL97" s="115"/>
      <c r="AM97" s="115"/>
      <c r="AN97" s="115"/>
      <c r="AO97" s="115"/>
      <c r="AP97" s="115"/>
      <c r="AQ97" s="115"/>
      <c r="AR97" s="115"/>
      <c r="AS97" s="115"/>
      <c r="AT97" s="115"/>
      <c r="AU97" s="115"/>
      <c r="AV97" s="115"/>
      <c r="AW97" s="115"/>
      <c r="AX97" s="115"/>
    </row>
    <row r="98" spans="1:50" s="117" customFormat="1" ht="32">
      <c r="A98" s="132" t="s">
        <v>972</v>
      </c>
      <c r="B98" s="114"/>
      <c r="C98" s="115"/>
      <c r="D98" s="114" t="s">
        <v>972</v>
      </c>
      <c r="E98" s="116"/>
      <c r="F98" s="118" t="s">
        <v>1180</v>
      </c>
      <c r="G98" s="115"/>
      <c r="H98" s="133" t="s">
        <v>341</v>
      </c>
      <c r="I98" s="111" t="s">
        <v>5</v>
      </c>
      <c r="J98" s="111"/>
      <c r="K98" s="102"/>
      <c r="L98" s="115"/>
      <c r="M98" s="115"/>
      <c r="N98" s="115"/>
      <c r="O98" s="115"/>
      <c r="P98" s="115"/>
      <c r="Q98" s="115"/>
      <c r="R98" s="115"/>
      <c r="S98" s="115"/>
      <c r="T98" s="115"/>
      <c r="U98" s="115"/>
      <c r="V98" s="115"/>
      <c r="W98" s="115"/>
      <c r="X98" s="115"/>
      <c r="Y98" s="115"/>
      <c r="Z98" s="115"/>
      <c r="AA98" s="115"/>
      <c r="AB98" s="115"/>
      <c r="AC98" s="115"/>
      <c r="AD98" s="115"/>
      <c r="AE98" s="115"/>
      <c r="AF98" s="115"/>
      <c r="AG98" s="115"/>
      <c r="AH98" s="115"/>
      <c r="AI98" s="115"/>
      <c r="AJ98" s="115"/>
      <c r="AK98" s="115"/>
      <c r="AL98" s="115"/>
      <c r="AM98" s="115"/>
      <c r="AN98" s="115"/>
      <c r="AO98" s="115"/>
      <c r="AP98" s="115"/>
      <c r="AQ98" s="115"/>
      <c r="AR98" s="115"/>
      <c r="AS98" s="115"/>
      <c r="AT98" s="115"/>
      <c r="AU98" s="115"/>
      <c r="AV98" s="115"/>
      <c r="AW98" s="115"/>
      <c r="AX98" s="115"/>
    </row>
    <row r="99" spans="1:50" s="117" customFormat="1" ht="48">
      <c r="A99" s="114" t="s">
        <v>1281</v>
      </c>
      <c r="B99" s="114"/>
      <c r="C99" s="115"/>
      <c r="D99" s="114" t="s">
        <v>1281</v>
      </c>
      <c r="E99" s="116"/>
      <c r="F99" s="118" t="s">
        <v>1180</v>
      </c>
      <c r="G99" s="115"/>
      <c r="H99" s="115" t="s">
        <v>1181</v>
      </c>
      <c r="I99" s="111" t="s">
        <v>5</v>
      </c>
      <c r="J99" s="111"/>
      <c r="K99" s="102"/>
      <c r="L99" s="115"/>
      <c r="M99" s="115"/>
      <c r="N99" s="115"/>
      <c r="O99" s="115"/>
      <c r="P99" s="115"/>
      <c r="Q99" s="115"/>
      <c r="R99" s="115"/>
      <c r="S99" s="115"/>
      <c r="T99" s="115"/>
      <c r="U99" s="115"/>
      <c r="V99" s="115"/>
      <c r="W99" s="115"/>
      <c r="X99" s="115"/>
      <c r="Y99" s="115"/>
      <c r="Z99" s="115"/>
      <c r="AA99" s="115"/>
      <c r="AB99" s="115"/>
      <c r="AC99" s="115"/>
      <c r="AD99" s="115"/>
      <c r="AE99" s="115"/>
      <c r="AF99" s="115"/>
      <c r="AG99" s="115"/>
      <c r="AH99" s="115"/>
      <c r="AI99" s="115"/>
      <c r="AJ99" s="115"/>
      <c r="AK99" s="115"/>
      <c r="AL99" s="115"/>
      <c r="AM99" s="115"/>
      <c r="AN99" s="115"/>
      <c r="AO99" s="115"/>
      <c r="AP99" s="115"/>
      <c r="AQ99" s="115"/>
      <c r="AR99" s="115"/>
      <c r="AS99" s="115"/>
      <c r="AT99" s="115"/>
      <c r="AU99" s="115"/>
      <c r="AV99" s="115"/>
      <c r="AW99" s="115"/>
      <c r="AX99" s="115"/>
    </row>
    <row r="100" spans="1:50" s="117" customFormat="1" ht="80">
      <c r="A100" s="114" t="s">
        <v>1282</v>
      </c>
      <c r="B100" s="114"/>
      <c r="C100" s="115"/>
      <c r="D100" s="114" t="s">
        <v>1282</v>
      </c>
      <c r="E100" s="116"/>
      <c r="F100" s="118" t="s">
        <v>1180</v>
      </c>
      <c r="G100" s="115"/>
      <c r="H100" s="115" t="s">
        <v>1181</v>
      </c>
      <c r="I100" s="111" t="s">
        <v>5</v>
      </c>
      <c r="J100" s="111"/>
      <c r="K100" s="102"/>
      <c r="L100" s="115"/>
      <c r="M100" s="115"/>
      <c r="N100" s="115"/>
      <c r="O100" s="115"/>
      <c r="P100" s="115"/>
      <c r="Q100" s="115"/>
      <c r="R100" s="115"/>
      <c r="S100" s="115"/>
      <c r="T100" s="115"/>
      <c r="U100" s="115"/>
      <c r="V100" s="115"/>
      <c r="W100" s="115"/>
      <c r="X100" s="115"/>
      <c r="Y100" s="115"/>
      <c r="Z100" s="115"/>
      <c r="AA100" s="115"/>
      <c r="AB100" s="115"/>
      <c r="AC100" s="115"/>
      <c r="AD100" s="115"/>
      <c r="AE100" s="115"/>
      <c r="AF100" s="115"/>
      <c r="AG100" s="115"/>
      <c r="AH100" s="115"/>
      <c r="AI100" s="115"/>
      <c r="AJ100" s="115"/>
      <c r="AK100" s="115"/>
      <c r="AL100" s="115"/>
      <c r="AM100" s="115"/>
      <c r="AN100" s="115"/>
      <c r="AO100" s="115"/>
      <c r="AP100" s="115"/>
      <c r="AQ100" s="115"/>
      <c r="AR100" s="115"/>
      <c r="AS100" s="115"/>
      <c r="AT100" s="115"/>
      <c r="AU100" s="115"/>
      <c r="AV100" s="115"/>
      <c r="AW100" s="115"/>
      <c r="AX100" s="115"/>
    </row>
    <row r="101" spans="1:50" s="117" customFormat="1" ht="64">
      <c r="A101" s="114" t="s">
        <v>1283</v>
      </c>
      <c r="B101" s="114"/>
      <c r="C101" s="115"/>
      <c r="D101" s="114" t="s">
        <v>1283</v>
      </c>
      <c r="E101" s="116"/>
      <c r="F101" s="118" t="s">
        <v>1180</v>
      </c>
      <c r="G101" s="115"/>
      <c r="H101" s="115" t="s">
        <v>1181</v>
      </c>
      <c r="I101" s="111" t="s">
        <v>5</v>
      </c>
      <c r="J101" s="111"/>
      <c r="K101" s="102"/>
      <c r="L101" s="115"/>
      <c r="M101" s="115"/>
      <c r="N101" s="115"/>
      <c r="O101" s="115"/>
      <c r="P101" s="115"/>
      <c r="Q101" s="115"/>
      <c r="R101" s="115"/>
      <c r="S101" s="115"/>
      <c r="T101" s="115"/>
      <c r="U101" s="115"/>
      <c r="V101" s="115"/>
      <c r="W101" s="115"/>
      <c r="X101" s="115"/>
      <c r="Y101" s="115"/>
      <c r="Z101" s="115"/>
      <c r="AA101" s="115"/>
      <c r="AB101" s="115"/>
      <c r="AC101" s="115"/>
      <c r="AD101" s="115"/>
      <c r="AE101" s="115"/>
      <c r="AF101" s="115"/>
      <c r="AG101" s="115"/>
      <c r="AH101" s="115"/>
      <c r="AI101" s="115"/>
      <c r="AJ101" s="115"/>
      <c r="AK101" s="115"/>
      <c r="AL101" s="115"/>
      <c r="AM101" s="115"/>
      <c r="AN101" s="115"/>
      <c r="AO101" s="115"/>
      <c r="AP101" s="115"/>
      <c r="AQ101" s="115"/>
      <c r="AR101" s="115"/>
      <c r="AS101" s="115"/>
      <c r="AT101" s="115"/>
      <c r="AU101" s="115"/>
      <c r="AV101" s="115"/>
      <c r="AW101" s="115"/>
      <c r="AX101" s="115"/>
    </row>
    <row r="102" spans="1:50" s="117" customFormat="1" ht="32">
      <c r="A102" s="132" t="s">
        <v>981</v>
      </c>
      <c r="B102" s="114"/>
      <c r="C102" s="115"/>
      <c r="D102" s="114" t="s">
        <v>981</v>
      </c>
      <c r="E102" s="116"/>
      <c r="F102" s="118" t="s">
        <v>1180</v>
      </c>
      <c r="G102" s="115"/>
      <c r="H102" s="133" t="s">
        <v>341</v>
      </c>
      <c r="I102" s="111" t="s">
        <v>5</v>
      </c>
      <c r="J102" s="111"/>
      <c r="K102" s="102"/>
      <c r="L102" s="115"/>
      <c r="M102" s="115"/>
      <c r="N102" s="115"/>
      <c r="O102" s="115"/>
      <c r="P102" s="115"/>
      <c r="Q102" s="115"/>
      <c r="R102" s="115"/>
      <c r="S102" s="115"/>
      <c r="T102" s="115"/>
      <c r="U102" s="115"/>
      <c r="V102" s="115"/>
      <c r="W102" s="115"/>
      <c r="X102" s="115"/>
      <c r="Y102" s="115"/>
      <c r="Z102" s="115"/>
      <c r="AA102" s="115"/>
      <c r="AB102" s="115"/>
      <c r="AC102" s="115"/>
      <c r="AD102" s="115"/>
      <c r="AE102" s="115"/>
      <c r="AF102" s="115"/>
      <c r="AG102" s="115"/>
      <c r="AH102" s="115"/>
      <c r="AI102" s="115"/>
      <c r="AJ102" s="115"/>
      <c r="AK102" s="115"/>
      <c r="AL102" s="115"/>
      <c r="AM102" s="115"/>
      <c r="AN102" s="115"/>
      <c r="AO102" s="115"/>
      <c r="AP102" s="115"/>
      <c r="AQ102" s="115"/>
      <c r="AR102" s="115"/>
      <c r="AS102" s="115"/>
      <c r="AT102" s="115"/>
      <c r="AU102" s="115"/>
      <c r="AV102" s="115"/>
      <c r="AW102" s="115"/>
      <c r="AX102" s="115"/>
    </row>
    <row r="103" spans="1:50" s="117" customFormat="1" ht="32">
      <c r="A103" s="132" t="s">
        <v>984</v>
      </c>
      <c r="B103" s="114"/>
      <c r="C103" s="115"/>
      <c r="D103" s="114" t="s">
        <v>984</v>
      </c>
      <c r="E103" s="116"/>
      <c r="F103" s="118" t="s">
        <v>1180</v>
      </c>
      <c r="G103" s="115"/>
      <c r="H103" s="133" t="s">
        <v>341</v>
      </c>
      <c r="I103" s="111" t="s">
        <v>5</v>
      </c>
      <c r="J103" s="111"/>
      <c r="K103" s="102"/>
      <c r="L103" s="115"/>
      <c r="M103" s="115"/>
      <c r="N103" s="115"/>
      <c r="O103" s="115"/>
      <c r="P103" s="115"/>
      <c r="Q103" s="115"/>
      <c r="R103" s="115"/>
      <c r="S103" s="115"/>
      <c r="T103" s="115"/>
      <c r="U103" s="115"/>
      <c r="V103" s="115"/>
      <c r="W103" s="115"/>
      <c r="X103" s="115"/>
      <c r="Y103" s="115"/>
      <c r="Z103" s="115"/>
      <c r="AA103" s="115"/>
      <c r="AB103" s="115"/>
      <c r="AC103" s="115"/>
      <c r="AD103" s="115"/>
      <c r="AE103" s="115"/>
      <c r="AF103" s="115"/>
      <c r="AG103" s="115"/>
      <c r="AH103" s="115"/>
      <c r="AI103" s="115"/>
      <c r="AJ103" s="115"/>
      <c r="AK103" s="115"/>
      <c r="AL103" s="115"/>
      <c r="AM103" s="115"/>
      <c r="AN103" s="115"/>
      <c r="AO103" s="115"/>
      <c r="AP103" s="115"/>
      <c r="AQ103" s="115"/>
      <c r="AR103" s="115"/>
      <c r="AS103" s="115"/>
      <c r="AT103" s="115"/>
      <c r="AU103" s="115"/>
      <c r="AV103" s="115"/>
      <c r="AW103" s="115"/>
      <c r="AX103" s="115"/>
    </row>
    <row r="104" spans="1:50" s="117" customFormat="1" ht="48">
      <c r="A104" s="114" t="s">
        <v>1284</v>
      </c>
      <c r="B104" s="114"/>
      <c r="C104" s="115"/>
      <c r="D104" s="114" t="s">
        <v>1284</v>
      </c>
      <c r="E104" s="116"/>
      <c r="F104" s="118" t="s">
        <v>1180</v>
      </c>
      <c r="G104" s="115"/>
      <c r="H104" s="115" t="s">
        <v>1181</v>
      </c>
      <c r="I104" s="111" t="s">
        <v>5</v>
      </c>
      <c r="J104" s="111"/>
      <c r="K104" s="102"/>
      <c r="L104" s="115"/>
      <c r="M104" s="115"/>
      <c r="N104" s="115"/>
      <c r="O104" s="115"/>
      <c r="P104" s="115"/>
      <c r="Q104" s="115"/>
      <c r="R104" s="115"/>
      <c r="S104" s="115"/>
      <c r="T104" s="115"/>
      <c r="U104" s="115"/>
      <c r="V104" s="115"/>
      <c r="W104" s="115"/>
      <c r="X104" s="115"/>
      <c r="Y104" s="115"/>
      <c r="Z104" s="115"/>
      <c r="AA104" s="115"/>
      <c r="AB104" s="115"/>
      <c r="AC104" s="115"/>
      <c r="AD104" s="115"/>
      <c r="AE104" s="115"/>
      <c r="AF104" s="115"/>
      <c r="AG104" s="115"/>
      <c r="AH104" s="115"/>
      <c r="AI104" s="115"/>
      <c r="AJ104" s="115"/>
      <c r="AK104" s="115"/>
      <c r="AL104" s="115"/>
      <c r="AM104" s="115"/>
      <c r="AN104" s="115"/>
      <c r="AO104" s="115"/>
      <c r="AP104" s="115"/>
      <c r="AQ104" s="115"/>
      <c r="AR104" s="115"/>
      <c r="AS104" s="115"/>
      <c r="AT104" s="115"/>
      <c r="AU104" s="115"/>
      <c r="AV104" s="115"/>
      <c r="AW104" s="115"/>
      <c r="AX104" s="115"/>
    </row>
    <row r="105" spans="1:50" s="117" customFormat="1" ht="48">
      <c r="A105" s="114" t="s">
        <v>1285</v>
      </c>
      <c r="B105" s="114"/>
      <c r="C105" s="115"/>
      <c r="D105" s="114" t="s">
        <v>1285</v>
      </c>
      <c r="E105" s="116"/>
      <c r="F105" s="118" t="s">
        <v>1180</v>
      </c>
      <c r="G105" s="115"/>
      <c r="H105" s="115" t="s">
        <v>1181</v>
      </c>
      <c r="I105" s="111" t="s">
        <v>5</v>
      </c>
      <c r="J105" s="111"/>
      <c r="K105" s="102"/>
      <c r="L105" s="115"/>
      <c r="M105" s="115"/>
      <c r="N105" s="115"/>
      <c r="O105" s="115"/>
      <c r="P105" s="115"/>
      <c r="Q105" s="115"/>
      <c r="R105" s="115"/>
      <c r="S105" s="115"/>
      <c r="T105" s="115"/>
      <c r="U105" s="115"/>
      <c r="V105" s="115"/>
      <c r="W105" s="115"/>
      <c r="X105" s="115"/>
      <c r="Y105" s="115"/>
      <c r="Z105" s="115"/>
      <c r="AA105" s="115"/>
      <c r="AB105" s="115"/>
      <c r="AC105" s="115"/>
      <c r="AD105" s="115"/>
      <c r="AE105" s="115"/>
      <c r="AF105" s="115"/>
      <c r="AG105" s="115"/>
      <c r="AH105" s="115"/>
      <c r="AI105" s="115"/>
      <c r="AJ105" s="115"/>
      <c r="AK105" s="115"/>
      <c r="AL105" s="115"/>
      <c r="AM105" s="115"/>
      <c r="AN105" s="115"/>
      <c r="AO105" s="115"/>
      <c r="AP105" s="115"/>
      <c r="AQ105" s="115"/>
      <c r="AR105" s="115"/>
      <c r="AS105" s="115"/>
      <c r="AT105" s="115"/>
      <c r="AU105" s="115"/>
      <c r="AV105" s="115"/>
      <c r="AW105" s="115"/>
      <c r="AX105" s="115"/>
    </row>
    <row r="106" spans="1:50" s="117" customFormat="1" ht="80">
      <c r="A106" s="114" t="s">
        <v>1286</v>
      </c>
      <c r="B106" s="114"/>
      <c r="C106" s="115"/>
      <c r="D106" s="114" t="s">
        <v>1286</v>
      </c>
      <c r="E106" s="116"/>
      <c r="F106" s="118" t="s">
        <v>1180</v>
      </c>
      <c r="G106" s="115"/>
      <c r="H106" s="115" t="s">
        <v>1181</v>
      </c>
      <c r="I106" s="111" t="s">
        <v>5</v>
      </c>
      <c r="J106" s="111"/>
      <c r="K106" s="102"/>
      <c r="L106" s="115"/>
      <c r="M106" s="115"/>
      <c r="N106" s="115"/>
      <c r="O106" s="115"/>
      <c r="P106" s="115"/>
      <c r="Q106" s="115"/>
      <c r="R106" s="115"/>
      <c r="S106" s="115"/>
      <c r="T106" s="115"/>
      <c r="U106" s="115"/>
      <c r="V106" s="115"/>
      <c r="W106" s="115"/>
      <c r="X106" s="115"/>
      <c r="Y106" s="115"/>
      <c r="Z106" s="115"/>
      <c r="AA106" s="115"/>
      <c r="AB106" s="115"/>
      <c r="AC106" s="115"/>
      <c r="AD106" s="115"/>
      <c r="AE106" s="115"/>
      <c r="AF106" s="115"/>
      <c r="AG106" s="115"/>
      <c r="AH106" s="115"/>
      <c r="AI106" s="115"/>
      <c r="AJ106" s="115"/>
      <c r="AK106" s="115"/>
      <c r="AL106" s="115"/>
      <c r="AM106" s="115"/>
      <c r="AN106" s="115"/>
      <c r="AO106" s="115"/>
      <c r="AP106" s="115"/>
      <c r="AQ106" s="115"/>
      <c r="AR106" s="115"/>
      <c r="AS106" s="115"/>
      <c r="AT106" s="115"/>
      <c r="AU106" s="115"/>
      <c r="AV106" s="115"/>
      <c r="AW106" s="115"/>
      <c r="AX106" s="115"/>
    </row>
    <row r="107" spans="1:50" s="117" customFormat="1" ht="64">
      <c r="A107" s="114" t="s">
        <v>1287</v>
      </c>
      <c r="B107" s="114"/>
      <c r="C107" s="115"/>
      <c r="D107" s="114" t="s">
        <v>1287</v>
      </c>
      <c r="E107" s="116"/>
      <c r="F107" s="118" t="s">
        <v>1180</v>
      </c>
      <c r="G107" s="115"/>
      <c r="H107" s="115" t="s">
        <v>1191</v>
      </c>
      <c r="I107" s="111" t="s">
        <v>5</v>
      </c>
      <c r="J107" s="111"/>
      <c r="K107" s="102"/>
      <c r="L107" s="115"/>
      <c r="M107" s="115"/>
      <c r="N107" s="115"/>
      <c r="O107" s="115"/>
      <c r="P107" s="115"/>
      <c r="Q107" s="115"/>
      <c r="R107" s="115"/>
      <c r="S107" s="115"/>
      <c r="T107" s="115"/>
      <c r="U107" s="115"/>
      <c r="V107" s="115"/>
      <c r="W107" s="115"/>
      <c r="X107" s="115"/>
      <c r="Y107" s="115"/>
      <c r="Z107" s="115"/>
      <c r="AA107" s="115"/>
      <c r="AB107" s="115"/>
      <c r="AC107" s="115"/>
      <c r="AD107" s="115"/>
      <c r="AE107" s="115"/>
      <c r="AF107" s="115"/>
      <c r="AG107" s="115"/>
      <c r="AH107" s="115"/>
      <c r="AI107" s="115"/>
      <c r="AJ107" s="115"/>
      <c r="AK107" s="115"/>
      <c r="AL107" s="115"/>
      <c r="AM107" s="115"/>
      <c r="AN107" s="115"/>
      <c r="AO107" s="115"/>
      <c r="AP107" s="115"/>
      <c r="AQ107" s="115"/>
      <c r="AR107" s="115"/>
      <c r="AS107" s="115"/>
      <c r="AT107" s="115"/>
      <c r="AU107" s="115"/>
      <c r="AV107" s="115"/>
      <c r="AW107" s="115"/>
      <c r="AX107" s="115"/>
    </row>
    <row r="108" spans="1:50" s="117" customFormat="1" ht="48">
      <c r="A108" s="114" t="s">
        <v>1222</v>
      </c>
      <c r="B108" s="114"/>
      <c r="C108" s="115"/>
      <c r="D108" s="114" t="s">
        <v>1222</v>
      </c>
      <c r="E108" s="116"/>
      <c r="F108" s="118" t="s">
        <v>1180</v>
      </c>
      <c r="G108" s="115"/>
      <c r="H108" s="115" t="s">
        <v>1181</v>
      </c>
      <c r="I108" s="111" t="s">
        <v>5</v>
      </c>
      <c r="J108" s="111"/>
      <c r="K108" s="102"/>
      <c r="L108" s="115"/>
      <c r="M108" s="115"/>
      <c r="N108" s="115"/>
      <c r="O108" s="115"/>
      <c r="P108" s="115"/>
      <c r="Q108" s="115"/>
      <c r="R108" s="115"/>
      <c r="S108" s="115"/>
      <c r="T108" s="115"/>
      <c r="U108" s="115"/>
      <c r="V108" s="115"/>
      <c r="W108" s="115"/>
      <c r="X108" s="115"/>
      <c r="Y108" s="115"/>
      <c r="Z108" s="115"/>
      <c r="AA108" s="115"/>
      <c r="AB108" s="115"/>
      <c r="AC108" s="115"/>
      <c r="AD108" s="115"/>
      <c r="AE108" s="115"/>
      <c r="AF108" s="115"/>
      <c r="AG108" s="115"/>
      <c r="AH108" s="115"/>
      <c r="AI108" s="115"/>
      <c r="AJ108" s="115"/>
      <c r="AK108" s="115"/>
      <c r="AL108" s="115"/>
      <c r="AM108" s="115"/>
      <c r="AN108" s="115"/>
      <c r="AO108" s="115"/>
      <c r="AP108" s="115"/>
      <c r="AQ108" s="115"/>
      <c r="AR108" s="115"/>
      <c r="AS108" s="115"/>
      <c r="AT108" s="115"/>
      <c r="AU108" s="115"/>
      <c r="AV108" s="115"/>
      <c r="AW108" s="115"/>
      <c r="AX108" s="115"/>
    </row>
    <row r="109" spans="1:50" s="117" customFormat="1" ht="48">
      <c r="A109" s="114" t="s">
        <v>1223</v>
      </c>
      <c r="B109" s="114"/>
      <c r="C109" s="115"/>
      <c r="D109" s="114" t="s">
        <v>1223</v>
      </c>
      <c r="E109" s="116"/>
      <c r="F109" s="118" t="s">
        <v>1180</v>
      </c>
      <c r="G109" s="115"/>
      <c r="H109" s="115" t="s">
        <v>1181</v>
      </c>
      <c r="I109" s="111" t="s">
        <v>5</v>
      </c>
      <c r="J109" s="111"/>
      <c r="K109" s="102"/>
      <c r="L109" s="115"/>
      <c r="M109" s="115"/>
      <c r="N109" s="115"/>
      <c r="O109" s="115"/>
      <c r="P109" s="115"/>
      <c r="Q109" s="115"/>
      <c r="R109" s="115"/>
      <c r="S109" s="115"/>
      <c r="T109" s="115"/>
      <c r="U109" s="115"/>
      <c r="V109" s="115"/>
      <c r="W109" s="115"/>
      <c r="X109" s="115"/>
      <c r="Y109" s="115"/>
      <c r="Z109" s="115"/>
      <c r="AA109" s="115"/>
      <c r="AB109" s="115"/>
      <c r="AC109" s="115"/>
      <c r="AD109" s="115"/>
      <c r="AE109" s="115"/>
      <c r="AF109" s="115"/>
      <c r="AG109" s="115"/>
      <c r="AH109" s="115"/>
      <c r="AI109" s="115"/>
      <c r="AJ109" s="115"/>
      <c r="AK109" s="115"/>
      <c r="AL109" s="115"/>
      <c r="AM109" s="115"/>
      <c r="AN109" s="115"/>
      <c r="AO109" s="115"/>
      <c r="AP109" s="115"/>
      <c r="AQ109" s="115"/>
      <c r="AR109" s="115"/>
      <c r="AS109" s="115"/>
      <c r="AT109" s="115"/>
      <c r="AU109" s="115"/>
      <c r="AV109" s="115"/>
      <c r="AW109" s="115"/>
      <c r="AX109" s="115"/>
    </row>
    <row r="110" spans="1:50" s="117" customFormat="1" ht="48">
      <c r="A110" s="114" t="s">
        <v>1225</v>
      </c>
      <c r="B110" s="114"/>
      <c r="C110" s="115"/>
      <c r="D110" s="114" t="s">
        <v>1225</v>
      </c>
      <c r="E110" s="116"/>
      <c r="F110" s="118" t="s">
        <v>1180</v>
      </c>
      <c r="G110" s="115"/>
      <c r="H110" s="115" t="s">
        <v>1181</v>
      </c>
      <c r="I110" s="111" t="s">
        <v>5</v>
      </c>
      <c r="J110" s="111"/>
      <c r="K110" s="102"/>
      <c r="L110" s="115"/>
      <c r="M110" s="115"/>
      <c r="N110" s="115"/>
      <c r="O110" s="115"/>
      <c r="P110" s="115"/>
      <c r="Q110" s="115"/>
      <c r="R110" s="115"/>
      <c r="S110" s="115"/>
      <c r="T110" s="115"/>
      <c r="U110" s="115"/>
      <c r="V110" s="115"/>
      <c r="W110" s="115"/>
      <c r="X110" s="115"/>
      <c r="Y110" s="115"/>
      <c r="Z110" s="115"/>
      <c r="AA110" s="115"/>
      <c r="AB110" s="115"/>
      <c r="AC110" s="115"/>
      <c r="AD110" s="115"/>
      <c r="AE110" s="115"/>
      <c r="AF110" s="115"/>
      <c r="AG110" s="115"/>
      <c r="AH110" s="115"/>
      <c r="AI110" s="115"/>
      <c r="AJ110" s="115"/>
      <c r="AK110" s="115"/>
      <c r="AL110" s="115"/>
      <c r="AM110" s="115"/>
      <c r="AN110" s="115"/>
      <c r="AO110" s="115"/>
      <c r="AP110" s="115"/>
      <c r="AQ110" s="115"/>
      <c r="AR110" s="115"/>
      <c r="AS110" s="115"/>
      <c r="AT110" s="115"/>
      <c r="AU110" s="115"/>
      <c r="AV110" s="115"/>
      <c r="AW110" s="115"/>
      <c r="AX110" s="115"/>
    </row>
    <row r="111" spans="1:50" s="117" customFormat="1" ht="48">
      <c r="A111" s="114" t="s">
        <v>1226</v>
      </c>
      <c r="B111" s="114"/>
      <c r="C111" s="115"/>
      <c r="D111" s="114" t="s">
        <v>1226</v>
      </c>
      <c r="E111" s="116"/>
      <c r="F111" s="118" t="s">
        <v>1180</v>
      </c>
      <c r="G111" s="115"/>
      <c r="H111" s="115" t="s">
        <v>1181</v>
      </c>
      <c r="I111" s="111" t="s">
        <v>5</v>
      </c>
      <c r="J111" s="111"/>
      <c r="K111" s="102"/>
      <c r="L111" s="115"/>
      <c r="M111" s="115"/>
      <c r="N111" s="115"/>
      <c r="O111" s="115"/>
      <c r="P111" s="115"/>
      <c r="Q111" s="115"/>
      <c r="R111" s="115"/>
      <c r="S111" s="115"/>
      <c r="T111" s="115"/>
      <c r="U111" s="115"/>
      <c r="V111" s="115"/>
      <c r="W111" s="115"/>
      <c r="X111" s="115"/>
      <c r="Y111" s="115"/>
      <c r="Z111" s="115"/>
      <c r="AA111" s="115"/>
      <c r="AB111" s="115"/>
      <c r="AC111" s="115"/>
      <c r="AD111" s="115"/>
      <c r="AE111" s="115"/>
      <c r="AF111" s="115"/>
      <c r="AG111" s="115"/>
      <c r="AH111" s="115"/>
      <c r="AI111" s="115"/>
      <c r="AJ111" s="115"/>
      <c r="AK111" s="115"/>
      <c r="AL111" s="115"/>
      <c r="AM111" s="115"/>
      <c r="AN111" s="115"/>
      <c r="AO111" s="115"/>
      <c r="AP111" s="115"/>
      <c r="AQ111" s="115"/>
      <c r="AR111" s="115"/>
      <c r="AS111" s="115"/>
      <c r="AT111" s="115"/>
      <c r="AU111" s="115"/>
      <c r="AV111" s="115"/>
      <c r="AW111" s="115"/>
      <c r="AX111" s="115"/>
    </row>
    <row r="112" spans="1:50" s="117" customFormat="1" ht="48">
      <c r="A112" s="130" t="s">
        <v>1227</v>
      </c>
      <c r="B112" s="114"/>
      <c r="C112" s="115"/>
      <c r="D112" s="114" t="s">
        <v>1227</v>
      </c>
      <c r="E112" s="116"/>
      <c r="F112" s="118" t="s">
        <v>1180</v>
      </c>
      <c r="G112" s="115"/>
      <c r="H112" s="128" t="s">
        <v>1181</v>
      </c>
      <c r="I112" s="111" t="s">
        <v>5</v>
      </c>
      <c r="J112" s="111"/>
      <c r="K112" s="102"/>
      <c r="L112" s="115"/>
      <c r="M112" s="115"/>
      <c r="N112" s="115"/>
      <c r="O112" s="115"/>
      <c r="P112" s="115"/>
      <c r="Q112" s="115"/>
      <c r="R112" s="115"/>
      <c r="S112" s="115"/>
      <c r="T112" s="115"/>
      <c r="U112" s="115"/>
      <c r="V112" s="115"/>
      <c r="W112" s="115"/>
      <c r="X112" s="115"/>
      <c r="Y112" s="115"/>
      <c r="Z112" s="115"/>
      <c r="AA112" s="115"/>
      <c r="AB112" s="115"/>
      <c r="AC112" s="115"/>
      <c r="AD112" s="115"/>
      <c r="AE112" s="115"/>
      <c r="AF112" s="115"/>
      <c r="AG112" s="115"/>
      <c r="AH112" s="115"/>
      <c r="AI112" s="115"/>
      <c r="AJ112" s="115"/>
      <c r="AK112" s="115"/>
      <c r="AL112" s="115"/>
      <c r="AM112" s="115"/>
      <c r="AN112" s="115"/>
      <c r="AO112" s="115"/>
      <c r="AP112" s="115"/>
      <c r="AQ112" s="115"/>
      <c r="AR112" s="115"/>
      <c r="AS112" s="115"/>
      <c r="AT112" s="115"/>
      <c r="AU112" s="115"/>
      <c r="AV112" s="115"/>
      <c r="AW112" s="115"/>
      <c r="AX112" s="115"/>
    </row>
    <row r="113" spans="1:50" s="117" customFormat="1" ht="32">
      <c r="A113" s="132" t="s">
        <v>1288</v>
      </c>
      <c r="B113" s="114"/>
      <c r="C113" s="115"/>
      <c r="D113" s="114" t="s">
        <v>1288</v>
      </c>
      <c r="E113" s="116"/>
      <c r="F113" s="118" t="s">
        <v>1180</v>
      </c>
      <c r="G113" s="115"/>
      <c r="H113" s="127" t="s">
        <v>341</v>
      </c>
      <c r="I113" s="111" t="s">
        <v>5</v>
      </c>
      <c r="J113" s="111"/>
      <c r="K113" s="102"/>
      <c r="L113" s="115"/>
      <c r="M113" s="115"/>
      <c r="N113" s="115"/>
      <c r="O113" s="115"/>
      <c r="P113" s="115"/>
      <c r="Q113" s="115"/>
      <c r="R113" s="115"/>
      <c r="S113" s="115"/>
      <c r="T113" s="115"/>
      <c r="U113" s="115"/>
      <c r="V113" s="115"/>
      <c r="W113" s="115"/>
      <c r="X113" s="115"/>
      <c r="Y113" s="115"/>
      <c r="Z113" s="115"/>
      <c r="AA113" s="115"/>
      <c r="AB113" s="115"/>
      <c r="AC113" s="115"/>
      <c r="AD113" s="115"/>
      <c r="AE113" s="115"/>
      <c r="AF113" s="115"/>
      <c r="AG113" s="115"/>
      <c r="AH113" s="115"/>
      <c r="AI113" s="115"/>
      <c r="AJ113" s="115"/>
      <c r="AK113" s="115"/>
      <c r="AL113" s="115"/>
      <c r="AM113" s="115"/>
      <c r="AN113" s="115"/>
      <c r="AO113" s="115"/>
      <c r="AP113" s="115"/>
      <c r="AQ113" s="115"/>
      <c r="AR113" s="115"/>
      <c r="AS113" s="115"/>
      <c r="AT113" s="115"/>
      <c r="AU113" s="115"/>
      <c r="AV113" s="115"/>
      <c r="AW113" s="115"/>
      <c r="AX113" s="115"/>
    </row>
    <row r="114" spans="1:50" s="117" customFormat="1" ht="16">
      <c r="A114" s="136" t="s">
        <v>1289</v>
      </c>
      <c r="B114" s="114"/>
      <c r="C114" s="115"/>
      <c r="D114" s="114"/>
      <c r="E114" s="116"/>
      <c r="F114" s="118" t="s">
        <v>1180</v>
      </c>
      <c r="G114" s="115"/>
      <c r="H114" s="115" t="s">
        <v>1186</v>
      </c>
      <c r="I114" s="111" t="s">
        <v>5</v>
      </c>
      <c r="J114" s="111"/>
      <c r="K114" s="102"/>
      <c r="L114" s="115"/>
      <c r="M114" s="115"/>
      <c r="N114" s="115"/>
      <c r="O114" s="115"/>
      <c r="P114" s="115"/>
      <c r="Q114" s="115"/>
      <c r="R114" s="115"/>
      <c r="S114" s="115"/>
      <c r="T114" s="115"/>
      <c r="U114" s="115"/>
      <c r="V114" s="115"/>
      <c r="W114" s="115"/>
      <c r="X114" s="115"/>
      <c r="Y114" s="115"/>
      <c r="Z114" s="115"/>
      <c r="AA114" s="115"/>
      <c r="AB114" s="115"/>
      <c r="AC114" s="115"/>
      <c r="AD114" s="115"/>
      <c r="AE114" s="115"/>
      <c r="AF114" s="115"/>
      <c r="AG114" s="115"/>
      <c r="AH114" s="115"/>
      <c r="AI114" s="115"/>
      <c r="AJ114" s="115"/>
      <c r="AK114" s="115"/>
      <c r="AL114" s="115"/>
      <c r="AM114" s="115"/>
      <c r="AN114" s="115"/>
      <c r="AO114" s="115"/>
      <c r="AP114" s="115"/>
      <c r="AQ114" s="115"/>
      <c r="AR114" s="115"/>
      <c r="AS114" s="115"/>
      <c r="AT114" s="115"/>
      <c r="AU114" s="115"/>
      <c r="AV114" s="115"/>
      <c r="AW114" s="115"/>
      <c r="AX114" s="115"/>
    </row>
    <row r="115" spans="1:50" ht="409.6">
      <c r="A115" s="135" t="s">
        <v>1290</v>
      </c>
      <c r="B115" s="34"/>
      <c r="C115" s="2"/>
      <c r="D115" s="34"/>
      <c r="E115" s="4"/>
      <c r="F115" s="131" t="s">
        <v>1180</v>
      </c>
      <c r="G115" s="2"/>
      <c r="H115" s="115" t="s">
        <v>1191</v>
      </c>
      <c r="I115" s="111" t="s">
        <v>5</v>
      </c>
      <c r="J115" s="150" t="s">
        <v>1291</v>
      </c>
      <c r="K115" s="10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row>
    <row r="116" spans="1:50" s="117" customFormat="1" ht="32">
      <c r="A116" s="132" t="s">
        <v>1136</v>
      </c>
      <c r="B116" s="114"/>
      <c r="C116" s="115"/>
      <c r="D116" s="114" t="s">
        <v>1136</v>
      </c>
      <c r="E116" s="116"/>
      <c r="F116" s="118" t="s">
        <v>1180</v>
      </c>
      <c r="G116" s="115"/>
      <c r="H116" s="127" t="s">
        <v>341</v>
      </c>
      <c r="I116" s="111" t="s">
        <v>5</v>
      </c>
      <c r="J116" s="111"/>
      <c r="K116" s="102"/>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c r="AH116" s="115"/>
      <c r="AI116" s="115"/>
      <c r="AJ116" s="115"/>
      <c r="AK116" s="115"/>
      <c r="AL116" s="115"/>
      <c r="AM116" s="115"/>
      <c r="AN116" s="115"/>
      <c r="AO116" s="115"/>
      <c r="AP116" s="115"/>
      <c r="AQ116" s="115"/>
      <c r="AR116" s="115"/>
      <c r="AS116" s="115"/>
      <c r="AT116" s="115"/>
      <c r="AU116" s="115"/>
      <c r="AV116" s="115"/>
      <c r="AW116" s="115"/>
      <c r="AX116" s="115"/>
    </row>
    <row r="117" spans="1:50" ht="16">
      <c r="A117" s="105" t="s">
        <v>1292</v>
      </c>
      <c r="B117" s="34"/>
      <c r="C117" s="2"/>
      <c r="D117" s="34"/>
      <c r="E117" s="4"/>
      <c r="F117" s="131" t="s">
        <v>1180</v>
      </c>
      <c r="G117" s="2"/>
      <c r="H117" s="127" t="s">
        <v>341</v>
      </c>
      <c r="I117" s="111" t="s">
        <v>5</v>
      </c>
      <c r="J117" s="97"/>
      <c r="K117" s="10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row>
    <row r="118" spans="1:50" ht="16">
      <c r="A118" s="105" t="s">
        <v>1293</v>
      </c>
      <c r="B118" s="34"/>
      <c r="C118" s="2"/>
      <c r="D118" s="34"/>
      <c r="E118" s="4"/>
      <c r="F118" s="131" t="s">
        <v>1180</v>
      </c>
      <c r="G118" s="2"/>
      <c r="H118" s="127" t="s">
        <v>341</v>
      </c>
      <c r="I118" s="111" t="s">
        <v>5</v>
      </c>
      <c r="J118" s="97"/>
      <c r="K118" s="10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row>
    <row r="119" spans="1:50" s="117" customFormat="1" ht="64">
      <c r="A119" s="114" t="s">
        <v>1294</v>
      </c>
      <c r="B119" s="114"/>
      <c r="C119" s="115"/>
      <c r="D119" s="114" t="s">
        <v>1294</v>
      </c>
      <c r="E119" s="116"/>
      <c r="F119" s="118" t="s">
        <v>1180</v>
      </c>
      <c r="G119" s="115"/>
      <c r="H119" s="115" t="s">
        <v>1181</v>
      </c>
      <c r="I119" s="111" t="s">
        <v>5</v>
      </c>
      <c r="J119" s="111"/>
      <c r="K119" s="102"/>
      <c r="L119" s="115"/>
      <c r="M119" s="115"/>
      <c r="N119" s="115"/>
      <c r="O119" s="115"/>
      <c r="P119" s="115"/>
      <c r="Q119" s="115"/>
      <c r="R119" s="115"/>
      <c r="S119" s="115"/>
      <c r="T119" s="115"/>
      <c r="U119" s="115"/>
      <c r="V119" s="115"/>
      <c r="W119" s="115"/>
      <c r="X119" s="115"/>
      <c r="Y119" s="115"/>
      <c r="Z119" s="115"/>
      <c r="AA119" s="115"/>
      <c r="AB119" s="115"/>
      <c r="AC119" s="115"/>
      <c r="AD119" s="115"/>
      <c r="AE119" s="115"/>
      <c r="AF119" s="115"/>
      <c r="AG119" s="115"/>
      <c r="AH119" s="115"/>
      <c r="AI119" s="115"/>
      <c r="AJ119" s="115"/>
      <c r="AK119" s="115"/>
      <c r="AL119" s="115"/>
      <c r="AM119" s="115"/>
      <c r="AN119" s="115"/>
      <c r="AO119" s="115"/>
      <c r="AP119" s="115"/>
      <c r="AQ119" s="115"/>
      <c r="AR119" s="115"/>
      <c r="AS119" s="115"/>
      <c r="AT119" s="115"/>
      <c r="AU119" s="115"/>
      <c r="AV119" s="115"/>
      <c r="AW119" s="115"/>
      <c r="AX119" s="115"/>
    </row>
    <row r="120" spans="1:50" s="117" customFormat="1" ht="48">
      <c r="A120" s="114" t="s">
        <v>1295</v>
      </c>
      <c r="B120" s="114"/>
      <c r="C120" s="115"/>
      <c r="D120" s="114" t="s">
        <v>1295</v>
      </c>
      <c r="E120" s="116"/>
      <c r="F120" s="118" t="s">
        <v>1180</v>
      </c>
      <c r="G120" s="115"/>
      <c r="H120" s="115" t="s">
        <v>1181</v>
      </c>
      <c r="I120" s="111" t="s">
        <v>5</v>
      </c>
      <c r="J120" s="111"/>
      <c r="K120" s="102"/>
      <c r="L120" s="115"/>
      <c r="M120" s="115"/>
      <c r="N120" s="115"/>
      <c r="O120" s="115"/>
      <c r="P120" s="115"/>
      <c r="Q120" s="115"/>
      <c r="R120" s="115"/>
      <c r="S120" s="115"/>
      <c r="T120" s="115"/>
      <c r="U120" s="115"/>
      <c r="V120" s="115"/>
      <c r="W120" s="115"/>
      <c r="X120" s="115"/>
      <c r="Y120" s="115"/>
      <c r="Z120" s="115"/>
      <c r="AA120" s="115"/>
      <c r="AB120" s="115"/>
      <c r="AC120" s="115"/>
      <c r="AD120" s="115"/>
      <c r="AE120" s="115"/>
      <c r="AF120" s="115"/>
      <c r="AG120" s="115"/>
      <c r="AH120" s="115"/>
      <c r="AI120" s="115"/>
      <c r="AJ120" s="115"/>
      <c r="AK120" s="115"/>
      <c r="AL120" s="115"/>
      <c r="AM120" s="115"/>
      <c r="AN120" s="115"/>
      <c r="AO120" s="115"/>
      <c r="AP120" s="115"/>
      <c r="AQ120" s="115"/>
      <c r="AR120" s="115"/>
      <c r="AS120" s="115"/>
      <c r="AT120" s="115"/>
      <c r="AU120" s="115"/>
      <c r="AV120" s="115"/>
      <c r="AW120" s="115"/>
      <c r="AX120" s="115"/>
    </row>
    <row r="121" spans="1:50" s="117" customFormat="1" ht="80">
      <c r="A121" s="114" t="s">
        <v>1296</v>
      </c>
      <c r="B121" s="114"/>
      <c r="C121" s="115"/>
      <c r="D121" s="114" t="s">
        <v>1296</v>
      </c>
      <c r="E121" s="116"/>
      <c r="F121" s="118" t="s">
        <v>1180</v>
      </c>
      <c r="G121" s="115"/>
      <c r="H121" s="115" t="s">
        <v>1181</v>
      </c>
      <c r="I121" s="111" t="s">
        <v>5</v>
      </c>
      <c r="J121" s="111"/>
      <c r="K121" s="102"/>
      <c r="L121" s="115"/>
      <c r="M121" s="115"/>
      <c r="N121" s="115"/>
      <c r="O121" s="115"/>
      <c r="P121" s="115"/>
      <c r="Q121" s="115"/>
      <c r="R121" s="115"/>
      <c r="S121" s="115"/>
      <c r="T121" s="115"/>
      <c r="U121" s="115"/>
      <c r="V121" s="115"/>
      <c r="W121" s="115"/>
      <c r="X121" s="115"/>
      <c r="Y121" s="115"/>
      <c r="Z121" s="115"/>
      <c r="AA121" s="115"/>
      <c r="AB121" s="115"/>
      <c r="AC121" s="115"/>
      <c r="AD121" s="115"/>
      <c r="AE121" s="115"/>
      <c r="AF121" s="115"/>
      <c r="AG121" s="115"/>
      <c r="AH121" s="115"/>
      <c r="AI121" s="115"/>
      <c r="AJ121" s="115"/>
      <c r="AK121" s="115"/>
      <c r="AL121" s="115"/>
      <c r="AM121" s="115"/>
      <c r="AN121" s="115"/>
      <c r="AO121" s="115"/>
      <c r="AP121" s="115"/>
      <c r="AQ121" s="115"/>
      <c r="AR121" s="115"/>
      <c r="AS121" s="115"/>
      <c r="AT121" s="115"/>
      <c r="AU121" s="115"/>
      <c r="AV121" s="115"/>
      <c r="AW121" s="115"/>
      <c r="AX121" s="115"/>
    </row>
    <row r="122" spans="1:50" s="117" customFormat="1" ht="64">
      <c r="A122" s="114" t="s">
        <v>1297</v>
      </c>
      <c r="B122" s="114"/>
      <c r="C122" s="115"/>
      <c r="D122" s="114" t="s">
        <v>1297</v>
      </c>
      <c r="E122" s="116"/>
      <c r="F122" s="118" t="s">
        <v>1180</v>
      </c>
      <c r="G122" s="115"/>
      <c r="H122" s="115" t="s">
        <v>1181</v>
      </c>
      <c r="I122" s="111" t="s">
        <v>5</v>
      </c>
      <c r="J122" s="111"/>
      <c r="K122" s="102"/>
      <c r="L122" s="115"/>
      <c r="M122" s="115"/>
      <c r="N122" s="115"/>
      <c r="O122" s="115"/>
      <c r="P122" s="115"/>
      <c r="Q122" s="115"/>
      <c r="R122" s="115"/>
      <c r="S122" s="115"/>
      <c r="T122" s="115"/>
      <c r="U122" s="115"/>
      <c r="V122" s="115"/>
      <c r="W122" s="115"/>
      <c r="X122" s="115"/>
      <c r="Y122" s="115"/>
      <c r="Z122" s="115"/>
      <c r="AA122" s="115"/>
      <c r="AB122" s="115"/>
      <c r="AC122" s="115"/>
      <c r="AD122" s="115"/>
      <c r="AE122" s="115"/>
      <c r="AF122" s="115"/>
      <c r="AG122" s="115"/>
      <c r="AH122" s="115"/>
      <c r="AI122" s="115"/>
      <c r="AJ122" s="115"/>
      <c r="AK122" s="115"/>
      <c r="AL122" s="115"/>
      <c r="AM122" s="115"/>
      <c r="AN122" s="115"/>
      <c r="AO122" s="115"/>
      <c r="AP122" s="115"/>
      <c r="AQ122" s="115"/>
      <c r="AR122" s="115"/>
      <c r="AS122" s="115"/>
      <c r="AT122" s="115"/>
      <c r="AU122" s="115"/>
      <c r="AV122" s="115"/>
      <c r="AW122" s="115"/>
      <c r="AX122" s="115"/>
    </row>
    <row r="123" spans="1:50" s="117" customFormat="1" ht="48">
      <c r="A123" s="134" t="s">
        <v>1298</v>
      </c>
      <c r="B123" s="114"/>
      <c r="C123" s="115"/>
      <c r="D123" s="114" t="s">
        <v>1299</v>
      </c>
      <c r="E123" s="116"/>
      <c r="F123" s="118" t="s">
        <v>1180</v>
      </c>
      <c r="G123" s="115"/>
      <c r="H123" s="128" t="s">
        <v>1191</v>
      </c>
      <c r="I123" s="111" t="s">
        <v>5</v>
      </c>
      <c r="J123" s="111"/>
      <c r="K123" s="102"/>
      <c r="L123" s="115"/>
      <c r="M123" s="115"/>
      <c r="N123" s="115"/>
      <c r="O123" s="115"/>
      <c r="P123" s="115"/>
      <c r="Q123" s="115"/>
      <c r="R123" s="115"/>
      <c r="S123" s="115"/>
      <c r="T123" s="115"/>
      <c r="U123" s="115"/>
      <c r="V123" s="115"/>
      <c r="W123" s="115"/>
      <c r="X123" s="115"/>
      <c r="Y123" s="115"/>
      <c r="Z123" s="115"/>
      <c r="AA123" s="115"/>
      <c r="AB123" s="115"/>
      <c r="AC123" s="115"/>
      <c r="AD123" s="115"/>
      <c r="AE123" s="115"/>
      <c r="AF123" s="115"/>
      <c r="AG123" s="115"/>
      <c r="AH123" s="115"/>
      <c r="AI123" s="115"/>
      <c r="AJ123" s="115"/>
      <c r="AK123" s="115"/>
      <c r="AL123" s="115"/>
      <c r="AM123" s="115"/>
      <c r="AN123" s="115"/>
      <c r="AO123" s="115"/>
      <c r="AP123" s="115"/>
      <c r="AQ123" s="115"/>
      <c r="AR123" s="115"/>
      <c r="AS123" s="115"/>
      <c r="AT123" s="115"/>
      <c r="AU123" s="115"/>
      <c r="AV123" s="115"/>
      <c r="AW123" s="115"/>
      <c r="AX123" s="115"/>
    </row>
  </sheetData>
  <mergeCells count="1">
    <mergeCell ref="K1:AX1"/>
  </mergeCells>
  <conditionalFormatting sqref="K1:AX123">
    <cfRule type="containsText" dxfId="1" priority="1" operator="containsText" text="No">
      <formula>NOT(ISERROR(SEARCH("No",K1)))</formula>
    </cfRule>
    <cfRule type="containsText" dxfId="0" priority="2" operator="containsText" text="Yes">
      <formula>NOT(ISERROR(SEARCH("Yes",K1)))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5B29C-8598-4CC6-8410-91607BE28FA3}">
  <dimension ref="A1:C12"/>
  <sheetViews>
    <sheetView workbookViewId="0">
      <selection activeCell="A2" sqref="A2"/>
    </sheetView>
    <sheetView workbookViewId="1"/>
  </sheetViews>
  <sheetFormatPr baseColWidth="10" defaultColWidth="8.83203125" defaultRowHeight="15"/>
  <cols>
    <col min="1" max="1" width="71.5" customWidth="1"/>
    <col min="2" max="2" width="21" style="125" customWidth="1"/>
    <col min="3" max="3" width="158.1640625" customWidth="1"/>
  </cols>
  <sheetData>
    <row r="1" spans="1:3" s="126" customFormat="1">
      <c r="A1" s="126" t="s">
        <v>1300</v>
      </c>
      <c r="B1" s="126" t="s">
        <v>1301</v>
      </c>
      <c r="C1" s="126" t="s">
        <v>1302</v>
      </c>
    </row>
    <row r="2" spans="1:3">
      <c r="A2" s="168" t="s">
        <v>1303</v>
      </c>
      <c r="B2" s="125">
        <v>19</v>
      </c>
      <c r="C2" t="s">
        <v>1304</v>
      </c>
    </row>
    <row r="3" spans="1:3">
      <c r="A3" s="124" t="s">
        <v>1305</v>
      </c>
      <c r="B3" s="125">
        <v>19</v>
      </c>
      <c r="C3" t="s">
        <v>1304</v>
      </c>
    </row>
    <row r="4" spans="1:3">
      <c r="A4" s="124" t="s">
        <v>1306</v>
      </c>
      <c r="B4" s="125">
        <v>34</v>
      </c>
      <c r="C4" t="s">
        <v>1307</v>
      </c>
    </row>
    <row r="5" spans="1:3">
      <c r="A5" s="124" t="s">
        <v>1308</v>
      </c>
      <c r="B5" s="125">
        <v>37</v>
      </c>
      <c r="C5" t="s">
        <v>1309</v>
      </c>
    </row>
    <row r="6" spans="1:3">
      <c r="A6" s="168" t="s">
        <v>192</v>
      </c>
      <c r="B6" s="125">
        <v>1</v>
      </c>
      <c r="C6" t="s">
        <v>1310</v>
      </c>
    </row>
    <row r="7" spans="1:3">
      <c r="A7" s="168" t="s">
        <v>193</v>
      </c>
      <c r="B7" s="125">
        <v>1</v>
      </c>
      <c r="C7" t="s">
        <v>1310</v>
      </c>
    </row>
    <row r="8" spans="1:3">
      <c r="A8" s="168" t="s">
        <v>1185</v>
      </c>
      <c r="B8" s="125">
        <v>1</v>
      </c>
      <c r="C8" t="s">
        <v>303</v>
      </c>
    </row>
    <row r="9" spans="1:3">
      <c r="A9" s="168" t="s">
        <v>1311</v>
      </c>
      <c r="B9" s="125">
        <v>2</v>
      </c>
      <c r="C9" t="s">
        <v>1312</v>
      </c>
    </row>
    <row r="10" spans="1:3">
      <c r="A10" s="168" t="s">
        <v>1313</v>
      </c>
      <c r="B10" s="125">
        <v>2</v>
      </c>
      <c r="C10" t="s">
        <v>1314</v>
      </c>
    </row>
    <row r="11" spans="1:3">
      <c r="A11" s="168" t="s">
        <v>1227</v>
      </c>
      <c r="B11" s="125">
        <v>1</v>
      </c>
    </row>
    <row r="12" spans="1:3">
      <c r="A12" s="135" t="s">
        <v>1290</v>
      </c>
      <c r="B12" s="125">
        <v>7</v>
      </c>
      <c r="C12" t="s">
        <v>1315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0F1D9-539E-46A2-A51F-3582577993CD}">
  <dimension ref="A1:H318"/>
  <sheetViews>
    <sheetView topLeftCell="A150" zoomScale="110" zoomScaleNormal="110" workbookViewId="0">
      <selection activeCell="A132" sqref="A132:D163"/>
    </sheetView>
    <sheetView workbookViewId="1"/>
  </sheetViews>
  <sheetFormatPr baseColWidth="10" defaultColWidth="9.5" defaultRowHeight="15"/>
  <cols>
    <col min="1" max="1" width="26.5" style="2" bestFit="1" customWidth="1"/>
    <col min="2" max="2" width="22.5" style="2" customWidth="1"/>
    <col min="3" max="3" width="32.5" style="2" customWidth="1"/>
    <col min="4" max="4" width="78.5" style="2" bestFit="1" customWidth="1"/>
    <col min="5" max="5" width="23.5" style="2" bestFit="1" customWidth="1"/>
    <col min="6" max="6" width="13.5" style="2" customWidth="1"/>
    <col min="7" max="7" width="33" style="4" bestFit="1" customWidth="1"/>
    <col min="8" max="8" width="16.5" style="2" bestFit="1" customWidth="1"/>
    <col min="9" max="16384" width="9.5" style="2"/>
  </cols>
  <sheetData>
    <row r="1" spans="1:8">
      <c r="A1" s="46" t="s">
        <v>1316</v>
      </c>
      <c r="B1" s="47">
        <v>4</v>
      </c>
      <c r="C1" s="48"/>
      <c r="D1" s="49" t="s">
        <v>1317</v>
      </c>
      <c r="E1" s="47">
        <f>E2/B1</f>
        <v>317.5</v>
      </c>
      <c r="F1" s="47">
        <f>E1/B2</f>
        <v>13.229166666666666</v>
      </c>
    </row>
    <row r="2" spans="1:8" ht="16">
      <c r="A2" s="46" t="s">
        <v>1318</v>
      </c>
      <c r="B2" s="47">
        <v>24</v>
      </c>
      <c r="C2" s="48"/>
      <c r="D2" s="49" t="s">
        <v>1319</v>
      </c>
      <c r="E2" s="47">
        <f>SUM(E3:E4969)</f>
        <v>1270</v>
      </c>
      <c r="F2" s="47">
        <f>SUM(F3:F4969)</f>
        <v>61</v>
      </c>
      <c r="G2" s="4" t="s">
        <v>1320</v>
      </c>
      <c r="H2" s="2" t="s">
        <v>1320</v>
      </c>
    </row>
    <row r="3" spans="1:8" ht="40">
      <c r="A3" s="28" t="s">
        <v>1321</v>
      </c>
      <c r="B3" s="29" t="s">
        <v>1322</v>
      </c>
      <c r="C3" s="30" t="s">
        <v>1323</v>
      </c>
      <c r="D3" s="29" t="s">
        <v>1324</v>
      </c>
      <c r="E3" s="29" t="s">
        <v>1325</v>
      </c>
      <c r="F3" s="29" t="s">
        <v>1326</v>
      </c>
      <c r="G3" s="51" t="s">
        <v>1327</v>
      </c>
      <c r="H3" s="29" t="s">
        <v>1328</v>
      </c>
    </row>
    <row r="4" spans="1:8">
      <c r="A4" s="14" t="s">
        <v>233</v>
      </c>
      <c r="B4" s="6" t="s">
        <v>299</v>
      </c>
      <c r="C4" s="21" t="s">
        <v>1329</v>
      </c>
      <c r="D4" s="2" t="s">
        <v>1330</v>
      </c>
      <c r="E4" s="2">
        <v>1</v>
      </c>
      <c r="G4" s="52"/>
      <c r="H4" s="47"/>
    </row>
    <row r="5" spans="1:8">
      <c r="A5" s="14" t="s">
        <v>233</v>
      </c>
      <c r="B5" s="6" t="s">
        <v>1331</v>
      </c>
      <c r="C5" s="21" t="s">
        <v>1332</v>
      </c>
      <c r="D5" s="2" t="s">
        <v>1333</v>
      </c>
      <c r="E5" s="2">
        <v>1</v>
      </c>
    </row>
    <row r="6" spans="1:8">
      <c r="A6" s="14" t="s">
        <v>233</v>
      </c>
      <c r="B6" s="6" t="s">
        <v>300</v>
      </c>
      <c r="C6" s="21" t="s">
        <v>1334</v>
      </c>
      <c r="D6" s="2" t="s">
        <v>1335</v>
      </c>
    </row>
    <row r="7" spans="1:8">
      <c r="A7" s="14" t="s">
        <v>233</v>
      </c>
      <c r="B7" s="6" t="s">
        <v>301</v>
      </c>
      <c r="C7" s="21" t="s">
        <v>1336</v>
      </c>
      <c r="D7" s="2" t="s">
        <v>1337</v>
      </c>
      <c r="E7" s="2">
        <v>1</v>
      </c>
    </row>
    <row r="8" spans="1:8">
      <c r="A8" s="14" t="s">
        <v>233</v>
      </c>
      <c r="B8" s="6" t="s">
        <v>302</v>
      </c>
      <c r="C8" s="21" t="s">
        <v>1334</v>
      </c>
      <c r="D8" s="2" t="s">
        <v>1335</v>
      </c>
      <c r="E8" s="2">
        <v>1</v>
      </c>
    </row>
    <row r="9" spans="1:8">
      <c r="A9" s="14" t="s">
        <v>233</v>
      </c>
      <c r="B9" s="6" t="s">
        <v>303</v>
      </c>
      <c r="C9" s="21" t="s">
        <v>1338</v>
      </c>
      <c r="D9" s="2" t="s">
        <v>1339</v>
      </c>
      <c r="E9" s="2">
        <v>1</v>
      </c>
    </row>
    <row r="10" spans="1:8">
      <c r="A10" s="14" t="s">
        <v>233</v>
      </c>
      <c r="B10" s="6" t="s">
        <v>304</v>
      </c>
      <c r="C10" s="21" t="s">
        <v>1340</v>
      </c>
      <c r="D10" s="2" t="s">
        <v>1341</v>
      </c>
      <c r="E10" s="2">
        <v>1</v>
      </c>
    </row>
    <row r="11" spans="1:8">
      <c r="A11" s="14" t="s">
        <v>233</v>
      </c>
      <c r="B11" s="6" t="s">
        <v>305</v>
      </c>
      <c r="C11" s="21" t="s">
        <v>1338</v>
      </c>
      <c r="D11" s="2" t="s">
        <v>1339</v>
      </c>
      <c r="E11" s="2">
        <v>1</v>
      </c>
    </row>
    <row r="12" spans="1:8">
      <c r="A12" s="14" t="s">
        <v>233</v>
      </c>
      <c r="B12" s="6" t="s">
        <v>306</v>
      </c>
      <c r="C12" s="21" t="s">
        <v>1342</v>
      </c>
      <c r="D12" s="2" t="s">
        <v>1343</v>
      </c>
      <c r="E12" s="2">
        <v>1</v>
      </c>
    </row>
    <row r="13" spans="1:8">
      <c r="A13" s="14" t="s">
        <v>233</v>
      </c>
      <c r="B13" s="6" t="s">
        <v>307</v>
      </c>
      <c r="C13" s="21" t="s">
        <v>1344</v>
      </c>
      <c r="D13" s="2" t="s">
        <v>1345</v>
      </c>
      <c r="E13" s="2">
        <v>1</v>
      </c>
    </row>
    <row r="14" spans="1:8">
      <c r="A14" s="14" t="s">
        <v>233</v>
      </c>
      <c r="B14" s="6" t="s">
        <v>308</v>
      </c>
      <c r="C14" s="21" t="s">
        <v>1346</v>
      </c>
      <c r="D14" s="2" t="s">
        <v>1347</v>
      </c>
      <c r="E14" s="2">
        <v>1</v>
      </c>
    </row>
    <row r="15" spans="1:8">
      <c r="A15" s="14" t="s">
        <v>233</v>
      </c>
      <c r="B15" s="6" t="s">
        <v>309</v>
      </c>
      <c r="C15" s="21" t="s">
        <v>1340</v>
      </c>
      <c r="D15" s="2" t="s">
        <v>1341</v>
      </c>
      <c r="E15" s="2">
        <v>1</v>
      </c>
    </row>
    <row r="16" spans="1:8">
      <c r="A16" s="14" t="s">
        <v>233</v>
      </c>
      <c r="B16" s="6" t="s">
        <v>310</v>
      </c>
      <c r="C16" s="21" t="s">
        <v>1348</v>
      </c>
      <c r="D16" s="2" t="s">
        <v>1349</v>
      </c>
      <c r="E16" s="2">
        <v>1</v>
      </c>
    </row>
    <row r="17" spans="1:5">
      <c r="A17" s="14" t="s">
        <v>233</v>
      </c>
      <c r="B17" s="6" t="s">
        <v>311</v>
      </c>
      <c r="C17" s="21" t="s">
        <v>1350</v>
      </c>
      <c r="D17" s="2" t="s">
        <v>1351</v>
      </c>
      <c r="E17" s="2">
        <v>1</v>
      </c>
    </row>
    <row r="18" spans="1:5">
      <c r="A18" s="14" t="s">
        <v>233</v>
      </c>
      <c r="B18" s="6" t="s">
        <v>313</v>
      </c>
      <c r="C18" s="21" t="s">
        <v>1352</v>
      </c>
      <c r="D18" s="2" t="s">
        <v>1353</v>
      </c>
      <c r="E18" s="2">
        <v>1</v>
      </c>
    </row>
    <row r="19" spans="1:5">
      <c r="A19" s="14" t="s">
        <v>233</v>
      </c>
      <c r="B19" s="6" t="s">
        <v>314</v>
      </c>
      <c r="C19" s="21" t="s">
        <v>1354</v>
      </c>
      <c r="D19" s="2" t="s">
        <v>1355</v>
      </c>
      <c r="E19" s="2">
        <v>1</v>
      </c>
    </row>
    <row r="20" spans="1:5">
      <c r="A20" s="14" t="s">
        <v>233</v>
      </c>
      <c r="B20" s="6" t="s">
        <v>315</v>
      </c>
      <c r="C20" s="21" t="s">
        <v>1348</v>
      </c>
      <c r="D20" s="2" t="s">
        <v>1349</v>
      </c>
      <c r="E20" s="2">
        <v>1</v>
      </c>
    </row>
    <row r="21" spans="1:5">
      <c r="A21" s="14" t="s">
        <v>233</v>
      </c>
      <c r="B21" s="6" t="s">
        <v>316</v>
      </c>
      <c r="C21" s="21" t="s">
        <v>1340</v>
      </c>
      <c r="D21" s="2" t="s">
        <v>1341</v>
      </c>
      <c r="E21" s="2">
        <v>1</v>
      </c>
    </row>
    <row r="22" spans="1:5">
      <c r="A22" s="14" t="s">
        <v>233</v>
      </c>
      <c r="B22" s="6" t="s">
        <v>319</v>
      </c>
      <c r="C22" s="21" t="s">
        <v>1356</v>
      </c>
      <c r="D22" s="2" t="s">
        <v>1357</v>
      </c>
      <c r="E22" s="2">
        <v>1</v>
      </c>
    </row>
    <row r="23" spans="1:5">
      <c r="A23" s="14" t="s">
        <v>233</v>
      </c>
      <c r="B23" s="6" t="s">
        <v>320</v>
      </c>
      <c r="C23" s="21" t="s">
        <v>1348</v>
      </c>
      <c r="D23" s="2" t="s">
        <v>1349</v>
      </c>
      <c r="E23" s="2">
        <v>1</v>
      </c>
    </row>
    <row r="24" spans="1:5">
      <c r="A24" s="14" t="s">
        <v>233</v>
      </c>
      <c r="B24" s="6" t="s">
        <v>321</v>
      </c>
      <c r="C24" s="21" t="s">
        <v>1348</v>
      </c>
      <c r="D24" s="2" t="s">
        <v>1349</v>
      </c>
      <c r="E24" s="2">
        <v>1</v>
      </c>
    </row>
    <row r="25" spans="1:5">
      <c r="A25" s="14" t="s">
        <v>233</v>
      </c>
      <c r="B25" s="6" t="s">
        <v>322</v>
      </c>
      <c r="C25" s="21" t="s">
        <v>1358</v>
      </c>
      <c r="D25" s="2" t="s">
        <v>1359</v>
      </c>
      <c r="E25" s="2">
        <v>1</v>
      </c>
    </row>
    <row r="26" spans="1:5">
      <c r="A26" s="14" t="s">
        <v>233</v>
      </c>
      <c r="B26" s="6" t="s">
        <v>326</v>
      </c>
      <c r="C26" s="21" t="s">
        <v>1338</v>
      </c>
      <c r="D26" s="2" t="s">
        <v>1339</v>
      </c>
      <c r="E26" s="2">
        <v>1</v>
      </c>
    </row>
    <row r="27" spans="1:5">
      <c r="A27" s="14" t="s">
        <v>233</v>
      </c>
      <c r="B27" s="6" t="s">
        <v>327</v>
      </c>
      <c r="C27" s="21" t="s">
        <v>1352</v>
      </c>
      <c r="D27" s="2" t="s">
        <v>1353</v>
      </c>
      <c r="E27" s="2">
        <v>1</v>
      </c>
    </row>
    <row r="28" spans="1:5">
      <c r="A28" s="14" t="s">
        <v>233</v>
      </c>
      <c r="B28" s="6" t="s">
        <v>328</v>
      </c>
      <c r="C28" s="21" t="s">
        <v>1360</v>
      </c>
      <c r="D28" s="2" t="s">
        <v>1361</v>
      </c>
      <c r="E28" s="2">
        <v>1</v>
      </c>
    </row>
    <row r="29" spans="1:5">
      <c r="A29" s="14" t="s">
        <v>233</v>
      </c>
      <c r="B29" s="6" t="s">
        <v>329</v>
      </c>
      <c r="C29" s="21" t="s">
        <v>1338</v>
      </c>
      <c r="D29" s="2" t="s">
        <v>1339</v>
      </c>
      <c r="E29" s="2">
        <v>1</v>
      </c>
    </row>
    <row r="30" spans="1:5">
      <c r="A30" s="14" t="s">
        <v>233</v>
      </c>
      <c r="B30" s="6" t="s">
        <v>331</v>
      </c>
      <c r="C30" s="21" t="s">
        <v>1338</v>
      </c>
      <c r="D30" s="2" t="s">
        <v>1339</v>
      </c>
      <c r="E30" s="2">
        <v>1</v>
      </c>
    </row>
    <row r="31" spans="1:5">
      <c r="A31" s="14" t="s">
        <v>233</v>
      </c>
      <c r="B31" s="6" t="s">
        <v>333</v>
      </c>
      <c r="C31" s="21" t="s">
        <v>1338</v>
      </c>
      <c r="D31" s="2" t="s">
        <v>1339</v>
      </c>
      <c r="E31" s="2">
        <v>1</v>
      </c>
    </row>
    <row r="32" spans="1:5">
      <c r="A32" s="14" t="s">
        <v>233</v>
      </c>
      <c r="B32" s="6" t="s">
        <v>334</v>
      </c>
      <c r="C32" s="21" t="s">
        <v>1360</v>
      </c>
      <c r="D32" s="2" t="s">
        <v>1361</v>
      </c>
      <c r="E32" s="2">
        <v>1</v>
      </c>
    </row>
    <row r="33" spans="1:7">
      <c r="A33" s="14" t="s">
        <v>233</v>
      </c>
      <c r="B33" s="6" t="s">
        <v>335</v>
      </c>
      <c r="C33" s="21" t="s">
        <v>1338</v>
      </c>
      <c r="D33" s="2" t="s">
        <v>1339</v>
      </c>
      <c r="E33" s="2">
        <v>1</v>
      </c>
    </row>
    <row r="34" spans="1:7">
      <c r="A34" s="14" t="s">
        <v>233</v>
      </c>
      <c r="B34" s="6" t="s">
        <v>336</v>
      </c>
      <c r="C34" s="21" t="s">
        <v>1362</v>
      </c>
      <c r="D34" s="2" t="s">
        <v>1363</v>
      </c>
      <c r="E34" s="2">
        <v>1</v>
      </c>
    </row>
    <row r="35" spans="1:7">
      <c r="A35" s="14" t="s">
        <v>233</v>
      </c>
      <c r="B35" s="6" t="s">
        <v>338</v>
      </c>
      <c r="C35" s="21" t="s">
        <v>1340</v>
      </c>
      <c r="D35" s="2" t="s">
        <v>1341</v>
      </c>
      <c r="E35" s="2">
        <v>1</v>
      </c>
    </row>
    <row r="36" spans="1:7" ht="32">
      <c r="A36" s="15" t="s">
        <v>478</v>
      </c>
      <c r="B36" s="7" t="s">
        <v>299</v>
      </c>
      <c r="C36" s="22" t="s">
        <v>1364</v>
      </c>
      <c r="D36" t="s">
        <v>1365</v>
      </c>
      <c r="E36" s="2">
        <v>1</v>
      </c>
      <c r="G36" s="4" t="s">
        <v>1366</v>
      </c>
    </row>
    <row r="37" spans="1:7">
      <c r="A37" s="15" t="s">
        <v>478</v>
      </c>
      <c r="B37" s="7" t="s">
        <v>1331</v>
      </c>
      <c r="C37" s="22" t="s">
        <v>1367</v>
      </c>
      <c r="D37" s="2" t="s">
        <v>1368</v>
      </c>
      <c r="E37" s="2">
        <v>1</v>
      </c>
    </row>
    <row r="38" spans="1:7">
      <c r="A38" s="15" t="s">
        <v>478</v>
      </c>
      <c r="B38" s="7" t="s">
        <v>300</v>
      </c>
      <c r="C38" s="22" t="s">
        <v>1369</v>
      </c>
      <c r="D38" s="2" t="s">
        <v>1370</v>
      </c>
      <c r="E38" s="2">
        <v>1</v>
      </c>
    </row>
    <row r="39" spans="1:7">
      <c r="A39" s="15" t="s">
        <v>478</v>
      </c>
      <c r="B39" s="7" t="s">
        <v>301</v>
      </c>
      <c r="C39" s="22" t="s">
        <v>1371</v>
      </c>
      <c r="D39" s="2" t="s">
        <v>1372</v>
      </c>
      <c r="E39" s="2">
        <v>1</v>
      </c>
    </row>
    <row r="40" spans="1:7">
      <c r="A40" s="15" t="s">
        <v>478</v>
      </c>
      <c r="B40" s="7" t="s">
        <v>302</v>
      </c>
      <c r="C40" s="22" t="s">
        <v>1369</v>
      </c>
      <c r="D40" s="2" t="s">
        <v>1370</v>
      </c>
      <c r="E40" s="2">
        <v>1</v>
      </c>
    </row>
    <row r="41" spans="1:7">
      <c r="A41" s="15" t="s">
        <v>478</v>
      </c>
      <c r="B41" s="7" t="s">
        <v>303</v>
      </c>
      <c r="C41" s="22" t="s">
        <v>1373</v>
      </c>
      <c r="D41" s="2" t="s">
        <v>1374</v>
      </c>
      <c r="E41" s="2">
        <v>1</v>
      </c>
    </row>
    <row r="42" spans="1:7">
      <c r="A42" s="15" t="s">
        <v>478</v>
      </c>
      <c r="B42" s="7" t="s">
        <v>304</v>
      </c>
      <c r="C42" s="22" t="s">
        <v>1375</v>
      </c>
      <c r="D42" s="2" t="s">
        <v>1376</v>
      </c>
      <c r="E42" s="2">
        <v>1</v>
      </c>
    </row>
    <row r="43" spans="1:7">
      <c r="A43" s="15" t="s">
        <v>478</v>
      </c>
      <c r="B43" s="7" t="s">
        <v>305</v>
      </c>
      <c r="C43" s="22" t="s">
        <v>1373</v>
      </c>
      <c r="D43" s="2" t="s">
        <v>1374</v>
      </c>
      <c r="E43" s="2">
        <v>1</v>
      </c>
    </row>
    <row r="44" spans="1:7">
      <c r="A44" s="15" t="s">
        <v>478</v>
      </c>
      <c r="B44" s="7" t="s">
        <v>306</v>
      </c>
      <c r="C44" s="22" t="s">
        <v>1377</v>
      </c>
      <c r="D44" s="2" t="s">
        <v>1378</v>
      </c>
      <c r="E44" s="2">
        <v>1</v>
      </c>
    </row>
    <row r="45" spans="1:7">
      <c r="A45" s="15" t="s">
        <v>478</v>
      </c>
      <c r="B45" s="7" t="s">
        <v>307</v>
      </c>
      <c r="C45" s="22" t="s">
        <v>1379</v>
      </c>
      <c r="D45" s="2" t="s">
        <v>1380</v>
      </c>
      <c r="E45" s="2">
        <v>1</v>
      </c>
    </row>
    <row r="46" spans="1:7">
      <c r="A46" s="15" t="s">
        <v>478</v>
      </c>
      <c r="B46" s="7" t="s">
        <v>308</v>
      </c>
      <c r="C46" s="22" t="s">
        <v>1381</v>
      </c>
      <c r="D46" s="2" t="s">
        <v>1382</v>
      </c>
      <c r="E46" s="2">
        <v>1</v>
      </c>
    </row>
    <row r="47" spans="1:7">
      <c r="A47" s="15" t="s">
        <v>478</v>
      </c>
      <c r="B47" s="7" t="s">
        <v>309</v>
      </c>
      <c r="C47" s="22" t="s">
        <v>1375</v>
      </c>
      <c r="D47" s="2" t="s">
        <v>1376</v>
      </c>
      <c r="E47" s="2">
        <v>1</v>
      </c>
    </row>
    <row r="48" spans="1:7">
      <c r="A48" s="15" t="s">
        <v>478</v>
      </c>
      <c r="B48" s="7" t="s">
        <v>310</v>
      </c>
      <c r="C48" s="22" t="s">
        <v>1375</v>
      </c>
      <c r="D48" s="2" t="s">
        <v>1376</v>
      </c>
      <c r="E48" s="2">
        <v>1</v>
      </c>
    </row>
    <row r="49" spans="1:5">
      <c r="A49" s="15" t="s">
        <v>478</v>
      </c>
      <c r="B49" s="7" t="s">
        <v>311</v>
      </c>
      <c r="C49" s="22" t="s">
        <v>1375</v>
      </c>
      <c r="D49" s="2" t="s">
        <v>1376</v>
      </c>
      <c r="E49" s="2">
        <v>1</v>
      </c>
    </row>
    <row r="50" spans="1:5">
      <c r="A50" s="15" t="s">
        <v>478</v>
      </c>
      <c r="B50" s="7" t="s">
        <v>313</v>
      </c>
      <c r="C50" s="22" t="s">
        <v>1375</v>
      </c>
      <c r="D50" s="2" t="s">
        <v>1376</v>
      </c>
      <c r="E50" s="2">
        <v>1</v>
      </c>
    </row>
    <row r="51" spans="1:5">
      <c r="A51" s="15" t="s">
        <v>478</v>
      </c>
      <c r="B51" s="7" t="s">
        <v>314</v>
      </c>
      <c r="C51" s="22" t="s">
        <v>1375</v>
      </c>
      <c r="D51" s="2" t="s">
        <v>1376</v>
      </c>
      <c r="E51" s="2">
        <v>1</v>
      </c>
    </row>
    <row r="52" spans="1:5">
      <c r="A52" s="15" t="s">
        <v>478</v>
      </c>
      <c r="B52" s="7" t="s">
        <v>315</v>
      </c>
      <c r="C52" s="22" t="s">
        <v>1373</v>
      </c>
      <c r="D52" s="2" t="s">
        <v>1376</v>
      </c>
      <c r="E52" s="2">
        <v>1</v>
      </c>
    </row>
    <row r="53" spans="1:5">
      <c r="A53" s="15" t="s">
        <v>478</v>
      </c>
      <c r="B53" s="7" t="s">
        <v>316</v>
      </c>
      <c r="C53" s="22" t="s">
        <v>1375</v>
      </c>
      <c r="D53" s="2" t="s">
        <v>1376</v>
      </c>
      <c r="E53" s="2">
        <v>1</v>
      </c>
    </row>
    <row r="54" spans="1:5">
      <c r="A54" s="15" t="s">
        <v>478</v>
      </c>
      <c r="B54" s="7" t="s">
        <v>319</v>
      </c>
      <c r="C54" s="22" t="s">
        <v>1383</v>
      </c>
      <c r="D54" s="2" t="s">
        <v>1384</v>
      </c>
      <c r="E54" s="2">
        <v>1</v>
      </c>
    </row>
    <row r="55" spans="1:5">
      <c r="A55" s="15" t="s">
        <v>478</v>
      </c>
      <c r="B55" s="7" t="s">
        <v>320</v>
      </c>
      <c r="C55" s="22" t="s">
        <v>1373</v>
      </c>
      <c r="D55" s="2" t="s">
        <v>1374</v>
      </c>
      <c r="E55" s="2">
        <v>1</v>
      </c>
    </row>
    <row r="56" spans="1:5">
      <c r="A56" s="15" t="s">
        <v>478</v>
      </c>
      <c r="B56" s="7" t="s">
        <v>321</v>
      </c>
      <c r="C56" s="22" t="s">
        <v>1373</v>
      </c>
      <c r="D56" s="2" t="s">
        <v>1374</v>
      </c>
      <c r="E56" s="2">
        <v>1</v>
      </c>
    </row>
    <row r="57" spans="1:5">
      <c r="A57" s="15" t="s">
        <v>478</v>
      </c>
      <c r="B57" s="7" t="s">
        <v>322</v>
      </c>
      <c r="C57" s="22" t="s">
        <v>1385</v>
      </c>
      <c r="D57" s="2" t="s">
        <v>1386</v>
      </c>
      <c r="E57" s="2">
        <v>1</v>
      </c>
    </row>
    <row r="58" spans="1:5">
      <c r="A58" s="15" t="s">
        <v>478</v>
      </c>
      <c r="B58" s="7" t="s">
        <v>326</v>
      </c>
      <c r="C58" s="22" t="s">
        <v>1387</v>
      </c>
      <c r="D58" s="2" t="s">
        <v>1388</v>
      </c>
      <c r="E58" s="2">
        <v>1</v>
      </c>
    </row>
    <row r="59" spans="1:5">
      <c r="A59" s="15" t="s">
        <v>478</v>
      </c>
      <c r="B59" s="7" t="s">
        <v>327</v>
      </c>
      <c r="C59" s="22" t="s">
        <v>1375</v>
      </c>
      <c r="D59" s="2" t="s">
        <v>1376</v>
      </c>
      <c r="E59" s="2">
        <v>1</v>
      </c>
    </row>
    <row r="60" spans="1:5">
      <c r="A60" s="15" t="s">
        <v>478</v>
      </c>
      <c r="B60" s="7" t="s">
        <v>328</v>
      </c>
      <c r="C60" s="22" t="s">
        <v>1375</v>
      </c>
      <c r="D60" s="2" t="s">
        <v>1376</v>
      </c>
      <c r="E60" s="2">
        <v>1</v>
      </c>
    </row>
    <row r="61" spans="1:5">
      <c r="A61" s="15" t="s">
        <v>478</v>
      </c>
      <c r="B61" s="7" t="s">
        <v>329</v>
      </c>
      <c r="C61" s="22" t="s">
        <v>1373</v>
      </c>
      <c r="D61" s="2" t="s">
        <v>1374</v>
      </c>
      <c r="E61" s="2">
        <v>1</v>
      </c>
    </row>
    <row r="62" spans="1:5">
      <c r="A62" s="15" t="s">
        <v>478</v>
      </c>
      <c r="B62" s="7" t="s">
        <v>331</v>
      </c>
      <c r="C62" s="22" t="s">
        <v>1373</v>
      </c>
      <c r="D62" s="2" t="s">
        <v>1374</v>
      </c>
      <c r="E62" s="2">
        <v>1</v>
      </c>
    </row>
    <row r="63" spans="1:5">
      <c r="A63" s="15" t="s">
        <v>478</v>
      </c>
      <c r="B63" s="7" t="s">
        <v>333</v>
      </c>
      <c r="C63" s="22" t="s">
        <v>1373</v>
      </c>
      <c r="D63" s="2" t="s">
        <v>1374</v>
      </c>
      <c r="E63" s="2">
        <v>1</v>
      </c>
    </row>
    <row r="64" spans="1:5">
      <c r="A64" s="15" t="s">
        <v>478</v>
      </c>
      <c r="B64" s="7" t="s">
        <v>334</v>
      </c>
      <c r="C64" s="22" t="s">
        <v>1375</v>
      </c>
      <c r="D64" s="2" t="s">
        <v>1374</v>
      </c>
      <c r="E64" s="2">
        <v>1</v>
      </c>
    </row>
    <row r="65" spans="1:5">
      <c r="A65" s="15" t="s">
        <v>478</v>
      </c>
      <c r="B65" s="7" t="s">
        <v>335</v>
      </c>
      <c r="C65" s="22" t="s">
        <v>1373</v>
      </c>
      <c r="D65" s="2" t="s">
        <v>1374</v>
      </c>
      <c r="E65" s="2">
        <v>1</v>
      </c>
    </row>
    <row r="66" spans="1:5">
      <c r="A66" s="15" t="s">
        <v>478</v>
      </c>
      <c r="B66" s="7" t="s">
        <v>336</v>
      </c>
      <c r="C66" s="22" t="s">
        <v>1373</v>
      </c>
      <c r="D66" s="2" t="s">
        <v>1374</v>
      </c>
      <c r="E66" s="2">
        <v>1</v>
      </c>
    </row>
    <row r="67" spans="1:5">
      <c r="A67" s="15" t="s">
        <v>478</v>
      </c>
      <c r="B67" s="7" t="s">
        <v>338</v>
      </c>
      <c r="C67" s="22" t="s">
        <v>1375</v>
      </c>
      <c r="D67" s="2" t="s">
        <v>1374</v>
      </c>
      <c r="E67" s="2">
        <v>1</v>
      </c>
    </row>
    <row r="68" spans="1:5">
      <c r="A68" s="16" t="s">
        <v>483</v>
      </c>
      <c r="B68" s="8" t="s">
        <v>299</v>
      </c>
      <c r="C68" s="23" t="s">
        <v>1389</v>
      </c>
      <c r="D68" t="s">
        <v>1390</v>
      </c>
      <c r="E68" s="2">
        <v>1</v>
      </c>
    </row>
    <row r="69" spans="1:5">
      <c r="A69" s="16" t="s">
        <v>483</v>
      </c>
      <c r="B69" s="8" t="s">
        <v>1331</v>
      </c>
      <c r="C69" s="23" t="s">
        <v>1391</v>
      </c>
      <c r="D69" s="2" t="s">
        <v>1392</v>
      </c>
      <c r="E69" s="2">
        <v>1</v>
      </c>
    </row>
    <row r="70" spans="1:5">
      <c r="A70" s="16" t="s">
        <v>483</v>
      </c>
      <c r="B70" s="8" t="s">
        <v>300</v>
      </c>
      <c r="C70" s="23" t="s">
        <v>1377</v>
      </c>
      <c r="D70" s="2" t="s">
        <v>1378</v>
      </c>
      <c r="E70" s="2">
        <v>1</v>
      </c>
    </row>
    <row r="71" spans="1:5">
      <c r="A71" s="16" t="s">
        <v>483</v>
      </c>
      <c r="B71" s="8" t="s">
        <v>301</v>
      </c>
      <c r="C71" s="23" t="s">
        <v>1393</v>
      </c>
      <c r="D71" s="2" t="s">
        <v>1394</v>
      </c>
      <c r="E71" s="2">
        <v>1</v>
      </c>
    </row>
    <row r="72" spans="1:5">
      <c r="A72" s="16" t="s">
        <v>483</v>
      </c>
      <c r="B72" s="8" t="s">
        <v>302</v>
      </c>
      <c r="C72" s="23" t="s">
        <v>1377</v>
      </c>
      <c r="D72" s="2" t="s">
        <v>1378</v>
      </c>
      <c r="E72" s="2">
        <v>1</v>
      </c>
    </row>
    <row r="73" spans="1:5">
      <c r="A73" s="16" t="s">
        <v>483</v>
      </c>
      <c r="B73" s="8" t="s">
        <v>303</v>
      </c>
      <c r="C73" s="23" t="s">
        <v>1395</v>
      </c>
      <c r="D73" s="2" t="s">
        <v>1396</v>
      </c>
      <c r="E73" s="2">
        <v>1</v>
      </c>
    </row>
    <row r="74" spans="1:5">
      <c r="A74" s="16" t="s">
        <v>483</v>
      </c>
      <c r="B74" s="8" t="s">
        <v>304</v>
      </c>
      <c r="C74" s="23" t="s">
        <v>1397</v>
      </c>
      <c r="D74" s="2" t="s">
        <v>1398</v>
      </c>
      <c r="E74" s="2">
        <v>1</v>
      </c>
    </row>
    <row r="75" spans="1:5">
      <c r="A75" s="16" t="s">
        <v>483</v>
      </c>
      <c r="B75" s="8" t="s">
        <v>305</v>
      </c>
      <c r="C75" s="23" t="s">
        <v>1395</v>
      </c>
      <c r="D75" s="2" t="s">
        <v>1396</v>
      </c>
      <c r="E75" s="2">
        <v>1</v>
      </c>
    </row>
    <row r="76" spans="1:5">
      <c r="A76" s="16" t="s">
        <v>483</v>
      </c>
      <c r="B76" s="8" t="s">
        <v>306</v>
      </c>
      <c r="C76" s="23" t="s">
        <v>1371</v>
      </c>
      <c r="D76" s="2" t="s">
        <v>1372</v>
      </c>
      <c r="E76" s="2">
        <v>1</v>
      </c>
    </row>
    <row r="77" spans="1:5">
      <c r="A77" s="16" t="s">
        <v>483</v>
      </c>
      <c r="B77" s="8" t="s">
        <v>307</v>
      </c>
      <c r="C77" s="23" t="s">
        <v>1399</v>
      </c>
      <c r="D77" s="2" t="s">
        <v>1400</v>
      </c>
      <c r="E77" s="2">
        <v>1</v>
      </c>
    </row>
    <row r="78" spans="1:5">
      <c r="A78" s="16" t="s">
        <v>483</v>
      </c>
      <c r="B78" s="8" t="s">
        <v>308</v>
      </c>
      <c r="C78" s="23" t="s">
        <v>1401</v>
      </c>
      <c r="D78" s="2" t="s">
        <v>1402</v>
      </c>
      <c r="E78" s="2">
        <v>1</v>
      </c>
    </row>
    <row r="79" spans="1:5">
      <c r="A79" s="16" t="s">
        <v>483</v>
      </c>
      <c r="B79" s="8" t="s">
        <v>309</v>
      </c>
      <c r="C79" s="23" t="s">
        <v>1397</v>
      </c>
      <c r="D79" s="2" t="s">
        <v>1398</v>
      </c>
      <c r="E79" s="2">
        <v>1</v>
      </c>
    </row>
    <row r="80" spans="1:5">
      <c r="A80" s="16" t="s">
        <v>483</v>
      </c>
      <c r="B80" s="8" t="s">
        <v>310</v>
      </c>
      <c r="C80" s="23" t="s">
        <v>1397</v>
      </c>
      <c r="D80" s="2" t="s">
        <v>1398</v>
      </c>
      <c r="E80" s="2">
        <v>1</v>
      </c>
    </row>
    <row r="81" spans="1:5">
      <c r="A81" s="16" t="s">
        <v>483</v>
      </c>
      <c r="B81" s="8" t="s">
        <v>311</v>
      </c>
      <c r="C81" s="23" t="s">
        <v>1369</v>
      </c>
      <c r="D81" s="2" t="s">
        <v>1370</v>
      </c>
      <c r="E81" s="2">
        <v>1</v>
      </c>
    </row>
    <row r="82" spans="1:5">
      <c r="A82" s="16" t="s">
        <v>483</v>
      </c>
      <c r="B82" s="8" t="s">
        <v>313</v>
      </c>
      <c r="C82" s="23" t="s">
        <v>1403</v>
      </c>
      <c r="D82" s="2" t="s">
        <v>1404</v>
      </c>
      <c r="E82" s="2">
        <v>1</v>
      </c>
    </row>
    <row r="83" spans="1:5">
      <c r="A83" s="16" t="s">
        <v>483</v>
      </c>
      <c r="B83" s="8" t="s">
        <v>314</v>
      </c>
      <c r="C83" s="23" t="s">
        <v>1369</v>
      </c>
      <c r="D83" s="2" t="s">
        <v>1370</v>
      </c>
      <c r="E83" s="2">
        <v>1</v>
      </c>
    </row>
    <row r="84" spans="1:5">
      <c r="A84" s="16" t="s">
        <v>483</v>
      </c>
      <c r="B84" s="8" t="s">
        <v>315</v>
      </c>
      <c r="C84" s="23" t="s">
        <v>1395</v>
      </c>
      <c r="D84" s="2" t="s">
        <v>1396</v>
      </c>
      <c r="E84" s="2">
        <v>1</v>
      </c>
    </row>
    <row r="85" spans="1:5">
      <c r="A85" s="16" t="s">
        <v>483</v>
      </c>
      <c r="B85" s="8" t="s">
        <v>316</v>
      </c>
      <c r="C85" s="23" t="s">
        <v>1397</v>
      </c>
      <c r="D85" s="2" t="s">
        <v>1398</v>
      </c>
      <c r="E85" s="2">
        <v>1</v>
      </c>
    </row>
    <row r="86" spans="1:5">
      <c r="A86" s="16" t="s">
        <v>483</v>
      </c>
      <c r="B86" s="8" t="s">
        <v>319</v>
      </c>
      <c r="C86" s="23" t="s">
        <v>1405</v>
      </c>
      <c r="D86" s="2" t="s">
        <v>1406</v>
      </c>
      <c r="E86" s="2">
        <v>1</v>
      </c>
    </row>
    <row r="87" spans="1:5">
      <c r="A87" s="16" t="s">
        <v>483</v>
      </c>
      <c r="B87" s="8" t="s">
        <v>320</v>
      </c>
      <c r="C87" s="23" t="s">
        <v>1395</v>
      </c>
      <c r="D87" s="2" t="s">
        <v>1396</v>
      </c>
      <c r="E87" s="2">
        <v>1</v>
      </c>
    </row>
    <row r="88" spans="1:5">
      <c r="A88" s="16" t="s">
        <v>483</v>
      </c>
      <c r="B88" s="8" t="s">
        <v>321</v>
      </c>
      <c r="C88" s="23" t="s">
        <v>1395</v>
      </c>
      <c r="D88" s="2" t="s">
        <v>1396</v>
      </c>
      <c r="E88" s="2">
        <v>1</v>
      </c>
    </row>
    <row r="89" spans="1:5">
      <c r="A89" s="16" t="s">
        <v>483</v>
      </c>
      <c r="B89" s="8" t="s">
        <v>322</v>
      </c>
      <c r="C89" s="23" t="s">
        <v>1407</v>
      </c>
      <c r="D89" s="2" t="s">
        <v>1408</v>
      </c>
      <c r="E89" s="2">
        <v>1</v>
      </c>
    </row>
    <row r="90" spans="1:5">
      <c r="A90" s="16" t="s">
        <v>483</v>
      </c>
      <c r="B90" s="8" t="s">
        <v>326</v>
      </c>
      <c r="C90" s="23" t="s">
        <v>1409</v>
      </c>
      <c r="D90" s="2" t="s">
        <v>1410</v>
      </c>
      <c r="E90" s="2">
        <v>1</v>
      </c>
    </row>
    <row r="91" spans="1:5">
      <c r="A91" s="16" t="s">
        <v>483</v>
      </c>
      <c r="B91" s="8" t="s">
        <v>327</v>
      </c>
      <c r="C91" s="23" t="s">
        <v>1369</v>
      </c>
      <c r="D91" s="2" t="s">
        <v>1370</v>
      </c>
      <c r="E91" s="2">
        <v>1</v>
      </c>
    </row>
    <row r="92" spans="1:5">
      <c r="A92" s="16" t="s">
        <v>483</v>
      </c>
      <c r="B92" s="8" t="s">
        <v>328</v>
      </c>
      <c r="C92" s="23" t="s">
        <v>1403</v>
      </c>
      <c r="D92" s="2" t="s">
        <v>1404</v>
      </c>
      <c r="E92" s="2">
        <v>1</v>
      </c>
    </row>
    <row r="93" spans="1:5">
      <c r="A93" s="16" t="s">
        <v>483</v>
      </c>
      <c r="B93" s="8" t="s">
        <v>329</v>
      </c>
      <c r="C93" s="23" t="s">
        <v>1395</v>
      </c>
      <c r="D93" s="2" t="s">
        <v>1396</v>
      </c>
      <c r="E93" s="2">
        <v>1</v>
      </c>
    </row>
    <row r="94" spans="1:5">
      <c r="A94" s="16" t="s">
        <v>483</v>
      </c>
      <c r="B94" s="8" t="s">
        <v>331</v>
      </c>
      <c r="C94" s="23" t="s">
        <v>1395</v>
      </c>
      <c r="D94" s="2" t="s">
        <v>1396</v>
      </c>
      <c r="E94" s="2">
        <v>1</v>
      </c>
    </row>
    <row r="95" spans="1:5">
      <c r="A95" s="16" t="s">
        <v>483</v>
      </c>
      <c r="B95" s="8" t="s">
        <v>333</v>
      </c>
      <c r="C95" s="23" t="s">
        <v>1395</v>
      </c>
      <c r="D95" s="2" t="s">
        <v>1396</v>
      </c>
      <c r="E95" s="2">
        <v>1</v>
      </c>
    </row>
    <row r="96" spans="1:5">
      <c r="A96" s="16" t="s">
        <v>483</v>
      </c>
      <c r="B96" s="8" t="s">
        <v>334</v>
      </c>
      <c r="C96" s="23" t="s">
        <v>1395</v>
      </c>
      <c r="D96" s="2" t="s">
        <v>1396</v>
      </c>
      <c r="E96" s="2">
        <v>1</v>
      </c>
    </row>
    <row r="97" spans="1:5">
      <c r="A97" s="16" t="s">
        <v>483</v>
      </c>
      <c r="B97" s="8" t="s">
        <v>335</v>
      </c>
      <c r="C97" s="23" t="s">
        <v>1395</v>
      </c>
      <c r="D97" s="2" t="s">
        <v>1396</v>
      </c>
      <c r="E97" s="2">
        <v>1</v>
      </c>
    </row>
    <row r="98" spans="1:5">
      <c r="A98" s="16" t="s">
        <v>483</v>
      </c>
      <c r="B98" s="8" t="s">
        <v>336</v>
      </c>
      <c r="C98" s="23" t="s">
        <v>1395</v>
      </c>
      <c r="D98" s="2" t="s">
        <v>1396</v>
      </c>
      <c r="E98" s="2">
        <v>1</v>
      </c>
    </row>
    <row r="99" spans="1:5">
      <c r="A99" s="16" t="s">
        <v>483</v>
      </c>
      <c r="B99" s="8" t="s">
        <v>338</v>
      </c>
      <c r="C99" s="23" t="s">
        <v>1403</v>
      </c>
      <c r="D99" s="2" t="s">
        <v>1404</v>
      </c>
      <c r="E99" s="2">
        <v>1</v>
      </c>
    </row>
    <row r="100" spans="1:5">
      <c r="A100" s="17" t="s">
        <v>237</v>
      </c>
      <c r="B100" s="9" t="s">
        <v>299</v>
      </c>
      <c r="C100" s="24" t="s">
        <v>1411</v>
      </c>
      <c r="D100" t="s">
        <v>1412</v>
      </c>
      <c r="E100" s="2">
        <v>1</v>
      </c>
    </row>
    <row r="101" spans="1:5">
      <c r="A101" s="17" t="s">
        <v>237</v>
      </c>
      <c r="B101" s="9" t="s">
        <v>1331</v>
      </c>
      <c r="C101" s="24" t="s">
        <v>1413</v>
      </c>
      <c r="D101" s="2" t="s">
        <v>1414</v>
      </c>
      <c r="E101" s="2">
        <v>1</v>
      </c>
    </row>
    <row r="102" spans="1:5">
      <c r="A102" s="17" t="s">
        <v>237</v>
      </c>
      <c r="B102" s="9" t="s">
        <v>300</v>
      </c>
      <c r="C102" s="24" t="s">
        <v>1415</v>
      </c>
      <c r="D102" s="2" t="s">
        <v>1416</v>
      </c>
      <c r="E102" s="2">
        <v>1</v>
      </c>
    </row>
    <row r="103" spans="1:5">
      <c r="A103" s="17" t="s">
        <v>237</v>
      </c>
      <c r="B103" s="9" t="s">
        <v>301</v>
      </c>
      <c r="C103" s="24" t="s">
        <v>1415</v>
      </c>
      <c r="D103" s="2" t="s">
        <v>1416</v>
      </c>
      <c r="E103" s="2">
        <v>1</v>
      </c>
    </row>
    <row r="104" spans="1:5">
      <c r="A104" s="17" t="s">
        <v>237</v>
      </c>
      <c r="B104" s="9" t="s">
        <v>302</v>
      </c>
      <c r="C104" s="24" t="s">
        <v>1415</v>
      </c>
      <c r="D104" s="2" t="s">
        <v>1416</v>
      </c>
      <c r="E104" s="2">
        <v>1</v>
      </c>
    </row>
    <row r="105" spans="1:5">
      <c r="A105" s="17" t="s">
        <v>237</v>
      </c>
      <c r="B105" s="9" t="s">
        <v>303</v>
      </c>
      <c r="C105" s="24" t="s">
        <v>1417</v>
      </c>
      <c r="D105" s="2" t="s">
        <v>1418</v>
      </c>
      <c r="E105" s="2">
        <v>1</v>
      </c>
    </row>
    <row r="106" spans="1:5">
      <c r="A106" s="17" t="s">
        <v>237</v>
      </c>
      <c r="B106" s="9" t="s">
        <v>304</v>
      </c>
      <c r="C106" s="24" t="s">
        <v>1415</v>
      </c>
      <c r="D106" s="2" t="s">
        <v>1416</v>
      </c>
      <c r="E106" s="2">
        <v>1</v>
      </c>
    </row>
    <row r="107" spans="1:5">
      <c r="A107" s="17" t="s">
        <v>237</v>
      </c>
      <c r="B107" s="9" t="s">
        <v>305</v>
      </c>
      <c r="C107" s="24" t="s">
        <v>1417</v>
      </c>
      <c r="D107" s="2" t="s">
        <v>1418</v>
      </c>
      <c r="E107" s="2">
        <v>1</v>
      </c>
    </row>
    <row r="108" spans="1:5">
      <c r="A108" s="17" t="s">
        <v>237</v>
      </c>
      <c r="B108" s="9" t="s">
        <v>306</v>
      </c>
      <c r="C108" s="24" t="s">
        <v>1415</v>
      </c>
      <c r="D108" s="54" t="s">
        <v>1416</v>
      </c>
      <c r="E108" s="2">
        <v>1</v>
      </c>
    </row>
    <row r="109" spans="1:5">
      <c r="A109" s="17" t="s">
        <v>237</v>
      </c>
      <c r="B109" s="9" t="s">
        <v>307</v>
      </c>
      <c r="C109" s="24" t="s">
        <v>1411</v>
      </c>
      <c r="D109" s="2" t="s">
        <v>1419</v>
      </c>
      <c r="E109" s="2">
        <v>1</v>
      </c>
    </row>
    <row r="110" spans="1:5">
      <c r="A110" s="17" t="s">
        <v>237</v>
      </c>
      <c r="B110" s="9" t="s">
        <v>308</v>
      </c>
      <c r="C110" s="24" t="s">
        <v>1415</v>
      </c>
      <c r="D110" s="54" t="s">
        <v>1416</v>
      </c>
      <c r="E110" s="2">
        <v>1</v>
      </c>
    </row>
    <row r="111" spans="1:5">
      <c r="A111" s="17" t="s">
        <v>237</v>
      </c>
      <c r="B111" s="9" t="s">
        <v>309</v>
      </c>
      <c r="C111" s="24" t="s">
        <v>1415</v>
      </c>
      <c r="D111" s="54" t="s">
        <v>1416</v>
      </c>
      <c r="E111" s="2">
        <v>1</v>
      </c>
    </row>
    <row r="112" spans="1:5">
      <c r="A112" s="17" t="s">
        <v>237</v>
      </c>
      <c r="B112" s="9" t="s">
        <v>310</v>
      </c>
      <c r="C112" s="24" t="s">
        <v>1415</v>
      </c>
      <c r="D112" s="54" t="s">
        <v>1416</v>
      </c>
      <c r="E112" s="2">
        <v>1</v>
      </c>
    </row>
    <row r="113" spans="1:5">
      <c r="A113" s="17" t="s">
        <v>237</v>
      </c>
      <c r="B113" s="9" t="s">
        <v>311</v>
      </c>
      <c r="C113" s="24" t="s">
        <v>1415</v>
      </c>
      <c r="D113" s="54" t="s">
        <v>1416</v>
      </c>
      <c r="E113" s="2">
        <v>1</v>
      </c>
    </row>
    <row r="114" spans="1:5">
      <c r="A114" s="17" t="s">
        <v>237</v>
      </c>
      <c r="B114" s="9" t="s">
        <v>313</v>
      </c>
      <c r="C114" s="24" t="s">
        <v>1415</v>
      </c>
      <c r="D114" s="54" t="s">
        <v>1416</v>
      </c>
      <c r="E114" s="2">
        <v>1</v>
      </c>
    </row>
    <row r="115" spans="1:5">
      <c r="A115" s="17" t="s">
        <v>237</v>
      </c>
      <c r="B115" s="9" t="s">
        <v>314</v>
      </c>
      <c r="C115" s="24" t="s">
        <v>1415</v>
      </c>
      <c r="D115" s="54" t="s">
        <v>1416</v>
      </c>
      <c r="E115" s="2">
        <v>1</v>
      </c>
    </row>
    <row r="116" spans="1:5">
      <c r="A116" s="17" t="s">
        <v>237</v>
      </c>
      <c r="B116" s="9" t="s">
        <v>315</v>
      </c>
      <c r="C116" s="24" t="s">
        <v>1415</v>
      </c>
      <c r="D116" s="54" t="s">
        <v>1416</v>
      </c>
      <c r="E116" s="2">
        <v>1</v>
      </c>
    </row>
    <row r="117" spans="1:5">
      <c r="A117" s="17" t="s">
        <v>237</v>
      </c>
      <c r="B117" s="9" t="s">
        <v>316</v>
      </c>
      <c r="C117" s="24" t="s">
        <v>1415</v>
      </c>
      <c r="D117" s="54" t="s">
        <v>1416</v>
      </c>
      <c r="E117" s="2">
        <v>1</v>
      </c>
    </row>
    <row r="118" spans="1:5">
      <c r="A118" s="17" t="s">
        <v>237</v>
      </c>
      <c r="B118" s="9" t="s">
        <v>319</v>
      </c>
      <c r="C118" s="24" t="s">
        <v>1413</v>
      </c>
      <c r="D118" s="54" t="s">
        <v>1416</v>
      </c>
      <c r="E118" s="2">
        <v>1</v>
      </c>
    </row>
    <row r="119" spans="1:5">
      <c r="A119" s="17" t="s">
        <v>237</v>
      </c>
      <c r="B119" s="9" t="s">
        <v>320</v>
      </c>
      <c r="C119" s="24" t="s">
        <v>1415</v>
      </c>
      <c r="D119" s="2" t="s">
        <v>1416</v>
      </c>
      <c r="E119" s="2">
        <v>1</v>
      </c>
    </row>
    <row r="120" spans="1:5">
      <c r="A120" s="17" t="s">
        <v>237</v>
      </c>
      <c r="B120" s="9" t="s">
        <v>321</v>
      </c>
      <c r="C120" s="24" t="s">
        <v>1415</v>
      </c>
      <c r="E120" s="2">
        <v>1</v>
      </c>
    </row>
    <row r="121" spans="1:5">
      <c r="A121" s="17" t="s">
        <v>237</v>
      </c>
      <c r="B121" s="9" t="s">
        <v>322</v>
      </c>
      <c r="C121" s="24" t="s">
        <v>1411</v>
      </c>
      <c r="E121" s="2">
        <v>1</v>
      </c>
    </row>
    <row r="122" spans="1:5">
      <c r="A122" s="17" t="s">
        <v>237</v>
      </c>
      <c r="B122" s="9" t="s">
        <v>326</v>
      </c>
      <c r="C122" s="24" t="s">
        <v>1413</v>
      </c>
      <c r="E122" s="2">
        <v>1</v>
      </c>
    </row>
    <row r="123" spans="1:5">
      <c r="A123" s="17" t="s">
        <v>237</v>
      </c>
      <c r="B123" s="9" t="s">
        <v>327</v>
      </c>
      <c r="C123" s="24" t="s">
        <v>1415</v>
      </c>
      <c r="E123" s="2">
        <v>1</v>
      </c>
    </row>
    <row r="124" spans="1:5">
      <c r="A124" s="17" t="s">
        <v>237</v>
      </c>
      <c r="B124" s="9" t="s">
        <v>328</v>
      </c>
      <c r="C124" s="24" t="s">
        <v>1415</v>
      </c>
      <c r="E124" s="2">
        <v>1</v>
      </c>
    </row>
    <row r="125" spans="1:5">
      <c r="A125" s="17" t="s">
        <v>237</v>
      </c>
      <c r="B125" s="9" t="s">
        <v>329</v>
      </c>
      <c r="C125" s="24" t="s">
        <v>1415</v>
      </c>
      <c r="E125" s="2">
        <v>1</v>
      </c>
    </row>
    <row r="126" spans="1:5">
      <c r="A126" s="17" t="s">
        <v>237</v>
      </c>
      <c r="B126" s="9" t="s">
        <v>331</v>
      </c>
      <c r="C126" s="24" t="s">
        <v>1417</v>
      </c>
      <c r="E126" s="2">
        <v>1</v>
      </c>
    </row>
    <row r="127" spans="1:5">
      <c r="A127" s="17" t="s">
        <v>237</v>
      </c>
      <c r="B127" s="9" t="s">
        <v>333</v>
      </c>
      <c r="C127" s="24" t="s">
        <v>1417</v>
      </c>
      <c r="E127" s="2">
        <v>1</v>
      </c>
    </row>
    <row r="128" spans="1:5">
      <c r="A128" s="17" t="s">
        <v>237</v>
      </c>
      <c r="B128" s="9" t="s">
        <v>334</v>
      </c>
      <c r="C128" s="24" t="s">
        <v>1415</v>
      </c>
      <c r="E128" s="2">
        <v>1</v>
      </c>
    </row>
    <row r="129" spans="1:6">
      <c r="A129" s="17" t="s">
        <v>237</v>
      </c>
      <c r="B129" s="9" t="s">
        <v>335</v>
      </c>
      <c r="C129" s="24" t="s">
        <v>1415</v>
      </c>
      <c r="E129" s="2">
        <v>1</v>
      </c>
    </row>
    <row r="130" spans="1:6">
      <c r="A130" s="17" t="s">
        <v>237</v>
      </c>
      <c r="B130" s="9" t="s">
        <v>336</v>
      </c>
      <c r="C130" s="24" t="s">
        <v>1415</v>
      </c>
      <c r="E130" s="2">
        <v>1</v>
      </c>
    </row>
    <row r="131" spans="1:6">
      <c r="A131" s="17" t="s">
        <v>237</v>
      </c>
      <c r="B131" s="9" t="s">
        <v>338</v>
      </c>
      <c r="C131" s="24" t="s">
        <v>1415</v>
      </c>
      <c r="E131" s="2">
        <v>1</v>
      </c>
    </row>
    <row r="132" spans="1:6">
      <c r="A132" s="18" t="s">
        <v>399</v>
      </c>
      <c r="B132" s="10" t="s">
        <v>299</v>
      </c>
      <c r="C132" s="25" t="s">
        <v>1420</v>
      </c>
      <c r="D132" s="2" t="s">
        <v>1421</v>
      </c>
      <c r="E132" s="2">
        <v>9</v>
      </c>
      <c r="F132" s="2">
        <v>1</v>
      </c>
    </row>
    <row r="133" spans="1:6">
      <c r="A133" s="18" t="s">
        <v>399</v>
      </c>
      <c r="B133" s="10" t="s">
        <v>1331</v>
      </c>
      <c r="C133" s="25" t="s">
        <v>1422</v>
      </c>
      <c r="D133" s="2" t="s">
        <v>1423</v>
      </c>
      <c r="E133" s="2">
        <v>9</v>
      </c>
      <c r="F133" s="2">
        <v>1</v>
      </c>
    </row>
    <row r="134" spans="1:6">
      <c r="A134" s="18" t="s">
        <v>399</v>
      </c>
      <c r="B134" s="10" t="s">
        <v>300</v>
      </c>
      <c r="C134" s="25" t="s">
        <v>1424</v>
      </c>
      <c r="E134" s="2">
        <v>9</v>
      </c>
      <c r="F134" s="2">
        <v>1</v>
      </c>
    </row>
    <row r="135" spans="1:6">
      <c r="A135" s="18" t="s">
        <v>399</v>
      </c>
      <c r="B135" s="10" t="s">
        <v>301</v>
      </c>
      <c r="C135" s="25" t="s">
        <v>1425</v>
      </c>
      <c r="E135" s="2">
        <v>9</v>
      </c>
      <c r="F135" s="2">
        <v>1</v>
      </c>
    </row>
    <row r="136" spans="1:6">
      <c r="A136" s="18" t="s">
        <v>399</v>
      </c>
      <c r="B136" s="10" t="s">
        <v>302</v>
      </c>
      <c r="C136" s="25" t="s">
        <v>1424</v>
      </c>
      <c r="E136" s="2">
        <v>9</v>
      </c>
      <c r="F136" s="2">
        <v>1</v>
      </c>
    </row>
    <row r="137" spans="1:6">
      <c r="A137" s="18" t="s">
        <v>399</v>
      </c>
      <c r="B137" s="10" t="s">
        <v>303</v>
      </c>
      <c r="C137" s="25" t="s">
        <v>1426</v>
      </c>
      <c r="E137" s="2">
        <v>9</v>
      </c>
      <c r="F137" s="2">
        <v>1</v>
      </c>
    </row>
    <row r="138" spans="1:6">
      <c r="A138" s="18" t="s">
        <v>399</v>
      </c>
      <c r="B138" s="10" t="s">
        <v>304</v>
      </c>
      <c r="C138" s="25" t="s">
        <v>1427</v>
      </c>
      <c r="E138" s="2">
        <v>9</v>
      </c>
      <c r="F138" s="2">
        <v>1</v>
      </c>
    </row>
    <row r="139" spans="1:6">
      <c r="A139" s="18" t="s">
        <v>399</v>
      </c>
      <c r="B139" s="10" t="s">
        <v>305</v>
      </c>
      <c r="C139" s="25" t="s">
        <v>1426</v>
      </c>
      <c r="E139" s="2">
        <v>9</v>
      </c>
      <c r="F139" s="2">
        <v>1</v>
      </c>
    </row>
    <row r="140" spans="1:6">
      <c r="A140" s="18" t="s">
        <v>399</v>
      </c>
      <c r="B140" s="10" t="s">
        <v>306</v>
      </c>
      <c r="C140" s="25" t="s">
        <v>1428</v>
      </c>
      <c r="E140" s="2">
        <v>9</v>
      </c>
      <c r="F140" s="2">
        <v>1</v>
      </c>
    </row>
    <row r="141" spans="1:6">
      <c r="A141" s="18" t="s">
        <v>399</v>
      </c>
      <c r="B141" s="10" t="s">
        <v>307</v>
      </c>
      <c r="C141" s="25" t="s">
        <v>1429</v>
      </c>
      <c r="E141" s="2">
        <v>9</v>
      </c>
      <c r="F141" s="2">
        <v>1</v>
      </c>
    </row>
    <row r="142" spans="1:6">
      <c r="A142" s="18" t="s">
        <v>399</v>
      </c>
      <c r="B142" s="10" t="s">
        <v>308</v>
      </c>
      <c r="C142" s="25" t="s">
        <v>1430</v>
      </c>
      <c r="E142" s="2">
        <v>9</v>
      </c>
      <c r="F142" s="2">
        <v>1</v>
      </c>
    </row>
    <row r="143" spans="1:6">
      <c r="A143" s="18" t="s">
        <v>399</v>
      </c>
      <c r="B143" s="10" t="s">
        <v>309</v>
      </c>
      <c r="C143" s="25" t="s">
        <v>1427</v>
      </c>
      <c r="E143" s="2">
        <v>9</v>
      </c>
      <c r="F143" s="2">
        <v>1</v>
      </c>
    </row>
    <row r="144" spans="1:6">
      <c r="A144" s="18" t="s">
        <v>399</v>
      </c>
      <c r="B144" s="10" t="s">
        <v>310</v>
      </c>
      <c r="C144" s="25" t="s">
        <v>1431</v>
      </c>
      <c r="E144" s="2">
        <v>9</v>
      </c>
      <c r="F144" s="2">
        <v>1</v>
      </c>
    </row>
    <row r="145" spans="1:6">
      <c r="A145" s="18" t="s">
        <v>399</v>
      </c>
      <c r="B145" s="10" t="s">
        <v>311</v>
      </c>
      <c r="C145" s="25" t="s">
        <v>1432</v>
      </c>
      <c r="E145" s="2">
        <v>9</v>
      </c>
      <c r="F145" s="2">
        <v>1</v>
      </c>
    </row>
    <row r="146" spans="1:6">
      <c r="A146" s="18" t="s">
        <v>399</v>
      </c>
      <c r="B146" s="10" t="s">
        <v>313</v>
      </c>
      <c r="C146" s="25" t="s">
        <v>1433</v>
      </c>
      <c r="E146" s="2">
        <v>9</v>
      </c>
      <c r="F146" s="2">
        <v>1</v>
      </c>
    </row>
    <row r="147" spans="1:6">
      <c r="A147" s="18" t="s">
        <v>399</v>
      </c>
      <c r="B147" s="10" t="s">
        <v>314</v>
      </c>
      <c r="C147" s="25" t="s">
        <v>1434</v>
      </c>
      <c r="E147" s="2">
        <v>9</v>
      </c>
      <c r="F147" s="2">
        <v>1</v>
      </c>
    </row>
    <row r="148" spans="1:6">
      <c r="A148" s="18" t="s">
        <v>399</v>
      </c>
      <c r="B148" s="10" t="s">
        <v>315</v>
      </c>
      <c r="C148" s="25" t="s">
        <v>1435</v>
      </c>
      <c r="E148" s="2">
        <v>9</v>
      </c>
      <c r="F148" s="2">
        <v>1</v>
      </c>
    </row>
    <row r="149" spans="1:6">
      <c r="A149" s="18" t="s">
        <v>399</v>
      </c>
      <c r="B149" s="10" t="s">
        <v>316</v>
      </c>
      <c r="C149" s="25" t="s">
        <v>1436</v>
      </c>
      <c r="E149" s="2">
        <v>9</v>
      </c>
      <c r="F149" s="2">
        <v>1</v>
      </c>
    </row>
    <row r="150" spans="1:6">
      <c r="A150" s="18" t="s">
        <v>399</v>
      </c>
      <c r="B150" s="10" t="s">
        <v>319</v>
      </c>
      <c r="C150" s="25" t="s">
        <v>1437</v>
      </c>
      <c r="E150" s="2">
        <v>9</v>
      </c>
      <c r="F150" s="2">
        <v>1</v>
      </c>
    </row>
    <row r="151" spans="1:6">
      <c r="A151" s="18" t="s">
        <v>399</v>
      </c>
      <c r="B151" s="10" t="s">
        <v>320</v>
      </c>
      <c r="C151" s="25" t="s">
        <v>1435</v>
      </c>
      <c r="E151" s="2">
        <v>9</v>
      </c>
      <c r="F151" s="2">
        <v>1</v>
      </c>
    </row>
    <row r="152" spans="1:6">
      <c r="A152" s="18" t="s">
        <v>399</v>
      </c>
      <c r="B152" s="10" t="s">
        <v>321</v>
      </c>
      <c r="C152" s="25" t="s">
        <v>1435</v>
      </c>
      <c r="E152" s="2">
        <v>9</v>
      </c>
      <c r="F152" s="2">
        <v>1</v>
      </c>
    </row>
    <row r="153" spans="1:6">
      <c r="A153" s="18" t="s">
        <v>399</v>
      </c>
      <c r="B153" s="10" t="s">
        <v>322</v>
      </c>
      <c r="C153" s="25" t="s">
        <v>1438</v>
      </c>
      <c r="E153" s="2">
        <v>9</v>
      </c>
      <c r="F153" s="2">
        <v>1</v>
      </c>
    </row>
    <row r="154" spans="1:6">
      <c r="A154" s="18" t="s">
        <v>399</v>
      </c>
      <c r="B154" s="10" t="s">
        <v>326</v>
      </c>
      <c r="C154" s="25" t="s">
        <v>1439</v>
      </c>
      <c r="E154" s="2">
        <v>9</v>
      </c>
      <c r="F154" s="2">
        <v>1</v>
      </c>
    </row>
    <row r="155" spans="1:6">
      <c r="A155" s="18" t="s">
        <v>399</v>
      </c>
      <c r="B155" s="10" t="s">
        <v>327</v>
      </c>
      <c r="C155" s="25" t="s">
        <v>1440</v>
      </c>
      <c r="E155" s="2">
        <v>9</v>
      </c>
      <c r="F155" s="2">
        <v>1</v>
      </c>
    </row>
    <row r="156" spans="1:6">
      <c r="A156" s="18" t="s">
        <v>399</v>
      </c>
      <c r="B156" s="10" t="s">
        <v>328</v>
      </c>
      <c r="C156" s="25" t="s">
        <v>1441</v>
      </c>
      <c r="E156" s="2">
        <v>9</v>
      </c>
      <c r="F156" s="2">
        <v>1</v>
      </c>
    </row>
    <row r="157" spans="1:6">
      <c r="A157" s="18" t="s">
        <v>399</v>
      </c>
      <c r="B157" s="10" t="s">
        <v>329</v>
      </c>
      <c r="C157" s="25" t="s">
        <v>1442</v>
      </c>
      <c r="E157" s="2">
        <v>9</v>
      </c>
      <c r="F157" s="2">
        <v>1</v>
      </c>
    </row>
    <row r="158" spans="1:6">
      <c r="A158" s="18" t="s">
        <v>399</v>
      </c>
      <c r="B158" s="10" t="s">
        <v>331</v>
      </c>
      <c r="C158" s="25" t="s">
        <v>1426</v>
      </c>
      <c r="E158" s="2">
        <v>9</v>
      </c>
      <c r="F158" s="2">
        <v>1</v>
      </c>
    </row>
    <row r="159" spans="1:6">
      <c r="A159" s="18" t="s">
        <v>399</v>
      </c>
      <c r="B159" s="10" t="s">
        <v>333</v>
      </c>
      <c r="C159" s="25" t="s">
        <v>1426</v>
      </c>
      <c r="E159" s="2">
        <v>9</v>
      </c>
      <c r="F159" s="2">
        <v>1</v>
      </c>
    </row>
    <row r="160" spans="1:6">
      <c r="A160" s="18" t="s">
        <v>399</v>
      </c>
      <c r="B160" s="10" t="s">
        <v>334</v>
      </c>
      <c r="C160" s="25" t="s">
        <v>1442</v>
      </c>
      <c r="E160" s="2">
        <v>9</v>
      </c>
      <c r="F160" s="2">
        <v>1</v>
      </c>
    </row>
    <row r="161" spans="1:6">
      <c r="A161" s="18" t="s">
        <v>399</v>
      </c>
      <c r="B161" s="10" t="s">
        <v>335</v>
      </c>
      <c r="C161" s="25" t="s">
        <v>1442</v>
      </c>
      <c r="E161" s="2">
        <v>9</v>
      </c>
      <c r="F161" s="2">
        <v>1</v>
      </c>
    </row>
    <row r="162" spans="1:6">
      <c r="A162" s="18" t="s">
        <v>399</v>
      </c>
      <c r="B162" s="10" t="s">
        <v>336</v>
      </c>
      <c r="C162" s="25" t="s">
        <v>1435</v>
      </c>
      <c r="E162" s="2">
        <v>9</v>
      </c>
      <c r="F162" s="2">
        <v>1</v>
      </c>
    </row>
    <row r="163" spans="1:6">
      <c r="A163" s="18" t="s">
        <v>399</v>
      </c>
      <c r="B163" s="10" t="s">
        <v>338</v>
      </c>
      <c r="C163" s="25" t="s">
        <v>1436</v>
      </c>
      <c r="E163" s="2">
        <v>9</v>
      </c>
      <c r="F163" s="2">
        <v>1</v>
      </c>
    </row>
    <row r="164" spans="1:6">
      <c r="A164" s="19" t="s">
        <v>404</v>
      </c>
      <c r="B164" s="11" t="s">
        <v>299</v>
      </c>
      <c r="C164" s="26" t="s">
        <v>1443</v>
      </c>
      <c r="D164" t="s">
        <v>1444</v>
      </c>
      <c r="E164" s="2">
        <v>1</v>
      </c>
    </row>
    <row r="165" spans="1:6">
      <c r="A165" s="19" t="s">
        <v>404</v>
      </c>
      <c r="B165" s="11" t="s">
        <v>1331</v>
      </c>
      <c r="C165" s="26" t="s">
        <v>1445</v>
      </c>
      <c r="E165" s="2">
        <v>1</v>
      </c>
    </row>
    <row r="166" spans="1:6">
      <c r="A166" s="19" t="s">
        <v>404</v>
      </c>
      <c r="B166" s="11" t="s">
        <v>300</v>
      </c>
      <c r="C166" s="26" t="s">
        <v>1446</v>
      </c>
      <c r="E166" s="2">
        <v>1</v>
      </c>
    </row>
    <row r="167" spans="1:6">
      <c r="A167" s="19" t="s">
        <v>404</v>
      </c>
      <c r="B167" s="11" t="s">
        <v>301</v>
      </c>
      <c r="C167" s="26" t="s">
        <v>1447</v>
      </c>
      <c r="E167" s="2">
        <v>1</v>
      </c>
    </row>
    <row r="168" spans="1:6">
      <c r="A168" s="19" t="s">
        <v>404</v>
      </c>
      <c r="B168" s="11" t="s">
        <v>302</v>
      </c>
      <c r="C168" s="26" t="s">
        <v>1446</v>
      </c>
      <c r="E168" s="2">
        <v>1</v>
      </c>
    </row>
    <row r="169" spans="1:6">
      <c r="A169" s="19" t="s">
        <v>404</v>
      </c>
      <c r="B169" s="11" t="s">
        <v>303</v>
      </c>
      <c r="C169" s="26" t="s">
        <v>1448</v>
      </c>
      <c r="E169" s="2">
        <v>1</v>
      </c>
    </row>
    <row r="170" spans="1:6">
      <c r="A170" s="19" t="s">
        <v>404</v>
      </c>
      <c r="B170" s="11" t="s">
        <v>304</v>
      </c>
      <c r="C170" s="26" t="s">
        <v>1449</v>
      </c>
      <c r="E170" s="2">
        <v>1</v>
      </c>
    </row>
    <row r="171" spans="1:6">
      <c r="A171" s="19" t="s">
        <v>404</v>
      </c>
      <c r="B171" s="11" t="s">
        <v>305</v>
      </c>
      <c r="C171" s="26" t="s">
        <v>1448</v>
      </c>
      <c r="E171" s="2">
        <v>1</v>
      </c>
    </row>
    <row r="172" spans="1:6">
      <c r="A172" s="19" t="s">
        <v>404</v>
      </c>
      <c r="B172" s="11" t="s">
        <v>306</v>
      </c>
      <c r="C172" s="26" t="s">
        <v>1450</v>
      </c>
      <c r="E172" s="2">
        <v>1</v>
      </c>
    </row>
    <row r="173" spans="1:6">
      <c r="A173" s="19" t="s">
        <v>404</v>
      </c>
      <c r="B173" s="11" t="s">
        <v>307</v>
      </c>
      <c r="C173" s="26" t="s">
        <v>1451</v>
      </c>
      <c r="E173" s="2">
        <v>1</v>
      </c>
    </row>
    <row r="174" spans="1:6">
      <c r="A174" s="19" t="s">
        <v>404</v>
      </c>
      <c r="B174" s="11" t="s">
        <v>308</v>
      </c>
      <c r="C174" s="26" t="s">
        <v>1452</v>
      </c>
      <c r="E174" s="2">
        <v>1</v>
      </c>
    </row>
    <row r="175" spans="1:6">
      <c r="A175" s="19" t="s">
        <v>404</v>
      </c>
      <c r="B175" s="11" t="s">
        <v>309</v>
      </c>
      <c r="C175" s="26" t="s">
        <v>1449</v>
      </c>
      <c r="E175" s="2">
        <v>1</v>
      </c>
    </row>
    <row r="176" spans="1:6">
      <c r="A176" s="19" t="s">
        <v>404</v>
      </c>
      <c r="B176" s="11" t="s">
        <v>310</v>
      </c>
      <c r="C176" s="26" t="s">
        <v>1451</v>
      </c>
      <c r="E176" s="2">
        <v>1</v>
      </c>
    </row>
    <row r="177" spans="1:5">
      <c r="A177" s="19" t="s">
        <v>404</v>
      </c>
      <c r="B177" s="11" t="s">
        <v>311</v>
      </c>
      <c r="C177" s="26" t="s">
        <v>1453</v>
      </c>
      <c r="E177" s="2">
        <v>1</v>
      </c>
    </row>
    <row r="178" spans="1:5">
      <c r="A178" s="19" t="s">
        <v>404</v>
      </c>
      <c r="B178" s="11" t="s">
        <v>313</v>
      </c>
      <c r="C178" s="26" t="s">
        <v>1454</v>
      </c>
      <c r="E178" s="2">
        <v>1</v>
      </c>
    </row>
    <row r="179" spans="1:5">
      <c r="A179" s="19" t="s">
        <v>404</v>
      </c>
      <c r="B179" s="11" t="s">
        <v>314</v>
      </c>
      <c r="C179" s="26" t="s">
        <v>1455</v>
      </c>
      <c r="E179" s="2">
        <v>1</v>
      </c>
    </row>
    <row r="180" spans="1:5">
      <c r="A180" s="19" t="s">
        <v>404</v>
      </c>
      <c r="B180" s="11" t="s">
        <v>315</v>
      </c>
      <c r="C180" s="26" t="s">
        <v>1456</v>
      </c>
      <c r="E180" s="2">
        <v>1</v>
      </c>
    </row>
    <row r="181" spans="1:5">
      <c r="A181" s="19" t="s">
        <v>404</v>
      </c>
      <c r="B181" s="11" t="s">
        <v>316</v>
      </c>
      <c r="C181" s="26" t="s">
        <v>1449</v>
      </c>
      <c r="E181" s="2">
        <v>1</v>
      </c>
    </row>
    <row r="182" spans="1:5">
      <c r="A182" s="19" t="s">
        <v>404</v>
      </c>
      <c r="B182" s="11" t="s">
        <v>319</v>
      </c>
      <c r="C182" s="26" t="s">
        <v>1457</v>
      </c>
      <c r="E182" s="2">
        <v>1</v>
      </c>
    </row>
    <row r="183" spans="1:5">
      <c r="A183" s="19" t="s">
        <v>404</v>
      </c>
      <c r="B183" s="11" t="s">
        <v>320</v>
      </c>
      <c r="C183" s="26" t="s">
        <v>1456</v>
      </c>
      <c r="E183" s="2">
        <v>1</v>
      </c>
    </row>
    <row r="184" spans="1:5">
      <c r="A184" s="19" t="s">
        <v>404</v>
      </c>
      <c r="B184" s="11" t="s">
        <v>321</v>
      </c>
      <c r="C184" s="26" t="s">
        <v>1456</v>
      </c>
      <c r="E184" s="2">
        <v>1</v>
      </c>
    </row>
    <row r="185" spans="1:5">
      <c r="A185" s="19" t="s">
        <v>404</v>
      </c>
      <c r="B185" s="11" t="s">
        <v>322</v>
      </c>
      <c r="C185" s="26" t="s">
        <v>1458</v>
      </c>
      <c r="E185" s="2">
        <v>1</v>
      </c>
    </row>
    <row r="186" spans="1:5">
      <c r="A186" s="19" t="s">
        <v>404</v>
      </c>
      <c r="B186" s="11" t="s">
        <v>326</v>
      </c>
      <c r="C186" s="26" t="s">
        <v>1459</v>
      </c>
      <c r="E186" s="2">
        <v>1</v>
      </c>
    </row>
    <row r="187" spans="1:5">
      <c r="A187" s="19" t="s">
        <v>404</v>
      </c>
      <c r="B187" s="11" t="s">
        <v>327</v>
      </c>
      <c r="C187" s="26" t="s">
        <v>1460</v>
      </c>
      <c r="E187" s="2">
        <v>1</v>
      </c>
    </row>
    <row r="188" spans="1:5">
      <c r="A188" s="19" t="s">
        <v>404</v>
      </c>
      <c r="B188" s="11" t="s">
        <v>328</v>
      </c>
      <c r="C188" s="26" t="s">
        <v>1461</v>
      </c>
      <c r="E188" s="2">
        <v>1</v>
      </c>
    </row>
    <row r="189" spans="1:5">
      <c r="A189" s="19" t="s">
        <v>404</v>
      </c>
      <c r="B189" s="11" t="s">
        <v>329</v>
      </c>
      <c r="C189" s="26" t="s">
        <v>1456</v>
      </c>
      <c r="E189" s="2">
        <v>1</v>
      </c>
    </row>
    <row r="190" spans="1:5">
      <c r="A190" s="19" t="s">
        <v>404</v>
      </c>
      <c r="B190" s="11" t="s">
        <v>331</v>
      </c>
      <c r="C190" s="26" t="s">
        <v>1448</v>
      </c>
      <c r="E190" s="2">
        <v>1</v>
      </c>
    </row>
    <row r="191" spans="1:5">
      <c r="A191" s="19" t="s">
        <v>404</v>
      </c>
      <c r="B191" s="11" t="s">
        <v>333</v>
      </c>
      <c r="C191" s="26" t="s">
        <v>1448</v>
      </c>
      <c r="E191" s="2">
        <v>1</v>
      </c>
    </row>
    <row r="192" spans="1:5">
      <c r="A192" s="19" t="s">
        <v>404</v>
      </c>
      <c r="B192" s="11" t="s">
        <v>334</v>
      </c>
      <c r="C192" s="26" t="s">
        <v>1462</v>
      </c>
      <c r="E192" s="2">
        <v>1</v>
      </c>
    </row>
    <row r="193" spans="1:6">
      <c r="A193" s="19" t="s">
        <v>404</v>
      </c>
      <c r="B193" s="11" t="s">
        <v>335</v>
      </c>
      <c r="C193" s="26" t="s">
        <v>1456</v>
      </c>
      <c r="E193" s="2">
        <v>1</v>
      </c>
    </row>
    <row r="194" spans="1:6">
      <c r="A194" s="19" t="s">
        <v>404</v>
      </c>
      <c r="B194" s="11" t="s">
        <v>336</v>
      </c>
      <c r="C194" s="26" t="s">
        <v>1456</v>
      </c>
      <c r="E194" s="2">
        <v>1</v>
      </c>
    </row>
    <row r="195" spans="1:6">
      <c r="A195" s="19" t="s">
        <v>404</v>
      </c>
      <c r="B195" s="11" t="s">
        <v>338</v>
      </c>
      <c r="C195" s="26" t="s">
        <v>1463</v>
      </c>
      <c r="E195" s="2">
        <v>1</v>
      </c>
    </row>
    <row r="196" spans="1:6">
      <c r="A196" s="20" t="s">
        <v>417</v>
      </c>
      <c r="B196" s="12" t="s">
        <v>299</v>
      </c>
      <c r="C196" s="27" t="s">
        <v>1464</v>
      </c>
      <c r="D196" s="2" t="s">
        <v>1465</v>
      </c>
      <c r="E196" s="2">
        <v>10</v>
      </c>
      <c r="F196" s="2">
        <v>1</v>
      </c>
    </row>
    <row r="197" spans="1:6">
      <c r="A197" s="20" t="s">
        <v>417</v>
      </c>
      <c r="B197" s="12" t="s">
        <v>1331</v>
      </c>
      <c r="C197" s="27" t="s">
        <v>1466</v>
      </c>
      <c r="E197" s="2">
        <v>10</v>
      </c>
      <c r="F197" s="2">
        <v>1</v>
      </c>
    </row>
    <row r="198" spans="1:6">
      <c r="A198" s="20" t="s">
        <v>417</v>
      </c>
      <c r="B198" s="12" t="s">
        <v>300</v>
      </c>
      <c r="C198" s="27" t="s">
        <v>1467</v>
      </c>
      <c r="E198" s="2">
        <v>10</v>
      </c>
      <c r="F198" s="2">
        <v>1</v>
      </c>
    </row>
    <row r="199" spans="1:6">
      <c r="A199" s="20" t="s">
        <v>417</v>
      </c>
      <c r="B199" s="12" t="s">
        <v>301</v>
      </c>
      <c r="C199" s="27" t="s">
        <v>1468</v>
      </c>
      <c r="E199" s="2">
        <v>10</v>
      </c>
      <c r="F199" s="2">
        <v>1</v>
      </c>
    </row>
    <row r="200" spans="1:6">
      <c r="A200" s="20" t="s">
        <v>417</v>
      </c>
      <c r="B200" s="12" t="s">
        <v>302</v>
      </c>
      <c r="C200" s="27" t="s">
        <v>1467</v>
      </c>
      <c r="E200" s="2">
        <v>10</v>
      </c>
      <c r="F200" s="2">
        <v>1</v>
      </c>
    </row>
    <row r="201" spans="1:6">
      <c r="A201" s="20" t="s">
        <v>417</v>
      </c>
      <c r="B201" s="12" t="s">
        <v>304</v>
      </c>
      <c r="C201" s="27" t="s">
        <v>1469</v>
      </c>
      <c r="E201" s="2">
        <v>10</v>
      </c>
      <c r="F201" s="2">
        <v>1</v>
      </c>
    </row>
    <row r="202" spans="1:6">
      <c r="A202" s="20" t="s">
        <v>417</v>
      </c>
      <c r="B202" s="12" t="s">
        <v>306</v>
      </c>
      <c r="C202" s="27" t="s">
        <v>1470</v>
      </c>
      <c r="E202" s="2">
        <v>10</v>
      </c>
      <c r="F202" s="2">
        <v>1</v>
      </c>
    </row>
    <row r="203" spans="1:6">
      <c r="A203" s="20" t="s">
        <v>417</v>
      </c>
      <c r="B203" s="12" t="s">
        <v>307</v>
      </c>
      <c r="C203" s="27" t="s">
        <v>1471</v>
      </c>
      <c r="E203" s="2">
        <v>10</v>
      </c>
      <c r="F203" s="2">
        <v>1</v>
      </c>
    </row>
    <row r="204" spans="1:6">
      <c r="A204" s="20" t="s">
        <v>417</v>
      </c>
      <c r="B204" s="12" t="s">
        <v>308</v>
      </c>
      <c r="C204" s="27" t="s">
        <v>1472</v>
      </c>
      <c r="E204" s="2">
        <v>10</v>
      </c>
      <c r="F204" s="2">
        <v>1</v>
      </c>
    </row>
    <row r="205" spans="1:6">
      <c r="A205" s="20" t="s">
        <v>417</v>
      </c>
      <c r="B205" s="12" t="s">
        <v>309</v>
      </c>
      <c r="C205" s="27" t="s">
        <v>1469</v>
      </c>
      <c r="E205" s="2">
        <v>10</v>
      </c>
      <c r="F205" s="2">
        <v>1</v>
      </c>
    </row>
    <row r="206" spans="1:6">
      <c r="A206" s="20" t="s">
        <v>417</v>
      </c>
      <c r="B206" s="12" t="s">
        <v>310</v>
      </c>
      <c r="C206" s="27" t="s">
        <v>1473</v>
      </c>
      <c r="E206" s="2">
        <v>10</v>
      </c>
      <c r="F206" s="2">
        <v>1</v>
      </c>
    </row>
    <row r="207" spans="1:6">
      <c r="A207" s="20" t="s">
        <v>417</v>
      </c>
      <c r="B207" s="12" t="s">
        <v>311</v>
      </c>
      <c r="C207" s="27" t="s">
        <v>1474</v>
      </c>
      <c r="E207" s="2">
        <v>10</v>
      </c>
      <c r="F207" s="2">
        <v>1</v>
      </c>
    </row>
    <row r="208" spans="1:6">
      <c r="A208" s="20" t="s">
        <v>417</v>
      </c>
      <c r="B208" s="12" t="s">
        <v>313</v>
      </c>
      <c r="C208" s="27" t="s">
        <v>1475</v>
      </c>
      <c r="E208" s="2">
        <v>10</v>
      </c>
      <c r="F208" s="2">
        <v>1</v>
      </c>
    </row>
    <row r="209" spans="1:6">
      <c r="A209" s="20" t="s">
        <v>417</v>
      </c>
      <c r="B209" s="12" t="s">
        <v>314</v>
      </c>
      <c r="C209" s="27" t="s">
        <v>1476</v>
      </c>
      <c r="E209" s="2">
        <v>10</v>
      </c>
      <c r="F209" s="2">
        <v>1</v>
      </c>
    </row>
    <row r="210" spans="1:6">
      <c r="A210" s="20" t="s">
        <v>417</v>
      </c>
      <c r="B210" s="12" t="s">
        <v>315</v>
      </c>
      <c r="C210" s="27" t="s">
        <v>1477</v>
      </c>
      <c r="E210" s="2">
        <v>10</v>
      </c>
      <c r="F210" s="2">
        <v>1</v>
      </c>
    </row>
    <row r="211" spans="1:6">
      <c r="A211" s="20" t="s">
        <v>417</v>
      </c>
      <c r="B211" s="12" t="s">
        <v>316</v>
      </c>
      <c r="C211" s="27" t="s">
        <v>1478</v>
      </c>
      <c r="E211" s="2">
        <v>10</v>
      </c>
      <c r="F211" s="2">
        <v>1</v>
      </c>
    </row>
    <row r="212" spans="1:6">
      <c r="A212" s="20" t="s">
        <v>417</v>
      </c>
      <c r="B212" s="12" t="s">
        <v>319</v>
      </c>
      <c r="C212" s="27" t="s">
        <v>1479</v>
      </c>
      <c r="E212" s="2">
        <v>10</v>
      </c>
      <c r="F212" s="2">
        <v>1</v>
      </c>
    </row>
    <row r="213" spans="1:6">
      <c r="A213" s="20" t="s">
        <v>417</v>
      </c>
      <c r="B213" s="12" t="s">
        <v>320</v>
      </c>
      <c r="C213" s="27" t="s">
        <v>1477</v>
      </c>
      <c r="E213" s="2">
        <v>10</v>
      </c>
      <c r="F213" s="2">
        <v>1</v>
      </c>
    </row>
    <row r="214" spans="1:6">
      <c r="A214" s="20" t="s">
        <v>417</v>
      </c>
      <c r="B214" s="12" t="s">
        <v>321</v>
      </c>
      <c r="C214" s="27" t="s">
        <v>1477</v>
      </c>
      <c r="E214" s="2">
        <v>10</v>
      </c>
      <c r="F214" s="2">
        <v>1</v>
      </c>
    </row>
    <row r="215" spans="1:6">
      <c r="A215" s="20" t="s">
        <v>417</v>
      </c>
      <c r="B215" s="12" t="s">
        <v>322</v>
      </c>
      <c r="C215" s="27" t="s">
        <v>1480</v>
      </c>
      <c r="E215" s="2">
        <v>10</v>
      </c>
      <c r="F215" s="2">
        <v>1</v>
      </c>
    </row>
    <row r="216" spans="1:6">
      <c r="A216" s="20" t="s">
        <v>417</v>
      </c>
      <c r="B216" s="12" t="s">
        <v>326</v>
      </c>
      <c r="C216" s="27" t="s">
        <v>1481</v>
      </c>
      <c r="E216" s="2">
        <v>10</v>
      </c>
      <c r="F216" s="2">
        <v>1</v>
      </c>
    </row>
    <row r="217" spans="1:6">
      <c r="A217" s="20" t="s">
        <v>417</v>
      </c>
      <c r="B217" s="12" t="s">
        <v>327</v>
      </c>
      <c r="C217" s="27" t="s">
        <v>1469</v>
      </c>
      <c r="E217" s="2">
        <v>10</v>
      </c>
      <c r="F217" s="2">
        <v>1</v>
      </c>
    </row>
    <row r="218" spans="1:6">
      <c r="A218" s="20" t="s">
        <v>417</v>
      </c>
      <c r="B218" s="12" t="s">
        <v>328</v>
      </c>
      <c r="C218" s="27" t="s">
        <v>1482</v>
      </c>
      <c r="E218" s="2">
        <v>10</v>
      </c>
      <c r="F218" s="2">
        <v>1</v>
      </c>
    </row>
    <row r="219" spans="1:6">
      <c r="A219" s="20" t="s">
        <v>417</v>
      </c>
      <c r="B219" s="12" t="s">
        <v>329</v>
      </c>
      <c r="C219" s="27" t="s">
        <v>1477</v>
      </c>
      <c r="E219" s="2">
        <v>10</v>
      </c>
      <c r="F219" s="2">
        <v>1</v>
      </c>
    </row>
    <row r="220" spans="1:6">
      <c r="A220" s="20" t="s">
        <v>417</v>
      </c>
      <c r="B220" s="12" t="s">
        <v>331</v>
      </c>
      <c r="C220" s="27" t="s">
        <v>1483</v>
      </c>
      <c r="E220" s="2">
        <v>0</v>
      </c>
      <c r="F220" s="2">
        <v>1</v>
      </c>
    </row>
    <row r="221" spans="1:6">
      <c r="A221" s="20" t="s">
        <v>417</v>
      </c>
      <c r="B221" s="12" t="s">
        <v>334</v>
      </c>
      <c r="C221" s="27" t="s">
        <v>1484</v>
      </c>
      <c r="E221" s="2">
        <v>10</v>
      </c>
      <c r="F221" s="2">
        <v>1</v>
      </c>
    </row>
    <row r="222" spans="1:6">
      <c r="A222" s="20" t="s">
        <v>417</v>
      </c>
      <c r="B222" s="12" t="s">
        <v>335</v>
      </c>
      <c r="C222" s="27" t="s">
        <v>1477</v>
      </c>
      <c r="E222" s="2">
        <v>10</v>
      </c>
      <c r="F222" s="2">
        <v>1</v>
      </c>
    </row>
    <row r="223" spans="1:6">
      <c r="A223" s="20" t="s">
        <v>417</v>
      </c>
      <c r="B223" s="12" t="s">
        <v>336</v>
      </c>
      <c r="C223" s="27" t="s">
        <v>1477</v>
      </c>
      <c r="E223" s="2">
        <v>10</v>
      </c>
      <c r="F223" s="2">
        <v>1</v>
      </c>
    </row>
    <row r="224" spans="1:6">
      <c r="A224" s="20" t="s">
        <v>417</v>
      </c>
      <c r="B224" s="12" t="s">
        <v>338</v>
      </c>
      <c r="C224" s="27" t="s">
        <v>1478</v>
      </c>
      <c r="E224" s="2">
        <v>10</v>
      </c>
      <c r="F224" s="2">
        <v>1</v>
      </c>
    </row>
    <row r="225" spans="1:5">
      <c r="A225" s="14" t="s">
        <v>489</v>
      </c>
      <c r="B225" s="6" t="s">
        <v>299</v>
      </c>
      <c r="C225" s="21" t="s">
        <v>1485</v>
      </c>
      <c r="E225" s="2">
        <v>9</v>
      </c>
    </row>
    <row r="226" spans="1:5">
      <c r="A226" s="14" t="s">
        <v>489</v>
      </c>
      <c r="B226" s="6" t="s">
        <v>1331</v>
      </c>
      <c r="C226" s="21" t="s">
        <v>1486</v>
      </c>
      <c r="E226" s="2">
        <v>9</v>
      </c>
    </row>
    <row r="227" spans="1:5">
      <c r="A227" s="14" t="s">
        <v>489</v>
      </c>
      <c r="B227" s="6" t="s">
        <v>300</v>
      </c>
      <c r="C227" s="21" t="s">
        <v>1487</v>
      </c>
      <c r="E227" s="2">
        <v>9</v>
      </c>
    </row>
    <row r="228" spans="1:5">
      <c r="A228" s="14" t="s">
        <v>489</v>
      </c>
      <c r="B228" s="6" t="s">
        <v>301</v>
      </c>
      <c r="C228" s="21" t="s">
        <v>1488</v>
      </c>
      <c r="E228" s="2">
        <v>9</v>
      </c>
    </row>
    <row r="229" spans="1:5">
      <c r="A229" s="14" t="s">
        <v>489</v>
      </c>
      <c r="B229" s="6" t="s">
        <v>302</v>
      </c>
      <c r="C229" s="21" t="s">
        <v>1487</v>
      </c>
      <c r="E229" s="2">
        <v>9</v>
      </c>
    </row>
    <row r="230" spans="1:5">
      <c r="A230" s="14" t="s">
        <v>489</v>
      </c>
      <c r="B230" s="6" t="s">
        <v>304</v>
      </c>
      <c r="C230" s="21" t="s">
        <v>1489</v>
      </c>
      <c r="E230" s="2">
        <v>9</v>
      </c>
    </row>
    <row r="231" spans="1:5">
      <c r="A231" s="14" t="s">
        <v>489</v>
      </c>
      <c r="B231" s="6" t="s">
        <v>306</v>
      </c>
      <c r="C231" s="21" t="s">
        <v>1490</v>
      </c>
      <c r="E231" s="2">
        <v>9</v>
      </c>
    </row>
    <row r="232" spans="1:5">
      <c r="A232" s="14" t="s">
        <v>489</v>
      </c>
      <c r="B232" s="6" t="s">
        <v>307</v>
      </c>
      <c r="C232" s="21" t="s">
        <v>1491</v>
      </c>
      <c r="E232" s="2">
        <v>9</v>
      </c>
    </row>
    <row r="233" spans="1:5">
      <c r="A233" s="14" t="s">
        <v>489</v>
      </c>
      <c r="B233" s="6" t="s">
        <v>308</v>
      </c>
      <c r="C233" s="21" t="s">
        <v>1490</v>
      </c>
      <c r="E233" s="2">
        <v>9</v>
      </c>
    </row>
    <row r="234" spans="1:5">
      <c r="A234" s="14" t="s">
        <v>489</v>
      </c>
      <c r="B234" s="6" t="s">
        <v>309</v>
      </c>
      <c r="C234" s="21" t="s">
        <v>1489</v>
      </c>
      <c r="E234" s="2">
        <v>9</v>
      </c>
    </row>
    <row r="235" spans="1:5">
      <c r="A235" s="14" t="s">
        <v>489</v>
      </c>
      <c r="B235" s="6" t="s">
        <v>310</v>
      </c>
      <c r="C235" s="21" t="s">
        <v>1478</v>
      </c>
      <c r="E235" s="2">
        <v>9</v>
      </c>
    </row>
    <row r="236" spans="1:5">
      <c r="A236" s="14" t="s">
        <v>489</v>
      </c>
      <c r="B236" s="6" t="s">
        <v>311</v>
      </c>
      <c r="C236" s="21" t="s">
        <v>1492</v>
      </c>
      <c r="E236" s="2">
        <v>9</v>
      </c>
    </row>
    <row r="237" spans="1:5">
      <c r="A237" s="14" t="s">
        <v>489</v>
      </c>
      <c r="B237" s="6" t="s">
        <v>313</v>
      </c>
      <c r="C237" s="21" t="s">
        <v>1472</v>
      </c>
      <c r="E237" s="2">
        <v>9</v>
      </c>
    </row>
    <row r="238" spans="1:5">
      <c r="A238" s="14" t="s">
        <v>489</v>
      </c>
      <c r="B238" s="6" t="s">
        <v>314</v>
      </c>
      <c r="C238" s="21" t="s">
        <v>1493</v>
      </c>
      <c r="E238" s="2">
        <v>9</v>
      </c>
    </row>
    <row r="239" spans="1:5">
      <c r="A239" s="14" t="s">
        <v>489</v>
      </c>
      <c r="B239" s="6" t="s">
        <v>315</v>
      </c>
      <c r="C239" s="21" t="s">
        <v>1474</v>
      </c>
      <c r="E239" s="2">
        <v>9</v>
      </c>
    </row>
    <row r="240" spans="1:5">
      <c r="A240" s="14" t="s">
        <v>489</v>
      </c>
      <c r="B240" s="6" t="s">
        <v>316</v>
      </c>
      <c r="C240" s="21" t="s">
        <v>1494</v>
      </c>
      <c r="E240" s="2">
        <v>9</v>
      </c>
    </row>
    <row r="241" spans="1:5">
      <c r="A241" s="14" t="s">
        <v>489</v>
      </c>
      <c r="B241" s="6" t="s">
        <v>319</v>
      </c>
      <c r="C241" s="21" t="s">
        <v>1495</v>
      </c>
      <c r="E241" s="2">
        <v>9</v>
      </c>
    </row>
    <row r="242" spans="1:5">
      <c r="A242" s="14" t="s">
        <v>489</v>
      </c>
      <c r="B242" s="6" t="s">
        <v>320</v>
      </c>
      <c r="C242" s="21" t="s">
        <v>1474</v>
      </c>
      <c r="E242" s="2">
        <v>9</v>
      </c>
    </row>
    <row r="243" spans="1:5">
      <c r="A243" s="14" t="s">
        <v>489</v>
      </c>
      <c r="B243" s="6" t="s">
        <v>321</v>
      </c>
      <c r="C243" s="21" t="s">
        <v>1474</v>
      </c>
      <c r="E243" s="2">
        <v>9</v>
      </c>
    </row>
    <row r="244" spans="1:5">
      <c r="A244" s="14" t="s">
        <v>489</v>
      </c>
      <c r="B244" s="6" t="s">
        <v>322</v>
      </c>
      <c r="C244" s="21" t="s">
        <v>1496</v>
      </c>
      <c r="E244" s="2">
        <v>9</v>
      </c>
    </row>
    <row r="245" spans="1:5">
      <c r="A245" s="14" t="s">
        <v>489</v>
      </c>
      <c r="B245" s="6" t="s">
        <v>326</v>
      </c>
      <c r="C245" s="21" t="s">
        <v>1497</v>
      </c>
      <c r="E245" s="2">
        <v>9</v>
      </c>
    </row>
    <row r="246" spans="1:5">
      <c r="A246" s="14" t="s">
        <v>489</v>
      </c>
      <c r="B246" s="6" t="s">
        <v>327</v>
      </c>
      <c r="C246" s="21" t="s">
        <v>1498</v>
      </c>
      <c r="E246" s="2">
        <v>9</v>
      </c>
    </row>
    <row r="247" spans="1:5">
      <c r="A247" s="14" t="s">
        <v>489</v>
      </c>
      <c r="B247" s="6" t="s">
        <v>328</v>
      </c>
      <c r="C247" s="21" t="s">
        <v>1476</v>
      </c>
      <c r="E247" s="2">
        <v>9</v>
      </c>
    </row>
    <row r="248" spans="1:5">
      <c r="A248" s="14" t="s">
        <v>489</v>
      </c>
      <c r="B248" s="6" t="s">
        <v>329</v>
      </c>
      <c r="C248" s="21" t="s">
        <v>1474</v>
      </c>
      <c r="E248" s="2">
        <v>9</v>
      </c>
    </row>
    <row r="249" spans="1:5">
      <c r="A249" s="14" t="s">
        <v>489</v>
      </c>
      <c r="B249" s="6" t="s">
        <v>331</v>
      </c>
      <c r="C249" s="21" t="s">
        <v>1499</v>
      </c>
      <c r="E249" s="2">
        <v>9</v>
      </c>
    </row>
    <row r="250" spans="1:5">
      <c r="A250" s="14" t="s">
        <v>489</v>
      </c>
      <c r="B250" s="6" t="s">
        <v>334</v>
      </c>
      <c r="C250" s="21" t="s">
        <v>1475</v>
      </c>
      <c r="E250" s="2">
        <v>9</v>
      </c>
    </row>
    <row r="251" spans="1:5">
      <c r="A251" s="14" t="s">
        <v>489</v>
      </c>
      <c r="B251" s="6" t="s">
        <v>335</v>
      </c>
      <c r="C251" s="21" t="s">
        <v>1474</v>
      </c>
      <c r="E251" s="2">
        <v>9</v>
      </c>
    </row>
    <row r="252" spans="1:5">
      <c r="A252" s="14" t="s">
        <v>489</v>
      </c>
      <c r="B252" s="6" t="s">
        <v>336</v>
      </c>
      <c r="C252" s="21" t="s">
        <v>1474</v>
      </c>
      <c r="E252" s="2">
        <v>9</v>
      </c>
    </row>
    <row r="253" spans="1:5">
      <c r="A253" s="14" t="s">
        <v>489</v>
      </c>
      <c r="B253" s="6" t="s">
        <v>338</v>
      </c>
      <c r="C253" s="21" t="s">
        <v>1500</v>
      </c>
      <c r="E253" s="2">
        <v>9</v>
      </c>
    </row>
    <row r="254" spans="1:5">
      <c r="A254" s="15" t="s">
        <v>500</v>
      </c>
      <c r="B254" s="7" t="s">
        <v>299</v>
      </c>
      <c r="C254" s="22" t="s">
        <v>1501</v>
      </c>
      <c r="D254" t="s">
        <v>1502</v>
      </c>
      <c r="E254" s="2">
        <v>1</v>
      </c>
    </row>
    <row r="255" spans="1:5">
      <c r="A255" s="15" t="s">
        <v>500</v>
      </c>
      <c r="B255" s="7" t="s">
        <v>1331</v>
      </c>
      <c r="C255" s="22" t="s">
        <v>1503</v>
      </c>
      <c r="E255" s="2">
        <v>1</v>
      </c>
    </row>
    <row r="256" spans="1:5">
      <c r="A256" s="15" t="s">
        <v>500</v>
      </c>
      <c r="B256" s="7" t="s">
        <v>300</v>
      </c>
      <c r="C256" s="22" t="s">
        <v>1504</v>
      </c>
      <c r="E256" s="2">
        <v>1</v>
      </c>
    </row>
    <row r="257" spans="1:5">
      <c r="A257" s="15" t="s">
        <v>500</v>
      </c>
      <c r="B257" s="7" t="s">
        <v>301</v>
      </c>
      <c r="C257" s="22" t="s">
        <v>1505</v>
      </c>
      <c r="E257" s="2">
        <v>1</v>
      </c>
    </row>
    <row r="258" spans="1:5">
      <c r="A258" s="15" t="s">
        <v>500</v>
      </c>
      <c r="B258" s="7" t="s">
        <v>302</v>
      </c>
      <c r="C258" s="22" t="s">
        <v>1504</v>
      </c>
      <c r="E258" s="2">
        <v>1</v>
      </c>
    </row>
    <row r="259" spans="1:5">
      <c r="A259" s="15" t="s">
        <v>500</v>
      </c>
      <c r="B259" s="7" t="s">
        <v>303</v>
      </c>
      <c r="C259" s="22" t="s">
        <v>1506</v>
      </c>
      <c r="E259" s="2">
        <v>1</v>
      </c>
    </row>
    <row r="260" spans="1:5">
      <c r="A260" s="15" t="s">
        <v>500</v>
      </c>
      <c r="B260" s="7" t="s">
        <v>304</v>
      </c>
      <c r="C260" s="22" t="s">
        <v>1507</v>
      </c>
      <c r="E260" s="2">
        <v>1</v>
      </c>
    </row>
    <row r="261" spans="1:5">
      <c r="A261" s="15" t="s">
        <v>500</v>
      </c>
      <c r="B261" s="7" t="s">
        <v>305</v>
      </c>
      <c r="C261" s="22" t="s">
        <v>1506</v>
      </c>
      <c r="E261" s="2">
        <v>1</v>
      </c>
    </row>
    <row r="262" spans="1:5">
      <c r="A262" s="15" t="s">
        <v>500</v>
      </c>
      <c r="B262" s="7" t="s">
        <v>306</v>
      </c>
      <c r="C262" s="22" t="s">
        <v>1508</v>
      </c>
      <c r="E262" s="2">
        <v>1</v>
      </c>
    </row>
    <row r="263" spans="1:5">
      <c r="A263" s="15" t="s">
        <v>500</v>
      </c>
      <c r="B263" s="7" t="s">
        <v>307</v>
      </c>
      <c r="C263" s="22" t="s">
        <v>1509</v>
      </c>
      <c r="E263" s="2">
        <v>1</v>
      </c>
    </row>
    <row r="264" spans="1:5">
      <c r="A264" s="15" t="s">
        <v>500</v>
      </c>
      <c r="B264" s="7" t="s">
        <v>308</v>
      </c>
      <c r="C264" s="22" t="s">
        <v>1510</v>
      </c>
      <c r="E264" s="2">
        <v>1</v>
      </c>
    </row>
    <row r="265" spans="1:5">
      <c r="A265" s="15" t="s">
        <v>500</v>
      </c>
      <c r="B265" s="7" t="s">
        <v>309</v>
      </c>
      <c r="C265" s="22" t="s">
        <v>1507</v>
      </c>
      <c r="E265" s="2">
        <v>1</v>
      </c>
    </row>
    <row r="266" spans="1:5">
      <c r="A266" s="15" t="s">
        <v>500</v>
      </c>
      <c r="B266" s="7" t="s">
        <v>310</v>
      </c>
      <c r="C266" s="22" t="s">
        <v>1511</v>
      </c>
      <c r="E266" s="2">
        <v>1</v>
      </c>
    </row>
    <row r="267" spans="1:5">
      <c r="A267" s="15" t="s">
        <v>500</v>
      </c>
      <c r="B267" s="7" t="s">
        <v>311</v>
      </c>
      <c r="C267" s="22" t="s">
        <v>1512</v>
      </c>
      <c r="E267" s="2">
        <v>1</v>
      </c>
    </row>
    <row r="268" spans="1:5">
      <c r="A268" s="15" t="s">
        <v>500</v>
      </c>
      <c r="B268" s="7" t="s">
        <v>313</v>
      </c>
      <c r="C268" s="22" t="s">
        <v>1513</v>
      </c>
      <c r="E268" s="2">
        <v>1</v>
      </c>
    </row>
    <row r="269" spans="1:5">
      <c r="A269" s="15" t="s">
        <v>500</v>
      </c>
      <c r="B269" s="7" t="s">
        <v>314</v>
      </c>
      <c r="C269" s="22" t="s">
        <v>1512</v>
      </c>
      <c r="E269" s="2">
        <v>1</v>
      </c>
    </row>
    <row r="270" spans="1:5">
      <c r="A270" s="15" t="s">
        <v>500</v>
      </c>
      <c r="B270" s="7" t="s">
        <v>315</v>
      </c>
      <c r="C270" s="22" t="s">
        <v>1506</v>
      </c>
      <c r="E270" s="2">
        <v>1</v>
      </c>
    </row>
    <row r="271" spans="1:5">
      <c r="A271" s="15" t="s">
        <v>500</v>
      </c>
      <c r="B271" s="7" t="s">
        <v>316</v>
      </c>
      <c r="C271" s="22" t="s">
        <v>1507</v>
      </c>
      <c r="E271" s="2">
        <v>1</v>
      </c>
    </row>
    <row r="272" spans="1:5">
      <c r="A272" s="15" t="s">
        <v>500</v>
      </c>
      <c r="B272" s="7" t="s">
        <v>319</v>
      </c>
      <c r="C272" s="22" t="s">
        <v>1514</v>
      </c>
      <c r="E272" s="2">
        <v>1</v>
      </c>
    </row>
    <row r="273" spans="1:5">
      <c r="A273" s="15" t="s">
        <v>500</v>
      </c>
      <c r="B273" s="7" t="s">
        <v>320</v>
      </c>
      <c r="C273" s="22" t="s">
        <v>1506</v>
      </c>
      <c r="E273" s="2">
        <v>1</v>
      </c>
    </row>
    <row r="274" spans="1:5">
      <c r="A274" s="15" t="s">
        <v>500</v>
      </c>
      <c r="B274" s="7" t="s">
        <v>321</v>
      </c>
      <c r="C274" s="22" t="s">
        <v>1506</v>
      </c>
      <c r="E274" s="2">
        <v>1</v>
      </c>
    </row>
    <row r="275" spans="1:5">
      <c r="A275" s="15" t="s">
        <v>500</v>
      </c>
      <c r="B275" s="7" t="s">
        <v>322</v>
      </c>
      <c r="C275" s="22" t="s">
        <v>1515</v>
      </c>
      <c r="E275" s="2">
        <v>1</v>
      </c>
    </row>
    <row r="276" spans="1:5">
      <c r="A276" s="15" t="s">
        <v>500</v>
      </c>
      <c r="B276" s="7" t="s">
        <v>326</v>
      </c>
      <c r="C276" s="22" t="s">
        <v>1516</v>
      </c>
      <c r="E276" s="2">
        <v>1</v>
      </c>
    </row>
    <row r="277" spans="1:5">
      <c r="A277" s="15" t="s">
        <v>500</v>
      </c>
      <c r="B277" s="7" t="s">
        <v>327</v>
      </c>
      <c r="C277" s="22" t="s">
        <v>1512</v>
      </c>
      <c r="E277" s="2">
        <v>1</v>
      </c>
    </row>
    <row r="278" spans="1:5">
      <c r="A278" s="15" t="s">
        <v>500</v>
      </c>
      <c r="B278" s="7" t="s">
        <v>328</v>
      </c>
      <c r="C278" s="22" t="s">
        <v>1517</v>
      </c>
      <c r="E278" s="2">
        <v>1</v>
      </c>
    </row>
    <row r="279" spans="1:5">
      <c r="A279" s="15" t="s">
        <v>500</v>
      </c>
      <c r="B279" s="7" t="s">
        <v>329</v>
      </c>
      <c r="C279" s="22" t="s">
        <v>1506</v>
      </c>
      <c r="E279" s="2">
        <v>1</v>
      </c>
    </row>
    <row r="280" spans="1:5">
      <c r="A280" s="15" t="s">
        <v>500</v>
      </c>
      <c r="B280" s="7" t="s">
        <v>331</v>
      </c>
      <c r="C280" s="22" t="s">
        <v>1506</v>
      </c>
      <c r="E280" s="2">
        <v>1</v>
      </c>
    </row>
    <row r="281" spans="1:5">
      <c r="A281" s="15" t="s">
        <v>500</v>
      </c>
      <c r="B281" s="7" t="s">
        <v>333</v>
      </c>
      <c r="C281" s="22" t="s">
        <v>1506</v>
      </c>
      <c r="E281" s="2">
        <v>1</v>
      </c>
    </row>
    <row r="282" spans="1:5">
      <c r="A282" s="15" t="s">
        <v>500</v>
      </c>
      <c r="B282" s="7" t="s">
        <v>334</v>
      </c>
      <c r="C282" s="22" t="s">
        <v>1506</v>
      </c>
      <c r="E282" s="2">
        <v>1</v>
      </c>
    </row>
    <row r="283" spans="1:5">
      <c r="A283" s="15" t="s">
        <v>500</v>
      </c>
      <c r="B283" s="7" t="s">
        <v>335</v>
      </c>
      <c r="C283" s="22" t="s">
        <v>1506</v>
      </c>
      <c r="E283" s="2">
        <v>1</v>
      </c>
    </row>
    <row r="284" spans="1:5">
      <c r="A284" s="15" t="s">
        <v>500</v>
      </c>
      <c r="B284" s="7" t="s">
        <v>336</v>
      </c>
      <c r="C284" s="22" t="s">
        <v>1506</v>
      </c>
      <c r="E284" s="2">
        <v>1</v>
      </c>
    </row>
    <row r="285" spans="1:5">
      <c r="A285" s="15" t="s">
        <v>500</v>
      </c>
      <c r="B285" s="7" t="s">
        <v>338</v>
      </c>
      <c r="C285" s="22" t="s">
        <v>1507</v>
      </c>
      <c r="E285" s="2">
        <v>1</v>
      </c>
    </row>
    <row r="286" spans="1:5">
      <c r="A286" s="16" t="s">
        <v>381</v>
      </c>
      <c r="B286" s="8" t="s">
        <v>299</v>
      </c>
      <c r="C286" s="23" t="s">
        <v>1429</v>
      </c>
      <c r="E286" s="2">
        <v>8</v>
      </c>
    </row>
    <row r="287" spans="1:5">
      <c r="A287" s="16" t="s">
        <v>381</v>
      </c>
      <c r="B287" s="8" t="s">
        <v>1331</v>
      </c>
      <c r="C287" s="23" t="s">
        <v>1518</v>
      </c>
      <c r="E287" s="2">
        <v>8</v>
      </c>
    </row>
    <row r="288" spans="1:5">
      <c r="A288" s="16" t="s">
        <v>381</v>
      </c>
      <c r="B288" s="8" t="s">
        <v>1331</v>
      </c>
      <c r="C288" s="23" t="s">
        <v>1519</v>
      </c>
      <c r="E288" s="2">
        <v>8</v>
      </c>
    </row>
    <row r="289" spans="1:5">
      <c r="A289" s="16" t="s">
        <v>381</v>
      </c>
      <c r="B289" s="8" t="s">
        <v>300</v>
      </c>
      <c r="C289" s="23" t="s">
        <v>1520</v>
      </c>
      <c r="E289" s="2">
        <v>8</v>
      </c>
    </row>
    <row r="290" spans="1:5">
      <c r="A290" s="16" t="s">
        <v>381</v>
      </c>
      <c r="B290" s="8" t="s">
        <v>301</v>
      </c>
      <c r="C290" s="23" t="s">
        <v>1520</v>
      </c>
      <c r="E290" s="2">
        <v>8</v>
      </c>
    </row>
    <row r="291" spans="1:5">
      <c r="A291" s="16" t="s">
        <v>381</v>
      </c>
      <c r="B291" s="8" t="s">
        <v>302</v>
      </c>
      <c r="C291" s="23" t="s">
        <v>1520</v>
      </c>
      <c r="E291" s="2">
        <v>8</v>
      </c>
    </row>
    <row r="292" spans="1:5">
      <c r="A292" s="16" t="s">
        <v>381</v>
      </c>
      <c r="B292" s="8" t="s">
        <v>304</v>
      </c>
      <c r="C292" s="23" t="s">
        <v>1429</v>
      </c>
      <c r="E292" s="2">
        <v>8</v>
      </c>
    </row>
    <row r="293" spans="1:5">
      <c r="A293" s="16" t="s">
        <v>381</v>
      </c>
      <c r="B293" s="8" t="s">
        <v>306</v>
      </c>
      <c r="C293" s="23" t="s">
        <v>1520</v>
      </c>
      <c r="E293" s="2">
        <v>8</v>
      </c>
    </row>
    <row r="294" spans="1:5">
      <c r="A294" s="16" t="s">
        <v>381</v>
      </c>
      <c r="B294" s="8" t="s">
        <v>307</v>
      </c>
      <c r="C294" s="23" t="s">
        <v>1429</v>
      </c>
      <c r="E294" s="2">
        <v>8</v>
      </c>
    </row>
    <row r="295" spans="1:5">
      <c r="A295" s="16" t="s">
        <v>381</v>
      </c>
      <c r="B295" s="8" t="s">
        <v>308</v>
      </c>
      <c r="C295" s="23" t="s">
        <v>1520</v>
      </c>
      <c r="E295" s="2">
        <v>8</v>
      </c>
    </row>
    <row r="296" spans="1:5">
      <c r="A296" s="16" t="s">
        <v>381</v>
      </c>
      <c r="B296" s="8" t="s">
        <v>309</v>
      </c>
      <c r="C296" s="23" t="s">
        <v>1429</v>
      </c>
      <c r="E296" s="2">
        <v>8</v>
      </c>
    </row>
    <row r="297" spans="1:5">
      <c r="A297" s="16" t="s">
        <v>381</v>
      </c>
      <c r="B297" s="8" t="s">
        <v>310</v>
      </c>
      <c r="C297" s="23" t="s">
        <v>1519</v>
      </c>
      <c r="E297" s="2">
        <v>8</v>
      </c>
    </row>
    <row r="298" spans="1:5">
      <c r="A298" s="16" t="s">
        <v>381</v>
      </c>
      <c r="B298" s="8" t="s">
        <v>311</v>
      </c>
      <c r="C298" s="23" t="s">
        <v>1519</v>
      </c>
      <c r="E298" s="2">
        <v>8</v>
      </c>
    </row>
    <row r="299" spans="1:5">
      <c r="A299" s="16" t="s">
        <v>381</v>
      </c>
      <c r="B299" s="8" t="s">
        <v>313</v>
      </c>
      <c r="C299" s="23" t="s">
        <v>1519</v>
      </c>
      <c r="E299" s="2">
        <v>8</v>
      </c>
    </row>
    <row r="300" spans="1:5">
      <c r="A300" s="16" t="s">
        <v>381</v>
      </c>
      <c r="B300" s="8" t="s">
        <v>314</v>
      </c>
      <c r="C300" s="23" t="s">
        <v>1520</v>
      </c>
      <c r="E300" s="2">
        <v>8</v>
      </c>
    </row>
    <row r="301" spans="1:5">
      <c r="A301" s="16" t="s">
        <v>381</v>
      </c>
      <c r="B301" s="8" t="s">
        <v>315</v>
      </c>
      <c r="C301" s="23" t="s">
        <v>1520</v>
      </c>
      <c r="E301" s="2">
        <v>8</v>
      </c>
    </row>
    <row r="302" spans="1:5">
      <c r="A302" s="16" t="s">
        <v>381</v>
      </c>
      <c r="B302" s="8" t="s">
        <v>316</v>
      </c>
      <c r="C302" s="23" t="s">
        <v>1520</v>
      </c>
      <c r="E302" s="2">
        <v>8</v>
      </c>
    </row>
    <row r="303" spans="1:5">
      <c r="A303" s="16" t="s">
        <v>381</v>
      </c>
      <c r="B303" s="8" t="s">
        <v>319</v>
      </c>
      <c r="C303" s="23" t="s">
        <v>1519</v>
      </c>
      <c r="E303" s="2">
        <v>8</v>
      </c>
    </row>
    <row r="304" spans="1:5">
      <c r="A304" s="16" t="s">
        <v>381</v>
      </c>
      <c r="B304" s="8" t="s">
        <v>320</v>
      </c>
      <c r="C304" s="23" t="s">
        <v>1520</v>
      </c>
      <c r="E304" s="2">
        <v>8</v>
      </c>
    </row>
    <row r="305" spans="1:8">
      <c r="A305" s="16" t="s">
        <v>381</v>
      </c>
      <c r="B305" s="8" t="s">
        <v>321</v>
      </c>
      <c r="C305" s="23" t="s">
        <v>1520</v>
      </c>
      <c r="E305" s="2">
        <v>8</v>
      </c>
    </row>
    <row r="306" spans="1:8">
      <c r="A306" s="16" t="s">
        <v>381</v>
      </c>
      <c r="B306" s="8" t="s">
        <v>322</v>
      </c>
      <c r="C306" s="23" t="s">
        <v>1519</v>
      </c>
      <c r="E306" s="2">
        <v>8</v>
      </c>
    </row>
    <row r="307" spans="1:8">
      <c r="A307" s="16" t="s">
        <v>381</v>
      </c>
      <c r="B307" s="8" t="s">
        <v>326</v>
      </c>
      <c r="C307" s="23" t="s">
        <v>1519</v>
      </c>
      <c r="E307" s="2">
        <v>8</v>
      </c>
    </row>
    <row r="308" spans="1:8">
      <c r="A308" s="16" t="s">
        <v>381</v>
      </c>
      <c r="B308" s="8" t="s">
        <v>327</v>
      </c>
      <c r="C308" s="23" t="s">
        <v>1519</v>
      </c>
      <c r="E308" s="2">
        <v>8</v>
      </c>
    </row>
    <row r="309" spans="1:8">
      <c r="A309" s="16" t="s">
        <v>381</v>
      </c>
      <c r="B309" s="8" t="s">
        <v>328</v>
      </c>
      <c r="C309" s="23" t="s">
        <v>1520</v>
      </c>
      <c r="E309" s="2">
        <v>8</v>
      </c>
    </row>
    <row r="310" spans="1:8">
      <c r="A310" s="16" t="s">
        <v>381</v>
      </c>
      <c r="B310" s="8" t="s">
        <v>329</v>
      </c>
      <c r="C310" s="23" t="s">
        <v>1519</v>
      </c>
      <c r="E310" s="2">
        <v>8</v>
      </c>
    </row>
    <row r="311" spans="1:8">
      <c r="A311" s="16" t="s">
        <v>381</v>
      </c>
      <c r="B311" s="8" t="s">
        <v>331</v>
      </c>
      <c r="C311" s="23" t="s">
        <v>1521</v>
      </c>
      <c r="E311" s="2">
        <v>8</v>
      </c>
    </row>
    <row r="312" spans="1:8">
      <c r="A312" s="16" t="s">
        <v>381</v>
      </c>
      <c r="B312" s="8" t="s">
        <v>334</v>
      </c>
      <c r="C312" s="23" t="s">
        <v>1519</v>
      </c>
      <c r="E312" s="2">
        <v>8</v>
      </c>
    </row>
    <row r="313" spans="1:8">
      <c r="A313" s="16" t="s">
        <v>381</v>
      </c>
      <c r="B313" s="8" t="s">
        <v>335</v>
      </c>
      <c r="C313" s="23" t="s">
        <v>1519</v>
      </c>
      <c r="E313" s="2">
        <v>8</v>
      </c>
    </row>
    <row r="314" spans="1:8">
      <c r="A314" s="16" t="s">
        <v>381</v>
      </c>
      <c r="B314" s="8" t="s">
        <v>336</v>
      </c>
      <c r="C314" s="23" t="s">
        <v>1520</v>
      </c>
      <c r="E314" s="2">
        <v>8</v>
      </c>
    </row>
    <row r="315" spans="1:8">
      <c r="A315" s="31" t="s">
        <v>381</v>
      </c>
      <c r="B315" s="32" t="s">
        <v>338</v>
      </c>
      <c r="C315" s="33" t="s">
        <v>1520</v>
      </c>
      <c r="E315" s="2">
        <v>8</v>
      </c>
      <c r="G315" s="53"/>
      <c r="H315" s="50"/>
    </row>
    <row r="316" spans="1:8">
      <c r="A316" s="31" t="s">
        <v>377</v>
      </c>
      <c r="B316" s="32" t="s">
        <v>320</v>
      </c>
      <c r="C316" s="33" t="s">
        <v>1522</v>
      </c>
      <c r="D316" s="50"/>
      <c r="E316" s="50">
        <v>8</v>
      </c>
      <c r="F316" s="50"/>
      <c r="G316" s="53"/>
      <c r="H316" s="50"/>
    </row>
    <row r="317" spans="1:8">
      <c r="A317" s="31" t="s">
        <v>377</v>
      </c>
      <c r="B317" s="32" t="s">
        <v>320</v>
      </c>
      <c r="C317" s="33" t="s">
        <v>1523</v>
      </c>
      <c r="D317" s="50"/>
      <c r="E317" s="50">
        <v>1</v>
      </c>
      <c r="F317" s="50"/>
      <c r="G317" s="53"/>
      <c r="H317" s="50"/>
    </row>
    <row r="318" spans="1:8">
      <c r="A318" s="31" t="s">
        <v>372</v>
      </c>
      <c r="B318" s="32" t="s">
        <v>320</v>
      </c>
      <c r="C318" s="33" t="s">
        <v>1524</v>
      </c>
      <c r="D318" s="50"/>
      <c r="E318" s="50">
        <v>1</v>
      </c>
      <c r="F318" s="50"/>
      <c r="G318" s="53"/>
      <c r="H318" s="50"/>
    </row>
  </sheetData>
  <phoneticPr fontId="4" type="noConversion"/>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0BAC1-8CC0-4E50-A234-27FBA846DADD}">
  <dimension ref="A1:B3"/>
  <sheetViews>
    <sheetView workbookViewId="0">
      <selection activeCell="I19" sqref="I19"/>
    </sheetView>
    <sheetView workbookViewId="1"/>
  </sheetViews>
  <sheetFormatPr baseColWidth="10" defaultColWidth="8.83203125" defaultRowHeight="15"/>
  <cols>
    <col min="2" max="2" width="65.5" bestFit="1" customWidth="1"/>
  </cols>
  <sheetData>
    <row r="1" spans="1:2">
      <c r="A1">
        <v>1</v>
      </c>
      <c r="B1" t="s">
        <v>1525</v>
      </c>
    </row>
    <row r="2" spans="1:2">
      <c r="B2" t="s">
        <v>1526</v>
      </c>
    </row>
    <row r="3" spans="1:2">
      <c r="A3">
        <v>2</v>
      </c>
      <c r="B3" t="s">
        <v>1527</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BD6B3-ABAD-41C6-A5CA-CB7783A0CB85}">
  <sheetPr filterMode="1"/>
  <dimension ref="A1:V109"/>
  <sheetViews>
    <sheetView tabSelected="1" workbookViewId="0">
      <selection activeCell="E11" sqref="E11"/>
    </sheetView>
    <sheetView tabSelected="1" zoomScale="132" zoomScaleNormal="132" workbookViewId="1">
      <selection activeCell="Q2" sqref="Q2"/>
    </sheetView>
  </sheetViews>
  <sheetFormatPr baseColWidth="10" defaultColWidth="8.83203125" defaultRowHeight="15"/>
  <cols>
    <col min="1" max="1" width="23.33203125" customWidth="1"/>
    <col min="2" max="2" width="11.1640625" style="38" customWidth="1"/>
    <col min="3" max="3" width="12" style="38" customWidth="1"/>
    <col min="4" max="4" width="51.1640625" style="38" bestFit="1" customWidth="1"/>
    <col min="5" max="5" width="40" style="38" customWidth="1"/>
    <col min="6" max="6" width="36" style="38" customWidth="1"/>
    <col min="7" max="7" width="10.5" style="38" customWidth="1"/>
    <col min="8" max="8" width="15.33203125" customWidth="1"/>
    <col min="9" max="9" width="10.83203125" style="38" customWidth="1"/>
    <col min="10" max="10" width="12.33203125" style="38" bestFit="1" customWidth="1"/>
    <col min="11" max="11" width="15" style="38" customWidth="1"/>
    <col min="12" max="12" width="27.33203125" style="38" customWidth="1"/>
    <col min="13" max="13" width="25" style="38" customWidth="1"/>
    <col min="14" max="14" width="46.5" style="38" customWidth="1"/>
    <col min="15" max="15" width="25.1640625" customWidth="1"/>
    <col min="20" max="20" width="18.1640625" customWidth="1"/>
    <col min="21" max="21" width="38" customWidth="1"/>
  </cols>
  <sheetData>
    <row r="1" spans="1:22" ht="109" customHeight="1">
      <c r="A1" t="s">
        <v>1725</v>
      </c>
      <c r="B1" t="s">
        <v>106</v>
      </c>
      <c r="C1" s="38" t="s">
        <v>56</v>
      </c>
      <c r="D1" s="38" t="s">
        <v>1528</v>
      </c>
      <c r="E1" s="38" t="s">
        <v>1529</v>
      </c>
      <c r="F1" s="38" t="s">
        <v>1530</v>
      </c>
      <c r="G1" t="s">
        <v>1531</v>
      </c>
      <c r="H1" s="38" t="s">
        <v>1532</v>
      </c>
      <c r="I1" t="s">
        <v>60</v>
      </c>
      <c r="J1" s="38" t="s">
        <v>1533</v>
      </c>
      <c r="K1" s="38" t="s">
        <v>1534</v>
      </c>
      <c r="L1" s="38" t="s">
        <v>1535</v>
      </c>
      <c r="M1" s="38" t="s">
        <v>1536</v>
      </c>
      <c r="N1" s="38" t="s">
        <v>1537</v>
      </c>
      <c r="O1" s="38" t="s">
        <v>246</v>
      </c>
      <c r="P1" s="171" t="s">
        <v>247</v>
      </c>
      <c r="Q1" s="38" t="s">
        <v>248</v>
      </c>
      <c r="R1" s="38" t="s">
        <v>249</v>
      </c>
      <c r="S1" s="38" t="s">
        <v>250</v>
      </c>
      <c r="T1" s="38" t="s">
        <v>1739</v>
      </c>
      <c r="U1" s="38" t="s">
        <v>251</v>
      </c>
      <c r="V1" s="38" t="s">
        <v>28</v>
      </c>
    </row>
    <row r="2" spans="1:22" ht="255" hidden="1" customHeight="1">
      <c r="A2">
        <v>7</v>
      </c>
      <c r="B2">
        <v>1</v>
      </c>
      <c r="C2" s="125">
        <v>4</v>
      </c>
      <c r="D2" s="38" t="s">
        <v>1538</v>
      </c>
      <c r="E2" s="38" t="str">
        <f>'Final_List-Alerts'!A7</f>
        <v>ORDERS NOT PROCESS IN HOST &gt; 15 MINUTES</v>
      </c>
      <c r="F2" s="38" t="s">
        <v>1539</v>
      </c>
      <c r="G2" t="s">
        <v>184</v>
      </c>
      <c r="H2" s="38" t="s">
        <v>183</v>
      </c>
      <c r="I2" t="s">
        <v>1540</v>
      </c>
      <c r="J2" s="38" t="s">
        <v>1541</v>
      </c>
      <c r="K2" s="38" t="s">
        <v>1542</v>
      </c>
      <c r="L2" s="38" t="s">
        <v>1543</v>
      </c>
      <c r="M2" s="38" t="s">
        <v>1544</v>
      </c>
      <c r="N2" s="38" t="s">
        <v>1545</v>
      </c>
      <c r="O2" s="38"/>
      <c r="P2" s="196"/>
      <c r="Q2" s="196"/>
      <c r="R2" s="196"/>
      <c r="S2" s="196">
        <v>1</v>
      </c>
      <c r="V2" s="200" t="s">
        <v>1546</v>
      </c>
    </row>
    <row r="3" spans="1:22" ht="133.25" hidden="1" customHeight="1">
      <c r="A3">
        <v>10</v>
      </c>
      <c r="B3"/>
      <c r="C3" s="125">
        <v>5</v>
      </c>
      <c r="D3" s="38" t="s">
        <v>1538</v>
      </c>
      <c r="E3" s="38" t="str">
        <f>'Final_List-Alerts'!A10</f>
        <v>ORDERS STUCK IN CREATED STATUS &gt; 15 MINUTES</v>
      </c>
      <c r="F3" s="38" t="s">
        <v>1547</v>
      </c>
      <c r="G3" t="s">
        <v>1548</v>
      </c>
      <c r="H3" s="38" t="s">
        <v>1183</v>
      </c>
      <c r="I3" t="s">
        <v>1540</v>
      </c>
      <c r="J3" s="38" t="s">
        <v>1549</v>
      </c>
      <c r="K3" s="38" t="s">
        <v>1542</v>
      </c>
      <c r="L3" s="38" t="s">
        <v>1543</v>
      </c>
      <c r="M3" s="38" t="s">
        <v>1550</v>
      </c>
      <c r="N3" s="38" t="s">
        <v>1551</v>
      </c>
      <c r="O3" s="38"/>
      <c r="P3" s="196"/>
      <c r="Q3" s="196"/>
      <c r="R3" s="196"/>
      <c r="S3" s="196">
        <v>1</v>
      </c>
      <c r="V3" s="38"/>
    </row>
    <row r="4" spans="1:22" ht="409.5" hidden="1">
      <c r="A4">
        <v>11</v>
      </c>
      <c r="B4"/>
      <c r="C4" s="125">
        <v>6</v>
      </c>
      <c r="D4" s="38" t="s">
        <v>1538</v>
      </c>
      <c r="E4" s="38" t="str">
        <f>'Final_List-Alerts'!A11</f>
        <v>STANDARD ORDERS DESELECTED DURING WAVING</v>
      </c>
      <c r="F4" s="38" t="s">
        <v>1552</v>
      </c>
      <c r="G4" t="s">
        <v>1548</v>
      </c>
      <c r="H4" s="38" t="s">
        <v>1183</v>
      </c>
      <c r="I4" t="s">
        <v>1540</v>
      </c>
      <c r="J4" s="38" t="s">
        <v>1553</v>
      </c>
      <c r="K4" s="38" t="s">
        <v>1542</v>
      </c>
      <c r="L4" s="38" t="s">
        <v>1543</v>
      </c>
      <c r="M4" s="38" t="s">
        <v>1554</v>
      </c>
      <c r="N4" s="38" t="s">
        <v>1555</v>
      </c>
      <c r="O4" s="38"/>
      <c r="P4" s="196"/>
      <c r="Q4" s="196"/>
      <c r="R4" s="196"/>
      <c r="S4" s="196">
        <v>1</v>
      </c>
      <c r="V4" s="38" t="s">
        <v>1556</v>
      </c>
    </row>
    <row r="5" spans="1:22" ht="409.5" hidden="1">
      <c r="A5">
        <v>12</v>
      </c>
      <c r="B5"/>
      <c r="C5" s="125">
        <v>7</v>
      </c>
      <c r="D5" s="38" t="s">
        <v>1538</v>
      </c>
      <c r="E5" s="38" t="str">
        <f>'Final_List-Alerts'!A12</f>
        <v>STANDARD ORDERS W/ NO DESIGNATED OR ASSIGNED SHIPMENTS CREATED</v>
      </c>
      <c r="F5" s="38" t="s">
        <v>1557</v>
      </c>
      <c r="G5" t="s">
        <v>1548</v>
      </c>
      <c r="H5" s="38" t="s">
        <v>1183</v>
      </c>
      <c r="I5" t="s">
        <v>1540</v>
      </c>
      <c r="J5" s="38" t="s">
        <v>1558</v>
      </c>
      <c r="K5" s="38" t="s">
        <v>1542</v>
      </c>
      <c r="L5" s="38" t="s">
        <v>1543</v>
      </c>
      <c r="M5" s="38" t="s">
        <v>1559</v>
      </c>
      <c r="N5" s="38" t="s">
        <v>1560</v>
      </c>
      <c r="O5" s="38"/>
      <c r="P5" s="196"/>
      <c r="Q5" s="196"/>
      <c r="R5" s="196"/>
      <c r="S5" s="196">
        <v>1</v>
      </c>
      <c r="V5" s="38"/>
    </row>
    <row r="6" spans="1:22" ht="409.5" hidden="1">
      <c r="A6">
        <v>15</v>
      </c>
      <c r="B6"/>
      <c r="C6" s="125">
        <v>8</v>
      </c>
      <c r="D6" s="38" t="s">
        <v>1538</v>
      </c>
      <c r="E6" s="38" t="str">
        <f>'Final_List-Alerts'!A15</f>
        <v>STANDARD ORDERS W/ NO DESIGNATED SHIPMENTS CREATED</v>
      </c>
      <c r="F6" s="38" t="s">
        <v>1561</v>
      </c>
      <c r="G6" t="s">
        <v>1548</v>
      </c>
      <c r="H6" s="38" t="s">
        <v>1183</v>
      </c>
      <c r="I6" t="s">
        <v>1540</v>
      </c>
      <c r="J6" s="38" t="s">
        <v>1562</v>
      </c>
      <c r="K6" s="38" t="s">
        <v>1542</v>
      </c>
      <c r="L6" s="38" t="s">
        <v>1543</v>
      </c>
      <c r="M6" s="38" t="s">
        <v>1563</v>
      </c>
      <c r="N6" s="38" t="s">
        <v>1564</v>
      </c>
      <c r="O6" s="38"/>
      <c r="P6" s="196"/>
      <c r="Q6" s="196"/>
      <c r="R6" s="196"/>
      <c r="S6" s="196">
        <v>1</v>
      </c>
      <c r="V6" s="38"/>
    </row>
    <row r="7" spans="1:22" ht="115.25" hidden="1">
      <c r="A7">
        <v>17</v>
      </c>
      <c r="B7"/>
      <c r="C7" s="125">
        <v>9</v>
      </c>
      <c r="D7" s="38" t="s">
        <v>1538</v>
      </c>
      <c r="E7" s="38" t="str">
        <f>'Final_List-Alerts'!A17</f>
        <v>STATIC ROUTE MISSING THRESHOLD VALUE</v>
      </c>
      <c r="F7" s="38" t="s">
        <v>1565</v>
      </c>
      <c r="G7" t="s">
        <v>1548</v>
      </c>
      <c r="H7" s="38" t="s">
        <v>1183</v>
      </c>
      <c r="I7" t="s">
        <v>1540</v>
      </c>
      <c r="J7" s="38" t="s">
        <v>1566</v>
      </c>
      <c r="K7" s="38" t="s">
        <v>1542</v>
      </c>
      <c r="L7" s="38" t="s">
        <v>1543</v>
      </c>
      <c r="M7" s="38" t="s">
        <v>1567</v>
      </c>
      <c r="N7" s="38" t="s">
        <v>1568</v>
      </c>
      <c r="O7" s="38"/>
      <c r="P7" s="196"/>
      <c r="Q7" s="196"/>
      <c r="R7" s="196"/>
      <c r="S7" s="196">
        <v>1</v>
      </c>
      <c r="V7" s="38"/>
    </row>
    <row r="8" spans="1:22" ht="230.5" hidden="1">
      <c r="A8">
        <v>20</v>
      </c>
      <c r="B8"/>
      <c r="C8" s="125">
        <v>10</v>
      </c>
      <c r="D8" s="38" t="s">
        <v>1538</v>
      </c>
      <c r="E8" s="38" t="str">
        <f>'Final_List-Alerts'!A20</f>
        <v>STATIC ROUTE UI MISSING DFLT VALUE</v>
      </c>
      <c r="F8" s="38" t="s">
        <v>1569</v>
      </c>
      <c r="G8" t="s">
        <v>1548</v>
      </c>
      <c r="H8" s="38" t="s">
        <v>1183</v>
      </c>
      <c r="I8" t="s">
        <v>1540</v>
      </c>
      <c r="J8" s="38" t="s">
        <v>1570</v>
      </c>
      <c r="K8" s="38" t="s">
        <v>1542</v>
      </c>
      <c r="L8" s="38" t="s">
        <v>1543</v>
      </c>
      <c r="M8" s="38" t="s">
        <v>1571</v>
      </c>
      <c r="N8" s="38" t="s">
        <v>1572</v>
      </c>
      <c r="O8" s="38"/>
      <c r="P8" s="196"/>
      <c r="Q8" s="196"/>
      <c r="R8" s="196"/>
      <c r="S8" s="196">
        <v>1</v>
      </c>
      <c r="V8" s="38"/>
    </row>
    <row r="9" spans="1:22" ht="409.5" hidden="1">
      <c r="A9">
        <v>21</v>
      </c>
      <c r="B9"/>
      <c r="C9" s="125">
        <v>14</v>
      </c>
      <c r="D9" s="38" t="s">
        <v>1538</v>
      </c>
      <c r="E9" s="38" t="str">
        <f>'Final_List-Alerts'!A21</f>
        <v>ROUTES WITH MULTIPLE WAVE NUMBERS</v>
      </c>
      <c r="F9" s="38" t="s">
        <v>1590</v>
      </c>
      <c r="G9" t="s">
        <v>1548</v>
      </c>
      <c r="H9" s="38" t="s">
        <v>1183</v>
      </c>
      <c r="I9" t="s">
        <v>1540</v>
      </c>
      <c r="J9" s="38" t="s">
        <v>1591</v>
      </c>
      <c r="K9" s="38" t="s">
        <v>1592</v>
      </c>
      <c r="L9" s="38" t="s">
        <v>1543</v>
      </c>
      <c r="M9" s="38" t="s">
        <v>1593</v>
      </c>
      <c r="N9" s="38" t="s">
        <v>1594</v>
      </c>
      <c r="O9" s="38"/>
      <c r="P9" s="196"/>
      <c r="Q9" s="196"/>
      <c r="R9" s="196"/>
      <c r="S9" s="196">
        <v>1</v>
      </c>
      <c r="V9" s="38" t="s">
        <v>1595</v>
      </c>
    </row>
    <row r="10" spans="1:22" ht="32" hidden="1" customHeight="1">
      <c r="A10">
        <v>22</v>
      </c>
      <c r="B10" s="40"/>
      <c r="C10" s="125">
        <v>16</v>
      </c>
      <c r="E10" s="38" t="str">
        <f>'Final_List-Alerts'!A22</f>
        <v>Item Loc Prod (ITEMLOC_PRD)</v>
      </c>
      <c r="F10" s="41" t="s">
        <v>1596</v>
      </c>
      <c r="G10" s="41"/>
      <c r="H10" s="41"/>
      <c r="I10" s="41"/>
      <c r="J10" s="41"/>
      <c r="K10" s="41"/>
      <c r="L10" s="41"/>
      <c r="M10" s="41"/>
      <c r="N10" s="41"/>
      <c r="O10" s="41"/>
      <c r="P10" s="41"/>
      <c r="Q10" s="41"/>
      <c r="R10" s="41"/>
      <c r="S10" s="41"/>
      <c r="U10" s="41"/>
      <c r="V10" s="41"/>
    </row>
    <row r="11" spans="1:22" ht="158.5" hidden="1">
      <c r="A11">
        <v>24</v>
      </c>
      <c r="B11">
        <v>2</v>
      </c>
      <c r="C11" s="38" t="s">
        <v>101</v>
      </c>
      <c r="D11" s="38" t="s">
        <v>1538</v>
      </c>
      <c r="E11" s="38" t="str">
        <f>'Final_List-Alerts'!A24</f>
        <v>DUPLICATE PIX S IN MIDDLEWARE WMS</v>
      </c>
      <c r="F11" s="38" t="s">
        <v>1597</v>
      </c>
      <c r="G11" t="s">
        <v>1598</v>
      </c>
      <c r="H11" s="38" t="s">
        <v>183</v>
      </c>
      <c r="I11" t="s">
        <v>1599</v>
      </c>
      <c r="J11" s="38" t="s">
        <v>1600</v>
      </c>
      <c r="K11" s="38" t="s">
        <v>1592</v>
      </c>
      <c r="L11" s="38" t="s">
        <v>1543</v>
      </c>
      <c r="M11" s="38" t="s">
        <v>1554</v>
      </c>
      <c r="N11" s="38" t="s">
        <v>1568</v>
      </c>
      <c r="O11" s="38"/>
      <c r="P11" s="196"/>
      <c r="Q11" s="196"/>
      <c r="R11" s="196"/>
      <c r="S11" s="196">
        <v>1</v>
      </c>
      <c r="V11" s="38"/>
    </row>
    <row r="12" spans="1:22" ht="259.25" hidden="1">
      <c r="A12">
        <v>25</v>
      </c>
      <c r="B12"/>
      <c r="C12" s="38" t="s">
        <v>101</v>
      </c>
      <c r="D12" s="38" t="s">
        <v>1538</v>
      </c>
      <c r="E12" s="38" t="str">
        <f>'Final_List-Alerts'!A25</f>
        <v>DUPLICATE SHIP CONFIRM</v>
      </c>
      <c r="F12" s="38" t="s">
        <v>1601</v>
      </c>
      <c r="G12" t="s">
        <v>184</v>
      </c>
      <c r="H12" s="38" t="s">
        <v>183</v>
      </c>
      <c r="I12" t="s">
        <v>1602</v>
      </c>
      <c r="J12" s="38" t="s">
        <v>1603</v>
      </c>
      <c r="K12" s="38" t="s">
        <v>1542</v>
      </c>
      <c r="L12" s="38" t="s">
        <v>1543</v>
      </c>
      <c r="M12" s="38" t="s">
        <v>1554</v>
      </c>
      <c r="N12" s="38" t="s">
        <v>1604</v>
      </c>
      <c r="O12" s="38"/>
      <c r="P12" s="196"/>
      <c r="Q12" s="196"/>
      <c r="R12" s="196"/>
      <c r="S12" s="196">
        <v>1</v>
      </c>
      <c r="V12" s="38" t="s">
        <v>1605</v>
      </c>
    </row>
    <row r="13" spans="1:22" ht="345.5" hidden="1">
      <c r="A13">
        <v>27</v>
      </c>
      <c r="B13"/>
      <c r="C13" s="38" t="s">
        <v>101</v>
      </c>
      <c r="D13" s="38" t="s">
        <v>1538</v>
      </c>
      <c r="E13" s="38" t="str">
        <f>'Final_List-Alerts'!A27</f>
        <v>INVENTORY ADJUSTMENT PIX MISSING REASON CODE</v>
      </c>
      <c r="F13" s="38" t="s">
        <v>1606</v>
      </c>
      <c r="G13" t="s">
        <v>1548</v>
      </c>
      <c r="H13" s="38" t="s">
        <v>1183</v>
      </c>
      <c r="I13" t="s">
        <v>1540</v>
      </c>
      <c r="J13" s="38" t="s">
        <v>1607</v>
      </c>
      <c r="K13" s="38" t="s">
        <v>1542</v>
      </c>
      <c r="L13" s="38" t="s">
        <v>1543</v>
      </c>
      <c r="M13" s="38" t="s">
        <v>1554</v>
      </c>
      <c r="N13" s="38" t="s">
        <v>1608</v>
      </c>
      <c r="O13" s="38"/>
      <c r="P13" s="196"/>
      <c r="Q13" s="196"/>
      <c r="R13" s="196"/>
      <c r="S13" s="196">
        <v>1</v>
      </c>
      <c r="V13" s="38" t="s">
        <v>1609</v>
      </c>
    </row>
    <row r="14" spans="1:22" ht="409.5" hidden="1">
      <c r="A14">
        <v>28</v>
      </c>
      <c r="B14"/>
      <c r="C14" s="38" t="s">
        <v>101</v>
      </c>
      <c r="D14" s="38" t="s">
        <v>1538</v>
      </c>
      <c r="E14" s="196" t="str">
        <f>'Final_List-Alerts'!A28</f>
        <v>ITEM LEVEL RECEIPTS WITH 0 QUANTITY</v>
      </c>
      <c r="F14" s="38" t="s">
        <v>1610</v>
      </c>
      <c r="G14" t="s">
        <v>1548</v>
      </c>
      <c r="H14" s="38" t="s">
        <v>1183</v>
      </c>
      <c r="I14" t="s">
        <v>1540</v>
      </c>
      <c r="J14" s="38" t="s">
        <v>1611</v>
      </c>
      <c r="K14" s="38" t="s">
        <v>1542</v>
      </c>
      <c r="L14" s="38" t="s">
        <v>1543</v>
      </c>
      <c r="M14" s="38" t="s">
        <v>121</v>
      </c>
      <c r="N14" s="38" t="s">
        <v>1612</v>
      </c>
      <c r="O14" s="38"/>
      <c r="P14" s="196"/>
      <c r="Q14" s="196"/>
      <c r="R14" s="196"/>
      <c r="S14" s="196">
        <v>1</v>
      </c>
      <c r="V14" s="38" t="s">
        <v>1613</v>
      </c>
    </row>
    <row r="15" spans="1:22" ht="409.5" hidden="1">
      <c r="A15">
        <v>33</v>
      </c>
      <c r="B15"/>
      <c r="C15" s="38" t="s">
        <v>101</v>
      </c>
      <c r="D15" s="38" t="s">
        <v>1538</v>
      </c>
      <c r="E15" s="196" t="str">
        <f>'Final_List-Alerts'!A33</f>
        <v>LONG RUNNING OR ABORTED WAVES</v>
      </c>
      <c r="F15" s="38" t="s">
        <v>1614</v>
      </c>
      <c r="G15" t="s">
        <v>1548</v>
      </c>
      <c r="H15" s="38" t="s">
        <v>1183</v>
      </c>
      <c r="I15" t="s">
        <v>1540</v>
      </c>
      <c r="J15" s="38" t="s">
        <v>1615</v>
      </c>
      <c r="K15" s="38" t="s">
        <v>1542</v>
      </c>
      <c r="L15" s="38" t="s">
        <v>1543</v>
      </c>
      <c r="M15" s="38" t="s">
        <v>126</v>
      </c>
      <c r="N15" s="38" t="s">
        <v>1616</v>
      </c>
      <c r="O15" s="38"/>
      <c r="P15" s="196"/>
      <c r="Q15" s="196"/>
      <c r="R15" s="196"/>
      <c r="S15" s="196">
        <v>1</v>
      </c>
      <c r="V15" s="38" t="s">
        <v>1617</v>
      </c>
    </row>
    <row r="16" spans="1:22" ht="409.5" hidden="1">
      <c r="A16">
        <v>34</v>
      </c>
      <c r="B16"/>
      <c r="C16" s="38" t="s">
        <v>101</v>
      </c>
      <c r="D16" s="38" t="s">
        <v>1538</v>
      </c>
      <c r="E16" s="196" t="str">
        <f>'Final_List-Alerts'!A34</f>
        <v>MISSING ITEM LEVEL VERIFICATION PIX</v>
      </c>
      <c r="F16" s="38" t="s">
        <v>1618</v>
      </c>
      <c r="G16" t="s">
        <v>184</v>
      </c>
      <c r="H16" s="38" t="s">
        <v>183</v>
      </c>
      <c r="I16" t="s">
        <v>1602</v>
      </c>
      <c r="J16" s="38" t="s">
        <v>1619</v>
      </c>
      <c r="K16" s="38" t="s">
        <v>1542</v>
      </c>
      <c r="L16" s="38" t="s">
        <v>1543</v>
      </c>
      <c r="M16" s="38" t="s">
        <v>1620</v>
      </c>
      <c r="N16" s="38" t="s">
        <v>1604</v>
      </c>
      <c r="O16" s="38"/>
      <c r="P16" s="196"/>
      <c r="Q16" s="196"/>
      <c r="R16" s="196"/>
      <c r="S16" s="196">
        <v>1</v>
      </c>
      <c r="V16" s="38" t="s">
        <v>1621</v>
      </c>
    </row>
    <row r="17" spans="1:22" ht="409.5" hidden="1">
      <c r="A17">
        <v>40</v>
      </c>
      <c r="B17"/>
      <c r="C17" s="38" t="s">
        <v>101</v>
      </c>
      <c r="D17" s="38" t="s">
        <v>1538</v>
      </c>
      <c r="E17" s="38" t="str">
        <f>'Final_List-Alerts'!A40</f>
        <v>ROUTED ORDERS CANCELLED</v>
      </c>
      <c r="F17" s="38" t="s">
        <v>1622</v>
      </c>
      <c r="G17" t="s">
        <v>1548</v>
      </c>
      <c r="H17" s="38" t="s">
        <v>1183</v>
      </c>
      <c r="I17" t="s">
        <v>1540</v>
      </c>
      <c r="J17" s="38" t="s">
        <v>1623</v>
      </c>
      <c r="K17" s="38" t="s">
        <v>1542</v>
      </c>
      <c r="L17" s="38" t="s">
        <v>1543</v>
      </c>
      <c r="M17" s="38" t="s">
        <v>1554</v>
      </c>
      <c r="N17" s="38" t="s">
        <v>1624</v>
      </c>
      <c r="O17" s="38"/>
      <c r="P17" s="196"/>
      <c r="Q17" s="196"/>
      <c r="R17" s="196"/>
      <c r="S17" s="196">
        <v>1</v>
      </c>
      <c r="V17" s="38" t="s">
        <v>1625</v>
      </c>
    </row>
    <row r="18" spans="1:22" ht="409.5" hidden="1">
      <c r="A18">
        <v>42</v>
      </c>
      <c r="B18"/>
      <c r="C18" s="38" t="s">
        <v>101</v>
      </c>
      <c r="D18" s="38" t="s">
        <v>1538</v>
      </c>
      <c r="E18" s="38" t="str">
        <f>'Final_List-Alerts'!A42</f>
        <v>ALL - MAWM - Unprocessed or Failed Ship Confirms Last 24 Hours</v>
      </c>
      <c r="F18" s="38" t="s">
        <v>1649</v>
      </c>
      <c r="G18" s="38" t="s">
        <v>1548</v>
      </c>
      <c r="H18" s="38" t="s">
        <v>1183</v>
      </c>
      <c r="I18" s="38" t="s">
        <v>1540</v>
      </c>
      <c r="J18" s="38" t="s">
        <v>227</v>
      </c>
      <c r="K18" s="38" t="s">
        <v>1646</v>
      </c>
      <c r="L18" s="38" t="s">
        <v>1646</v>
      </c>
      <c r="M18" s="38" t="s">
        <v>1646</v>
      </c>
      <c r="N18" s="38" t="s">
        <v>1646</v>
      </c>
      <c r="O18" s="38"/>
      <c r="P18" s="196"/>
      <c r="Q18" s="196"/>
      <c r="R18" s="196"/>
      <c r="S18" s="196">
        <v>1</v>
      </c>
      <c r="V18" s="38"/>
    </row>
    <row r="19" spans="1:22" ht="288" hidden="1">
      <c r="A19">
        <v>41</v>
      </c>
      <c r="B19"/>
      <c r="C19" s="38" t="s">
        <v>101</v>
      </c>
      <c r="D19" s="38" t="s">
        <v>341</v>
      </c>
      <c r="E19" s="38" t="str">
        <f>'Final_List-Alerts'!A41</f>
        <v>ALL - MAWM - PIX Specification Found &gt; 1 Hour</v>
      </c>
      <c r="F19" s="38" t="s">
        <v>1728</v>
      </c>
      <c r="G19" t="s">
        <v>1727</v>
      </c>
      <c r="H19" s="38" t="s">
        <v>1183</v>
      </c>
      <c r="I19" s="38" t="s">
        <v>1540</v>
      </c>
      <c r="J19" s="38" t="s">
        <v>1726</v>
      </c>
      <c r="K19" s="38" t="s">
        <v>1592</v>
      </c>
      <c r="L19" s="38" t="s">
        <v>1543</v>
      </c>
      <c r="M19" s="38" t="s">
        <v>1730</v>
      </c>
      <c r="N19" s="38" t="s">
        <v>1729</v>
      </c>
      <c r="O19" s="38"/>
    </row>
    <row r="20" spans="1:22" ht="409.5" hidden="1">
      <c r="A20">
        <v>46</v>
      </c>
      <c r="B20"/>
      <c r="C20" s="38" t="s">
        <v>101</v>
      </c>
      <c r="D20" s="38" t="s">
        <v>1538</v>
      </c>
      <c r="E20" s="38" t="str">
        <f>'Final_List-Alerts'!A46</f>
        <v>MATM - SPO Import Failure</v>
      </c>
      <c r="F20" s="38" t="s">
        <v>1731</v>
      </c>
      <c r="G20" t="s">
        <v>1727</v>
      </c>
      <c r="H20" s="38" t="s">
        <v>1183</v>
      </c>
      <c r="I20" s="38" t="s">
        <v>1540</v>
      </c>
      <c r="J20" s="38" t="s">
        <v>1732</v>
      </c>
      <c r="K20" s="38" t="s">
        <v>1592</v>
      </c>
      <c r="L20" s="38" t="s">
        <v>1543</v>
      </c>
      <c r="M20" s="38" t="s">
        <v>1733</v>
      </c>
      <c r="N20" s="38" t="s">
        <v>1734</v>
      </c>
    </row>
    <row r="21" spans="1:22" ht="273.5" hidden="1">
      <c r="A21">
        <v>71</v>
      </c>
      <c r="B21"/>
      <c r="C21" s="38" t="s">
        <v>77</v>
      </c>
      <c r="D21" s="38" t="s">
        <v>1538</v>
      </c>
      <c r="E21" s="38" t="str">
        <f>'Final_List-Alerts'!A71</f>
        <v>SHIPPED OLPN W/ CONSOLIDATION LOCATION ASSIGNMENT</v>
      </c>
      <c r="F21" s="38" t="s">
        <v>1626</v>
      </c>
      <c r="G21" t="s">
        <v>1548</v>
      </c>
      <c r="H21" s="38" t="s">
        <v>1183</v>
      </c>
      <c r="I21" t="s">
        <v>1540</v>
      </c>
      <c r="J21" s="38" t="s">
        <v>1627</v>
      </c>
      <c r="K21" s="38" t="s">
        <v>1592</v>
      </c>
      <c r="L21" s="38" t="s">
        <v>1543</v>
      </c>
      <c r="M21" s="38" t="s">
        <v>1629</v>
      </c>
      <c r="N21" s="38" t="s">
        <v>1628</v>
      </c>
      <c r="O21" s="38"/>
      <c r="P21" s="196"/>
      <c r="Q21" s="196"/>
      <c r="R21" s="196"/>
      <c r="S21" s="196">
        <v>1</v>
      </c>
      <c r="V21" s="38" t="s">
        <v>1630</v>
      </c>
    </row>
    <row r="22" spans="1:22" s="204" customFormat="1" ht="409.5" hidden="1">
      <c r="A22">
        <v>72</v>
      </c>
      <c r="B22"/>
      <c r="C22" s="38" t="s">
        <v>77</v>
      </c>
      <c r="D22" s="38" t="s">
        <v>1538</v>
      </c>
      <c r="E22" s="38" t="str">
        <f>'Final_List-Alerts'!A72</f>
        <v>TEMPORARY RESERVE LOCATIONS W/ ASSIGNMENTS, BUT NO INVENTORY</v>
      </c>
      <c r="F22" s="38" t="s">
        <v>1631</v>
      </c>
      <c r="G22" t="s">
        <v>1548</v>
      </c>
      <c r="H22" s="38" t="s">
        <v>1183</v>
      </c>
      <c r="I22" t="s">
        <v>1540</v>
      </c>
      <c r="J22" s="38" t="s">
        <v>1632</v>
      </c>
      <c r="K22" s="38" t="s">
        <v>1542</v>
      </c>
      <c r="L22" s="38" t="s">
        <v>1543</v>
      </c>
      <c r="M22" s="38" t="s">
        <v>1633</v>
      </c>
      <c r="N22" s="38" t="s">
        <v>1634</v>
      </c>
      <c r="O22" s="38"/>
      <c r="P22" s="196"/>
      <c r="Q22" s="196"/>
      <c r="R22" s="196"/>
      <c r="S22" s="196">
        <v>1</v>
      </c>
      <c r="U22"/>
      <c r="V22" s="38"/>
    </row>
    <row r="23" spans="1:22" ht="409.5" hidden="1">
      <c r="A23" s="38">
        <v>73</v>
      </c>
      <c r="B23"/>
      <c r="C23" s="38" t="s">
        <v>77</v>
      </c>
      <c r="D23" s="38" t="s">
        <v>1538</v>
      </c>
      <c r="E23" s="38" t="str">
        <f>'Final_List-Alerts'!A73</f>
        <v>TEMPORARY RESERVE LOCATIONS W/ INVENTORY, BUT NO ASSIGNMENTS</v>
      </c>
      <c r="F23" s="38" t="s">
        <v>1635</v>
      </c>
      <c r="G23" t="s">
        <v>1548</v>
      </c>
      <c r="H23" s="38" t="s">
        <v>1183</v>
      </c>
      <c r="I23" t="s">
        <v>1540</v>
      </c>
      <c r="J23" s="38" t="s">
        <v>1297</v>
      </c>
      <c r="K23" s="38" t="s">
        <v>1542</v>
      </c>
      <c r="L23" s="38" t="s">
        <v>1543</v>
      </c>
      <c r="M23" s="38" t="s">
        <v>1636</v>
      </c>
      <c r="N23" s="38" t="s">
        <v>1637</v>
      </c>
      <c r="O23" s="38"/>
      <c r="P23" s="196"/>
      <c r="Q23" s="196"/>
      <c r="R23" s="196"/>
      <c r="S23" s="196">
        <v>1</v>
      </c>
      <c r="V23" s="38"/>
    </row>
    <row r="24" spans="1:22" ht="403.25" hidden="1">
      <c r="A24">
        <v>74</v>
      </c>
      <c r="B24"/>
      <c r="C24" s="38" t="s">
        <v>77</v>
      </c>
      <c r="D24" s="38" t="s">
        <v>1538</v>
      </c>
      <c r="E24" s="38" t="str">
        <f>'Final_List-Alerts'!A74</f>
        <v>POR - MAWM - Duplicate PIX's in Middleware WMS</v>
      </c>
      <c r="F24" s="38" t="s">
        <v>1638</v>
      </c>
      <c r="G24" t="s">
        <v>1548</v>
      </c>
      <c r="H24" s="38" t="s">
        <v>1183</v>
      </c>
      <c r="I24" t="s">
        <v>1540</v>
      </c>
      <c r="J24" s="38" t="s">
        <v>216</v>
      </c>
      <c r="K24" s="38" t="s">
        <v>1542</v>
      </c>
      <c r="L24" s="38" t="s">
        <v>1543</v>
      </c>
      <c r="M24" s="38" t="s">
        <v>1554</v>
      </c>
      <c r="O24" s="38"/>
      <c r="P24" s="196"/>
      <c r="Q24" s="196"/>
      <c r="R24" s="196"/>
      <c r="S24" s="196">
        <v>1</v>
      </c>
      <c r="V24" s="38"/>
    </row>
    <row r="25" spans="1:22" ht="380">
      <c r="A25" s="205">
        <v>75</v>
      </c>
      <c r="B25" s="204"/>
      <c r="C25" s="205" t="s">
        <v>77</v>
      </c>
      <c r="D25" s="205" t="s">
        <v>1538</v>
      </c>
      <c r="E25" s="205" t="str">
        <f>'Final_List-Alerts'!A75</f>
        <v>ALL - MAWM - Inventory Adjustment PIX w/ Null PO Line</v>
      </c>
      <c r="F25" s="205" t="s">
        <v>1639</v>
      </c>
      <c r="G25" s="204" t="s">
        <v>184</v>
      </c>
      <c r="H25" s="205" t="s">
        <v>183</v>
      </c>
      <c r="I25" s="204" t="s">
        <v>1602</v>
      </c>
      <c r="J25" s="205" t="s">
        <v>1640</v>
      </c>
      <c r="K25" s="205" t="s">
        <v>1542</v>
      </c>
      <c r="L25" s="205" t="s">
        <v>1543</v>
      </c>
      <c r="M25" s="205" t="s">
        <v>1641</v>
      </c>
      <c r="N25" s="205" t="s">
        <v>1642</v>
      </c>
      <c r="O25" s="205"/>
      <c r="P25" s="206">
        <v>1</v>
      </c>
      <c r="Q25" s="206"/>
      <c r="R25" s="206"/>
      <c r="S25" s="206">
        <v>1</v>
      </c>
      <c r="U25" s="204"/>
      <c r="V25" s="205" t="s">
        <v>1643</v>
      </c>
    </row>
    <row r="26" spans="1:22" ht="244.75" hidden="1">
      <c r="A26">
        <v>76</v>
      </c>
      <c r="B26"/>
      <c r="C26" s="38" t="s">
        <v>77</v>
      </c>
      <c r="D26" s="38" t="s">
        <v>1538</v>
      </c>
      <c r="E26" s="38" t="str">
        <f>'Final_List-Alerts'!A76</f>
        <v>ALL - MAWM - In Packing oLPNS &gt; 5 Minutes</v>
      </c>
      <c r="F26" s="38" t="s">
        <v>1644</v>
      </c>
      <c r="G26" s="38" t="s">
        <v>1548</v>
      </c>
      <c r="H26" s="38" t="s">
        <v>1183</v>
      </c>
      <c r="I26" t="s">
        <v>1540</v>
      </c>
      <c r="J26" s="38" t="s">
        <v>1645</v>
      </c>
      <c r="K26" s="38" t="s">
        <v>1646</v>
      </c>
      <c r="L26" s="38" t="s">
        <v>1646</v>
      </c>
      <c r="M26" s="38" t="s">
        <v>1646</v>
      </c>
      <c r="N26" s="38" t="s">
        <v>1646</v>
      </c>
      <c r="O26" s="38"/>
      <c r="P26" s="196"/>
      <c r="Q26" s="196"/>
      <c r="R26" s="196"/>
      <c r="S26" s="196">
        <v>1</v>
      </c>
      <c r="V26" s="38"/>
    </row>
    <row r="27" spans="1:22" ht="409.5" hidden="1">
      <c r="A27">
        <v>77</v>
      </c>
      <c r="B27"/>
      <c r="C27" s="38" t="s">
        <v>77</v>
      </c>
      <c r="D27" s="38" t="s">
        <v>1538</v>
      </c>
      <c r="E27" s="38" t="str">
        <f>'Final_List-Alerts'!A77</f>
        <v>ALL - MAWM - Loaded Shipments w/ no Ship Confirm &gt; 6 hours</v>
      </c>
      <c r="F27" s="38" t="s">
        <v>540</v>
      </c>
      <c r="G27" s="38" t="s">
        <v>1548</v>
      </c>
      <c r="H27" s="38" t="s">
        <v>1183</v>
      </c>
      <c r="I27" s="38" t="s">
        <v>1540</v>
      </c>
      <c r="J27" s="38" t="s">
        <v>1735</v>
      </c>
      <c r="K27" s="38" t="s">
        <v>1646</v>
      </c>
      <c r="L27" s="38" t="s">
        <v>1646</v>
      </c>
      <c r="M27" s="38" t="s">
        <v>1646</v>
      </c>
      <c r="N27" s="38" t="s">
        <v>1646</v>
      </c>
      <c r="O27" s="38"/>
    </row>
    <row r="28" spans="1:22" ht="409.5" hidden="1">
      <c r="A28">
        <v>78</v>
      </c>
      <c r="B28"/>
      <c r="C28" s="38" t="s">
        <v>77</v>
      </c>
      <c r="D28" s="38" t="s">
        <v>1538</v>
      </c>
      <c r="E28" s="38" t="str">
        <f>'Final_List-Alerts'!A78</f>
        <v>ALL - MAWM - Putaway Task is Open but iLPN is Putaway</v>
      </c>
      <c r="F28" s="38" t="s">
        <v>1647</v>
      </c>
      <c r="G28" s="38" t="s">
        <v>1548</v>
      </c>
      <c r="H28" s="38" t="s">
        <v>1183</v>
      </c>
      <c r="I28" s="38" t="s">
        <v>1540</v>
      </c>
      <c r="J28" s="38" t="s">
        <v>223</v>
      </c>
      <c r="K28" s="38" t="s">
        <v>1646</v>
      </c>
      <c r="L28" s="38" t="s">
        <v>1646</v>
      </c>
      <c r="M28" s="38" t="s">
        <v>1646</v>
      </c>
      <c r="N28" s="38" t="s">
        <v>1646</v>
      </c>
      <c r="O28" s="38"/>
      <c r="P28" s="196"/>
      <c r="Q28" s="196"/>
      <c r="R28" s="196"/>
      <c r="S28" s="196">
        <v>1</v>
      </c>
      <c r="V28" s="38"/>
    </row>
    <row r="29" spans="1:22" ht="409.5" hidden="1">
      <c r="A29">
        <v>79</v>
      </c>
      <c r="B29"/>
      <c r="C29" s="38" t="s">
        <v>77</v>
      </c>
      <c r="D29" s="38" t="s">
        <v>1538</v>
      </c>
      <c r="E29" s="38" t="str">
        <f>'Final_List-Alerts'!A79</f>
        <v>ALL - MAWM - Task Completed or Cancelled w/ Open Task Details</v>
      </c>
      <c r="F29" s="38" t="s">
        <v>1736</v>
      </c>
      <c r="G29" s="38" t="s">
        <v>1548</v>
      </c>
      <c r="H29" s="38" t="s">
        <v>1183</v>
      </c>
      <c r="I29" s="38" t="s">
        <v>1540</v>
      </c>
      <c r="J29" s="38" t="s">
        <v>1737</v>
      </c>
      <c r="K29" s="38" t="s">
        <v>1646</v>
      </c>
      <c r="L29" s="38" t="s">
        <v>1646</v>
      </c>
      <c r="M29" s="38" t="s">
        <v>1646</v>
      </c>
      <c r="N29" s="38" t="s">
        <v>1646</v>
      </c>
      <c r="O29" s="38"/>
      <c r="P29" s="196"/>
      <c r="Q29" s="196"/>
      <c r="R29" s="196"/>
      <c r="S29" s="196"/>
      <c r="V29" s="38"/>
    </row>
    <row r="30" spans="1:22" ht="409.5" hidden="1">
      <c r="A30">
        <v>80</v>
      </c>
      <c r="B30"/>
      <c r="C30" s="38" t="s">
        <v>77</v>
      </c>
      <c r="D30" s="38" t="s">
        <v>1538</v>
      </c>
      <c r="E30" s="38" t="str">
        <f>'Final_List-Alerts'!A80</f>
        <v>ALL - MAWM - Task Open w/ Completed or Cancelled Task Details</v>
      </c>
      <c r="F30" s="38" t="s">
        <v>1738</v>
      </c>
      <c r="G30" s="38" t="s">
        <v>1548</v>
      </c>
      <c r="H30" s="38" t="s">
        <v>1183</v>
      </c>
      <c r="I30" s="38" t="s">
        <v>1540</v>
      </c>
      <c r="J30" s="201" t="s">
        <v>225</v>
      </c>
      <c r="K30" s="38" t="s">
        <v>1646</v>
      </c>
      <c r="L30" s="38" t="s">
        <v>1646</v>
      </c>
      <c r="M30" s="38" t="s">
        <v>1646</v>
      </c>
      <c r="N30" s="38" t="s">
        <v>1646</v>
      </c>
      <c r="O30" s="38"/>
      <c r="P30" s="196"/>
      <c r="Q30" s="196"/>
      <c r="R30" s="196"/>
      <c r="S30" s="196"/>
      <c r="V30" s="38"/>
    </row>
    <row r="31" spans="1:22" ht="409.5" hidden="1">
      <c r="A31">
        <v>81</v>
      </c>
      <c r="B31"/>
      <c r="C31" s="38" t="s">
        <v>77</v>
      </c>
      <c r="D31" s="38" t="s">
        <v>1538</v>
      </c>
      <c r="E31" s="38" t="str">
        <f>'Final_List-Alerts'!A81</f>
        <v>ALL - MAWM - Task ‘In Progress’ w/ Completed or Cancelled Task Details</v>
      </c>
      <c r="F31" s="38" t="s">
        <v>1648</v>
      </c>
      <c r="G31" s="38" t="s">
        <v>1548</v>
      </c>
      <c r="H31" s="38" t="s">
        <v>1183</v>
      </c>
      <c r="I31" s="38" t="s">
        <v>1540</v>
      </c>
      <c r="J31" s="38" t="s">
        <v>226</v>
      </c>
      <c r="K31" s="38" t="s">
        <v>1646</v>
      </c>
      <c r="L31" s="38" t="s">
        <v>1646</v>
      </c>
      <c r="M31" s="38" t="s">
        <v>1646</v>
      </c>
      <c r="N31" s="38" t="s">
        <v>1646</v>
      </c>
      <c r="O31" s="38"/>
      <c r="P31" s="196"/>
      <c r="Q31" s="196"/>
      <c r="R31" s="196"/>
      <c r="S31" s="196">
        <v>1</v>
      </c>
      <c r="V31" s="38"/>
    </row>
    <row r="75" spans="1:14" ht="34">
      <c r="A75" s="197" t="s">
        <v>1657</v>
      </c>
      <c r="B75" s="197" t="s">
        <v>56</v>
      </c>
      <c r="C75" s="197" t="s">
        <v>1528</v>
      </c>
      <c r="D75" s="197" t="s">
        <v>1529</v>
      </c>
      <c r="E75" s="197" t="s">
        <v>1530</v>
      </c>
      <c r="F75" s="197" t="s">
        <v>1531</v>
      </c>
      <c r="G75" s="197" t="s">
        <v>1532</v>
      </c>
      <c r="H75" s="198" t="s">
        <v>60</v>
      </c>
      <c r="I75" s="197" t="s">
        <v>1533</v>
      </c>
      <c r="J75" s="197" t="s">
        <v>1534</v>
      </c>
      <c r="K75" s="197" t="s">
        <v>1535</v>
      </c>
      <c r="L75" s="197" t="s">
        <v>1536</v>
      </c>
      <c r="M75" s="197" t="s">
        <v>1537</v>
      </c>
      <c r="N75" s="197" t="s">
        <v>28</v>
      </c>
    </row>
    <row r="76" spans="1:14" ht="409.6">
      <c r="A76" s="38">
        <v>1</v>
      </c>
      <c r="B76" s="38" t="s">
        <v>101</v>
      </c>
      <c r="C76" s="38" t="s">
        <v>1538</v>
      </c>
      <c r="D76" s="196" t="s">
        <v>124</v>
      </c>
      <c r="E76" s="38" t="s">
        <v>988</v>
      </c>
      <c r="F76" s="38" t="s">
        <v>184</v>
      </c>
      <c r="G76" s="38" t="s">
        <v>183</v>
      </c>
      <c r="H76" t="s">
        <v>1602</v>
      </c>
      <c r="I76" s="38" t="s">
        <v>1658</v>
      </c>
      <c r="J76" s="38" t="s">
        <v>1542</v>
      </c>
      <c r="K76" s="38" t="s">
        <v>1543</v>
      </c>
      <c r="L76" s="38" t="s">
        <v>1659</v>
      </c>
      <c r="M76" s="38" t="s">
        <v>1612</v>
      </c>
      <c r="N76" s="38" t="s">
        <v>1660</v>
      </c>
    </row>
    <row r="77" spans="1:14" ht="409.6">
      <c r="A77">
        <v>2</v>
      </c>
      <c r="B77" s="38" t="s">
        <v>101</v>
      </c>
      <c r="C77" s="38" t="s">
        <v>1538</v>
      </c>
      <c r="D77" s="196" t="s">
        <v>133</v>
      </c>
      <c r="E77" s="38" t="s">
        <v>1661</v>
      </c>
      <c r="F77" s="38" t="s">
        <v>1548</v>
      </c>
      <c r="G77" s="38" t="s">
        <v>1183</v>
      </c>
      <c r="H77" t="s">
        <v>1540</v>
      </c>
      <c r="I77" s="38" t="s">
        <v>1662</v>
      </c>
      <c r="J77" s="38" t="s">
        <v>1663</v>
      </c>
      <c r="K77" s="38" t="s">
        <v>1543</v>
      </c>
      <c r="L77" s="38" t="s">
        <v>1554</v>
      </c>
      <c r="M77" s="38" t="s">
        <v>1664</v>
      </c>
      <c r="N77" s="38" t="s">
        <v>1665</v>
      </c>
    </row>
    <row r="92" spans="1:19">
      <c r="A92" s="235" t="s">
        <v>1720</v>
      </c>
      <c r="B92" s="235"/>
    </row>
    <row r="93" spans="1:19" ht="208">
      <c r="A93" s="232">
        <v>11</v>
      </c>
      <c r="B93" s="233" t="s">
        <v>1538</v>
      </c>
      <c r="C93" s="233" t="s">
        <v>105</v>
      </c>
      <c r="D93" s="233" t="s">
        <v>1573</v>
      </c>
      <c r="E93" s="233" t="s">
        <v>1574</v>
      </c>
      <c r="F93" s="233" t="s">
        <v>1575</v>
      </c>
      <c r="G93" s="234" t="s">
        <v>1575</v>
      </c>
      <c r="H93" s="233" t="s">
        <v>1576</v>
      </c>
      <c r="I93" s="233" t="s">
        <v>1542</v>
      </c>
      <c r="J93" s="233" t="s">
        <v>1543</v>
      </c>
      <c r="K93" s="233" t="s">
        <v>1577</v>
      </c>
      <c r="L93" s="233" t="s">
        <v>1578</v>
      </c>
      <c r="M93" s="233">
        <v>1</v>
      </c>
      <c r="N93" s="233"/>
      <c r="O93" s="233"/>
      <c r="P93" s="233">
        <v>1</v>
      </c>
      <c r="Q93" s="233"/>
      <c r="R93" s="234"/>
      <c r="S93" s="233" t="s">
        <v>1575</v>
      </c>
    </row>
    <row r="94" spans="1:19" ht="208">
      <c r="A94" s="232">
        <v>11</v>
      </c>
      <c r="B94" s="233" t="s">
        <v>1538</v>
      </c>
      <c r="C94" s="233" t="s">
        <v>109</v>
      </c>
      <c r="D94" s="233" t="s">
        <v>1579</v>
      </c>
      <c r="E94" s="233" t="s">
        <v>1580</v>
      </c>
      <c r="F94" s="233" t="s">
        <v>1575</v>
      </c>
      <c r="G94" s="234" t="s">
        <v>1575</v>
      </c>
      <c r="H94" s="233" t="s">
        <v>1581</v>
      </c>
      <c r="I94" s="233" t="s">
        <v>1542</v>
      </c>
      <c r="J94" s="233" t="s">
        <v>1543</v>
      </c>
      <c r="K94" s="233" t="s">
        <v>1577</v>
      </c>
      <c r="L94" s="233" t="s">
        <v>1582</v>
      </c>
      <c r="M94" s="233">
        <v>1</v>
      </c>
      <c r="N94" s="233"/>
      <c r="O94" s="233"/>
      <c r="P94" s="233">
        <v>1</v>
      </c>
      <c r="Q94" s="233"/>
      <c r="R94" s="234"/>
      <c r="S94" s="233" t="s">
        <v>1575</v>
      </c>
    </row>
    <row r="95" spans="1:19" ht="409.6">
      <c r="A95" s="232">
        <v>12</v>
      </c>
      <c r="B95" s="233" t="s">
        <v>1538</v>
      </c>
      <c r="C95" s="233" t="s">
        <v>116</v>
      </c>
      <c r="D95" s="233" t="s">
        <v>1583</v>
      </c>
      <c r="E95" s="233" t="s">
        <v>1584</v>
      </c>
      <c r="F95" s="233" t="s">
        <v>1575</v>
      </c>
      <c r="G95" s="234" t="s">
        <v>1575</v>
      </c>
      <c r="H95" s="233" t="s">
        <v>1585</v>
      </c>
      <c r="I95" s="233" t="s">
        <v>1586</v>
      </c>
      <c r="J95" s="233" t="s">
        <v>1543</v>
      </c>
      <c r="K95" s="233" t="s">
        <v>1587</v>
      </c>
      <c r="L95" s="233" t="s">
        <v>1588</v>
      </c>
      <c r="M95" s="233">
        <v>1</v>
      </c>
      <c r="N95" s="233"/>
      <c r="O95" s="233"/>
      <c r="P95" s="233">
        <v>1</v>
      </c>
      <c r="Q95" s="233"/>
      <c r="R95" s="234"/>
      <c r="S95" s="233" t="s">
        <v>1589</v>
      </c>
    </row>
    <row r="109" spans="1:14" ht="256">
      <c r="A109">
        <v>1</v>
      </c>
      <c r="B109" s="38" t="s">
        <v>69</v>
      </c>
      <c r="C109" s="38" t="s">
        <v>1650</v>
      </c>
      <c r="D109" s="38" t="s">
        <v>90</v>
      </c>
      <c r="E109" s="38" t="s">
        <v>1651</v>
      </c>
      <c r="F109" s="38" t="s">
        <v>1652</v>
      </c>
      <c r="G109" s="38" t="s">
        <v>183</v>
      </c>
      <c r="H109" t="s">
        <v>1653</v>
      </c>
      <c r="I109" s="38" t="s">
        <v>1654</v>
      </c>
      <c r="K109" s="38" t="s">
        <v>1543</v>
      </c>
      <c r="L109" s="38" t="s">
        <v>1554</v>
      </c>
      <c r="M109" s="38" t="s">
        <v>1655</v>
      </c>
      <c r="N109" s="38" t="s">
        <v>1656</v>
      </c>
    </row>
  </sheetData>
  <autoFilter ref="B1:U31" xr:uid="{F42BD6B3-ABAD-41C6-A5CA-CB7783A0CB85}">
    <filterColumn colId="14">
      <customFilters>
        <customFilter operator="notEqual" val=" "/>
      </customFilters>
    </filterColumn>
  </autoFilter>
  <mergeCells count="1">
    <mergeCell ref="A92:B9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F2E5B-45C5-4B20-9530-EADB977201FF}">
  <dimension ref="A1:N22"/>
  <sheetViews>
    <sheetView topLeftCell="A6" workbookViewId="0">
      <selection activeCell="B10" sqref="B10"/>
    </sheetView>
    <sheetView workbookViewId="1"/>
  </sheetViews>
  <sheetFormatPr baseColWidth="10" defaultColWidth="8.83203125" defaultRowHeight="15" customHeight="1"/>
  <cols>
    <col min="2" max="2" width="62.33203125" customWidth="1"/>
    <col min="3" max="3" width="68.83203125" style="38" customWidth="1"/>
    <col min="4" max="4" width="55.33203125" customWidth="1"/>
    <col min="5" max="5" width="35" customWidth="1"/>
    <col min="6" max="6" width="17.5" customWidth="1"/>
    <col min="7" max="7" width="23" customWidth="1"/>
    <col min="8" max="8" width="29.1640625" customWidth="1"/>
    <col min="9" max="9" width="33.83203125" style="38" customWidth="1"/>
    <col min="10" max="10" width="50.1640625" bestFit="1" customWidth="1"/>
  </cols>
  <sheetData>
    <row r="1" spans="1:14" ht="16">
      <c r="A1" t="s">
        <v>106</v>
      </c>
      <c r="B1" t="s">
        <v>1666</v>
      </c>
      <c r="C1" s="38" t="s">
        <v>1667</v>
      </c>
      <c r="D1" s="38" t="s">
        <v>1668</v>
      </c>
      <c r="E1" s="38" t="s">
        <v>1533</v>
      </c>
      <c r="F1" s="38" t="s">
        <v>1534</v>
      </c>
      <c r="G1" s="38" t="s">
        <v>1535</v>
      </c>
      <c r="H1" t="s">
        <v>1536</v>
      </c>
      <c r="I1" s="38" t="s">
        <v>1537</v>
      </c>
      <c r="J1" s="38" t="s">
        <v>28</v>
      </c>
      <c r="K1" t="s">
        <v>1669</v>
      </c>
      <c r="L1" t="s">
        <v>246</v>
      </c>
      <c r="M1" t="s">
        <v>1670</v>
      </c>
      <c r="N1" t="s">
        <v>245</v>
      </c>
    </row>
    <row r="2" spans="1:14" ht="335">
      <c r="A2">
        <v>1</v>
      </c>
      <c r="B2" t="s">
        <v>76</v>
      </c>
      <c r="C2" s="38" t="s">
        <v>1671</v>
      </c>
      <c r="D2" t="s">
        <v>1672</v>
      </c>
      <c r="E2" t="s">
        <v>1673</v>
      </c>
      <c r="F2" s="38" t="s">
        <v>1542</v>
      </c>
      <c r="G2" t="s">
        <v>1543</v>
      </c>
      <c r="H2" s="38" t="s">
        <v>1554</v>
      </c>
      <c r="I2" s="38" t="s">
        <v>1674</v>
      </c>
      <c r="J2" s="41" t="s">
        <v>1722</v>
      </c>
      <c r="L2">
        <v>1</v>
      </c>
      <c r="M2">
        <v>1</v>
      </c>
      <c r="N2">
        <v>1</v>
      </c>
    </row>
    <row r="3" spans="1:14" ht="170.25" customHeight="1">
      <c r="A3">
        <v>2</v>
      </c>
      <c r="B3" t="s">
        <v>84</v>
      </c>
      <c r="C3" s="38" t="s">
        <v>1573</v>
      </c>
      <c r="D3" s="195" t="s">
        <v>1675</v>
      </c>
      <c r="E3" s="196" t="s">
        <v>1676</v>
      </c>
      <c r="F3" s="38" t="s">
        <v>1542</v>
      </c>
      <c r="G3" t="s">
        <v>1543</v>
      </c>
      <c r="H3" s="38" t="s">
        <v>1577</v>
      </c>
      <c r="I3" s="38" t="s">
        <v>1677</v>
      </c>
      <c r="L3">
        <v>1</v>
      </c>
      <c r="M3">
        <v>1</v>
      </c>
      <c r="N3">
        <v>1</v>
      </c>
    </row>
    <row r="4" spans="1:14" ht="176">
      <c r="A4">
        <v>3</v>
      </c>
      <c r="B4" t="s">
        <v>212</v>
      </c>
      <c r="C4" s="38" t="s">
        <v>1579</v>
      </c>
      <c r="D4" t="s">
        <v>1678</v>
      </c>
      <c r="E4" s="38" t="s">
        <v>1679</v>
      </c>
      <c r="F4" s="38" t="s">
        <v>1542</v>
      </c>
      <c r="G4" t="s">
        <v>1543</v>
      </c>
      <c r="H4" s="38" t="s">
        <v>1577</v>
      </c>
      <c r="I4" s="38" t="s">
        <v>1582</v>
      </c>
      <c r="J4" s="38" t="s">
        <v>1680</v>
      </c>
      <c r="L4">
        <v>1</v>
      </c>
      <c r="M4">
        <v>1</v>
      </c>
      <c r="N4">
        <v>1</v>
      </c>
    </row>
    <row r="5" spans="1:14" s="38" customFormat="1" ht="208">
      <c r="A5" s="38">
        <v>4</v>
      </c>
      <c r="B5" t="s">
        <v>88</v>
      </c>
      <c r="C5" s="38" t="s">
        <v>1681</v>
      </c>
      <c r="D5" s="38" t="s">
        <v>1682</v>
      </c>
      <c r="E5" s="38" t="s">
        <v>1683</v>
      </c>
      <c r="F5" s="38" t="s">
        <v>1684</v>
      </c>
      <c r="G5" s="38" t="s">
        <v>1543</v>
      </c>
      <c r="H5" s="38" t="s">
        <v>1685</v>
      </c>
      <c r="I5" s="38" t="s">
        <v>1686</v>
      </c>
      <c r="J5" s="41" t="s">
        <v>1721</v>
      </c>
      <c r="L5" s="38">
        <v>1</v>
      </c>
      <c r="M5" s="38">
        <v>1</v>
      </c>
      <c r="N5" s="38">
        <v>1</v>
      </c>
    </row>
    <row r="6" spans="1:14" ht="208">
      <c r="A6">
        <v>5</v>
      </c>
      <c r="B6" t="s">
        <v>86</v>
      </c>
      <c r="C6" s="38" t="s">
        <v>1687</v>
      </c>
      <c r="D6" t="s">
        <v>1672</v>
      </c>
      <c r="E6" s="199" t="s">
        <v>1688</v>
      </c>
      <c r="F6" s="38" t="s">
        <v>1689</v>
      </c>
      <c r="G6" t="s">
        <v>1543</v>
      </c>
      <c r="H6" s="38" t="s">
        <v>1587</v>
      </c>
      <c r="I6" s="38" t="s">
        <v>1690</v>
      </c>
      <c r="J6" s="41" t="s">
        <v>1724</v>
      </c>
      <c r="L6">
        <v>1</v>
      </c>
      <c r="M6">
        <v>1</v>
      </c>
      <c r="N6">
        <v>1</v>
      </c>
    </row>
    <row r="7" spans="1:14" ht="96">
      <c r="A7">
        <v>6</v>
      </c>
      <c r="B7" t="s">
        <v>96</v>
      </c>
      <c r="C7" s="38" t="s">
        <v>1691</v>
      </c>
      <c r="D7" t="s">
        <v>1692</v>
      </c>
      <c r="E7" t="s">
        <v>1693</v>
      </c>
      <c r="F7" s="38" t="s">
        <v>1694</v>
      </c>
      <c r="G7" t="s">
        <v>1543</v>
      </c>
      <c r="H7" s="38" t="s">
        <v>1554</v>
      </c>
      <c r="I7" s="38" t="s">
        <v>1695</v>
      </c>
      <c r="J7" s="236" t="s">
        <v>1723</v>
      </c>
      <c r="K7">
        <v>1</v>
      </c>
      <c r="M7">
        <v>1</v>
      </c>
      <c r="N7">
        <v>1</v>
      </c>
    </row>
    <row r="8" spans="1:14" ht="128">
      <c r="A8">
        <v>7</v>
      </c>
      <c r="B8" t="s">
        <v>142</v>
      </c>
      <c r="C8" s="38" t="s">
        <v>1696</v>
      </c>
      <c r="D8" t="s">
        <v>1697</v>
      </c>
      <c r="E8" s="38" t="s">
        <v>1698</v>
      </c>
      <c r="F8" t="s">
        <v>1699</v>
      </c>
      <c r="G8" t="s">
        <v>1543</v>
      </c>
      <c r="H8" s="38" t="s">
        <v>1554</v>
      </c>
      <c r="I8" s="38" t="s">
        <v>1700</v>
      </c>
      <c r="J8" s="41" t="s">
        <v>1701</v>
      </c>
      <c r="K8">
        <v>1</v>
      </c>
      <c r="M8">
        <v>1</v>
      </c>
      <c r="N8">
        <v>1</v>
      </c>
    </row>
    <row r="9" spans="1:14" ht="224">
      <c r="A9">
        <v>8</v>
      </c>
      <c r="B9" t="s">
        <v>151</v>
      </c>
      <c r="C9" s="38" t="s">
        <v>1702</v>
      </c>
      <c r="D9" t="s">
        <v>1703</v>
      </c>
      <c r="E9" s="199" t="s">
        <v>1704</v>
      </c>
      <c r="F9" s="38" t="s">
        <v>1542</v>
      </c>
      <c r="G9" t="s">
        <v>1543</v>
      </c>
      <c r="H9" s="38" t="s">
        <v>1705</v>
      </c>
      <c r="I9" s="38" t="s">
        <v>1706</v>
      </c>
      <c r="J9" s="38" t="s">
        <v>1707</v>
      </c>
      <c r="K9">
        <v>1</v>
      </c>
      <c r="M9">
        <v>1</v>
      </c>
      <c r="N9">
        <v>1</v>
      </c>
    </row>
    <row r="10" spans="1:14" ht="176">
      <c r="A10">
        <v>9</v>
      </c>
      <c r="B10" t="s">
        <v>209</v>
      </c>
      <c r="C10" s="38" t="s">
        <v>1708</v>
      </c>
      <c r="D10" t="s">
        <v>1709</v>
      </c>
      <c r="E10" s="38" t="s">
        <v>1710</v>
      </c>
      <c r="F10" s="38" t="s">
        <v>1542</v>
      </c>
      <c r="G10" t="s">
        <v>1543</v>
      </c>
      <c r="H10" s="38" t="s">
        <v>1554</v>
      </c>
      <c r="I10" s="38" t="s">
        <v>1711</v>
      </c>
      <c r="J10" s="41" t="s">
        <v>1740</v>
      </c>
      <c r="L10">
        <v>1</v>
      </c>
      <c r="M10">
        <v>1</v>
      </c>
      <c r="N10">
        <v>1</v>
      </c>
    </row>
    <row r="11" spans="1:14"/>
    <row r="12" spans="1:14"/>
    <row r="13" spans="1:14" ht="16">
      <c r="B13" s="202" t="s">
        <v>55</v>
      </c>
      <c r="C13" s="203" t="s">
        <v>1712</v>
      </c>
    </row>
    <row r="14" spans="1:14" ht="15" customHeight="1">
      <c r="B14" t="str">
        <f t="shared" ref="B14:B22" si="0">B2</f>
        <v>ALPHA ASN ERROR</v>
      </c>
      <c r="C14" t="str">
        <f t="shared" ref="C14:C22" si="1">D2</f>
        <v xml:space="preserve">"/splunk/FTP/Alpha/asn/abq_asnhdr_" + file_date + ".txt" </v>
      </c>
    </row>
    <row r="15" spans="1:14" ht="15" customHeight="1">
      <c r="B15" t="str">
        <f t="shared" si="0"/>
        <v>ALPHA OPEN ADJUSTMENTS &gt; 35DAYS</v>
      </c>
      <c r="C15" t="str">
        <f t="shared" si="1"/>
        <v>"/splunk/FTP/Alpha/adj/atl_adjtrx_" + file_date + ".txt"</v>
      </c>
    </row>
    <row r="16" spans="1:14" ht="15" customHeight="1">
      <c r="B16" t="str">
        <f t="shared" si="0"/>
        <v>ALPHA OPEN ADJUSTMENTS &gt; 40 DAYS</v>
      </c>
      <c r="C16" t="str">
        <f t="shared" si="1"/>
        <v>"/splunk/FTP/Alpha/adj/laf_adjtrx_" + file_date + ".txt"</v>
      </c>
    </row>
    <row r="17" spans="2:3" ht="15" customHeight="1">
      <c r="B17" t="str">
        <f t="shared" si="0"/>
        <v>ALPHA OPEN RETURNS</v>
      </c>
      <c r="C17" t="str">
        <f t="shared" si="1"/>
        <v>"/splunk/FTP/Alpha/ret/atl_retlpn_" + file_date + ".txt"</v>
      </c>
    </row>
    <row r="18" spans="2:3" ht="15" customHeight="1">
      <c r="B18" t="str">
        <f t="shared" si="0"/>
        <v>ALPHA OPEN/ERROR ASN</v>
      </c>
      <c r="C18" t="str">
        <f t="shared" si="1"/>
        <v xml:space="preserve">"/splunk/FTP/Alpha/asn/abq_asnhdr_" + file_date + ".txt" </v>
      </c>
    </row>
    <row r="19" spans="2:3" ht="15" customHeight="1">
      <c r="B19" t="str">
        <f t="shared" si="0"/>
        <v>ASW ASN ERROR</v>
      </c>
      <c r="C19" t="str">
        <f t="shared" si="1"/>
        <v>"/splunk/FTP/ASW/ASN_Errors_" + file_date + ".csv"</v>
      </c>
    </row>
    <row r="20" spans="2:3" ht="15" customHeight="1">
      <c r="B20" t="str">
        <f t="shared" si="0"/>
        <v>ASW OPEN RETURNS</v>
      </c>
      <c r="C20" t="str">
        <f t="shared" si="1"/>
        <v>"/splunk/FTP/ASW/Cust_Rtn_Pallets_" + file_date + ".csv"</v>
      </c>
    </row>
    <row r="21" spans="2:3" ht="15" customHeight="1">
      <c r="B21" t="str">
        <f t="shared" si="0"/>
        <v>ELP ASW -PENDING SHIPMENT QUANTITIES &gt; 1 WEEK</v>
      </c>
      <c r="C21" t="str">
        <f t="shared" si="1"/>
        <v>"/splunk/FTP/ASW/Pending_Shipments_Open_" + file_date + ".csv"</v>
      </c>
    </row>
    <row r="22" spans="2:3" ht="15" customHeight="1">
      <c r="B22" t="str">
        <f t="shared" si="0"/>
        <v>WMS- NEW Alpha Open Adjustments &gt; 45days</v>
      </c>
      <c r="C22" t="str">
        <f t="shared" si="1"/>
        <v>"/splunk/FTP/Alpha/adj/new_adjtrx_" + file_date + ".txt"</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5FAFF-FBE3-4EDC-AB21-D0B534023B1B}">
  <dimension ref="A2:B6"/>
  <sheetViews>
    <sheetView workbookViewId="0">
      <selection activeCell="B4" sqref="B4"/>
    </sheetView>
    <sheetView workbookViewId="1"/>
  </sheetViews>
  <sheetFormatPr baseColWidth="10" defaultColWidth="8.83203125" defaultRowHeight="15"/>
  <cols>
    <col min="1" max="1" width="75.5" customWidth="1"/>
    <col min="2" max="2" width="80.33203125" customWidth="1"/>
  </cols>
  <sheetData>
    <row r="2" spans="1:2">
      <c r="A2" t="s">
        <v>1713</v>
      </c>
      <c r="B2" t="s">
        <v>1714</v>
      </c>
    </row>
    <row r="3" spans="1:2">
      <c r="A3" t="s">
        <v>1715</v>
      </c>
      <c r="B3" t="s">
        <v>1716</v>
      </c>
    </row>
    <row r="5" spans="1:2">
      <c r="A5" t="s">
        <v>1717</v>
      </c>
    </row>
    <row r="6" spans="1:2">
      <c r="A6" t="s">
        <v>1718</v>
      </c>
      <c r="B6" t="s">
        <v>1719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4b65c1a-daac-4fd9-ba72-b6c84fe15ed4">
      <Terms xmlns="http://schemas.microsoft.com/office/infopath/2007/PartnerControls"/>
    </lcf76f155ced4ddcb4097134ff3c332f>
    <TaxCatchAll xmlns="bda85dd2-6cbf-49e9-8f64-78faf376eb4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977094627AF1147A308E96CD6855572" ma:contentTypeVersion="16" ma:contentTypeDescription="Create a new document." ma:contentTypeScope="" ma:versionID="385c3e00234168da4d1aac2c9e9aca32">
  <xsd:schema xmlns:xsd="http://www.w3.org/2001/XMLSchema" xmlns:xs="http://www.w3.org/2001/XMLSchema" xmlns:p="http://schemas.microsoft.com/office/2006/metadata/properties" xmlns:ns2="f4b65c1a-daac-4fd9-ba72-b6c84fe15ed4" xmlns:ns3="bda85dd2-6cbf-49e9-8f64-78faf376eb43" targetNamespace="http://schemas.microsoft.com/office/2006/metadata/properties" ma:root="true" ma:fieldsID="16a5d8217ce5de02597adbdd380d4920" ns2:_="" ns3:_="">
    <xsd:import namespace="f4b65c1a-daac-4fd9-ba72-b6c84fe15ed4"/>
    <xsd:import namespace="bda85dd2-6cbf-49e9-8f64-78faf376eb43"/>
    <xsd:element name="properties">
      <xsd:complexType>
        <xsd:sequence>
          <xsd:element name="documentManagement">
            <xsd:complexType>
              <xsd:all>
                <xsd:element ref="ns2:MediaServiceMetadata" minOccurs="0"/>
                <xsd:element ref="ns2:MediaServiceFastMetadata" minOccurs="0"/>
                <xsd:element ref="ns2:MediaLengthInSeconds" minOccurs="0"/>
                <xsd:element ref="ns2:MediaServiceDateTaken"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b65c1a-daac-4fd9-ba72-b6c84fe15e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0" nillable="true" ma:displayName="MediaLengthInSeconds" ma:hidden="true" ma:internalName="MediaLengthInSeconds" ma:readOnly="true">
      <xsd:simpleType>
        <xsd:restriction base="dms:Unknown"/>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137a277a-010d-4e1a-b663-a902d327a6f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a85dd2-6cbf-49e9-8f64-78faf376eb43"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67a4902-58a2-4091-8d72-35538d16a17e}" ma:internalName="TaxCatchAll" ma:showField="CatchAllData" ma:web="bda85dd2-6cbf-49e9-8f64-78faf376eb43">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314CBA-DDFC-407B-913E-456EF7A72CB2}">
  <ds:schemaRefs>
    <ds:schemaRef ds:uri="http://www.w3.org/XML/1998/namespace"/>
    <ds:schemaRef ds:uri="http://schemas.microsoft.com/office/2006/documentManagement/types"/>
    <ds:schemaRef ds:uri="http://schemas.microsoft.com/office/2006/metadata/properties"/>
    <ds:schemaRef ds:uri="http://purl.org/dc/elements/1.1/"/>
    <ds:schemaRef ds:uri="http://purl.org/dc/terms/"/>
    <ds:schemaRef ds:uri="http://schemas.openxmlformats.org/package/2006/metadata/core-properties"/>
    <ds:schemaRef ds:uri="f4b65c1a-daac-4fd9-ba72-b6c84fe15ed4"/>
    <ds:schemaRef ds:uri="http://schemas.microsoft.com/office/infopath/2007/PartnerControls"/>
    <ds:schemaRef ds:uri="bda85dd2-6cbf-49e9-8f64-78faf376eb43"/>
    <ds:schemaRef ds:uri="http://purl.org/dc/dcmitype/"/>
  </ds:schemaRefs>
</ds:datastoreItem>
</file>

<file path=customXml/itemProps2.xml><?xml version="1.0" encoding="utf-8"?>
<ds:datastoreItem xmlns:ds="http://schemas.openxmlformats.org/officeDocument/2006/customXml" ds:itemID="{9BC6226C-693E-49EB-9F6E-2AD1482C94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b65c1a-daac-4fd9-ba72-b6c84fe15ed4"/>
    <ds:schemaRef ds:uri="bda85dd2-6cbf-49e9-8f64-78faf376eb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688908-2AF4-423A-99D9-C040C1537B7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Progress List</vt:lpstr>
      <vt:lpstr>Sheet1</vt:lpstr>
      <vt:lpstr>Final_List-Alerts</vt:lpstr>
      <vt:lpstr>api.alert</vt:lpstr>
      <vt:lpstr>Combination Splunk Activities</vt:lpstr>
      <vt:lpstr>AWS Splunk Alerts</vt:lpstr>
      <vt:lpstr>Splunk Alerts</vt:lpstr>
      <vt:lpstr>DB Alerts By House</vt:lpstr>
      <vt:lpstr>CRON Frequency</vt:lpstr>
      <vt:lpstr>TODO</vt:lpstr>
      <vt:lpstr>DBAlert.sql</vt:lpstr>
      <vt:lpstr>file.search</vt:lpstr>
      <vt:lpstr>misc.questions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 Brandon</dc:creator>
  <cp:keywords/>
  <dc:description/>
  <cp:lastModifiedBy>Kok, Weijin</cp:lastModifiedBy>
  <cp:revision/>
  <dcterms:created xsi:type="dcterms:W3CDTF">2025-02-25T21:04:55Z</dcterms:created>
  <dcterms:modified xsi:type="dcterms:W3CDTF">2026-02-13T16:40:53Z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0x0101005977094627AF1147A308E96CD6855572</vt:lpwstr>
  </property>
  <property fmtid="{D5CDD505-2E9C-101B-9397-08002B2CF9AE}" pid="4" name="MSIP_Label_37406e6c-3ab7-4a49-a184-52b9be30f1be_Enabled">
    <vt:lpwstr>true</vt:lpwstr>
  </property>
  <property fmtid="{D5CDD505-2E9C-101B-9397-08002B2CF9AE}" pid="5" name="MSIP_Label_37406e6c-3ab7-4a49-a184-52b9be30f1be_SetDate">
    <vt:lpwstr>2025-07-23T20:33:41Z</vt:lpwstr>
  </property>
  <property fmtid="{D5CDD505-2E9C-101B-9397-08002B2CF9AE}" pid="6" name="MSIP_Label_37406e6c-3ab7-4a49-a184-52b9be30f1be_Method">
    <vt:lpwstr>Standard</vt:lpwstr>
  </property>
  <property fmtid="{D5CDD505-2E9C-101B-9397-08002B2CF9AE}" pid="7" name="MSIP_Label_37406e6c-3ab7-4a49-a184-52b9be30f1be_Name">
    <vt:lpwstr>Public</vt:lpwstr>
  </property>
  <property fmtid="{D5CDD505-2E9C-101B-9397-08002B2CF9AE}" pid="8" name="MSIP_Label_37406e6c-3ab7-4a49-a184-52b9be30f1be_SiteId">
    <vt:lpwstr>6ba729a1-ee86-4eee-bfee-051597ba029d</vt:lpwstr>
  </property>
  <property fmtid="{D5CDD505-2E9C-101B-9397-08002B2CF9AE}" pid="9" name="MSIP_Label_37406e6c-3ab7-4a49-a184-52b9be30f1be_ActionId">
    <vt:lpwstr>5f1ea4b7-3fa4-4050-b718-16773c23cb3b</vt:lpwstr>
  </property>
  <property fmtid="{D5CDD505-2E9C-101B-9397-08002B2CF9AE}" pid="10" name="MSIP_Label_37406e6c-3ab7-4a49-a184-52b9be30f1be_ContentBits">
    <vt:lpwstr>0</vt:lpwstr>
  </property>
  <property fmtid="{D5CDD505-2E9C-101B-9397-08002B2CF9AE}" pid="11" name="MSIP_Label_37406e6c-3ab7-4a49-a184-52b9be30f1be_Tag">
    <vt:lpwstr>50, 3, 0, 1</vt:lpwstr>
  </property>
</Properties>
</file>