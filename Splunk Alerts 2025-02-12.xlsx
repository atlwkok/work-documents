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namedSheetViews/namedSheetView2.xml" ContentType="application/vnd.ms-excel.namedsheetviews+xml"/>
  <Override PartName="/xl/tables/table1.xml" ContentType="application/vnd.openxmlformats-officedocument.spreadsheetml.table+xml"/>
  <Override PartName="/xl/drawings/drawing1.xml" ContentType="application/vnd.openxmlformats-officedocument.drawing+xml"/>
  <Override PartName="/xl/namedSheetViews/namedSheetView3.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esktop/Work related/Documents/"/>
    </mc:Choice>
  </mc:AlternateContent>
  <xr:revisionPtr revIDLastSave="0" documentId="8_{272B8F79-E389-334F-8909-1F0101B70846}" xr6:coauthVersionLast="47" xr6:coauthVersionMax="47" xr10:uidLastSave="{00000000-0000-0000-0000-000000000000}"/>
  <bookViews>
    <workbookView xWindow="-38400" yWindow="2980" windowWidth="38400" windowHeight="21600" tabRatio="688" activeTab="2" xr2:uid="{8F65269E-EC4E-436F-A297-C2F2D0200B05}"/>
    <workbookView xWindow="41140" yWindow="3900" windowWidth="38400" windowHeight="21600" activeTab="10" xr2:uid="{79C72899-0A47-F746-B27D-715A34C860E3}"/>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s>
  <definedNames>
    <definedName name="_xlnm._FilterDatabase" localSheetId="3" hidden="1">api.alert!$A$2:$M$32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DBAlert.sql!$A$1:$T$32</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2" l="1"/>
  <c r="C16" i="12"/>
  <c r="C17" i="12"/>
  <c r="C18" i="12"/>
  <c r="C19" i="12"/>
  <c r="C20" i="12"/>
  <c r="C21" i="12"/>
  <c r="C22" i="12"/>
  <c r="C14" i="12"/>
  <c r="B15" i="12"/>
  <c r="B16" i="12"/>
  <c r="B17" i="12"/>
  <c r="B18" i="12"/>
  <c r="B19" i="12"/>
  <c r="B20" i="12"/>
  <c r="B21" i="12"/>
  <c r="B22" i="12"/>
  <c r="B14" i="12"/>
  <c r="C44" i="16"/>
  <c r="C65" i="16"/>
  <c r="C62" i="16"/>
  <c r="C60" i="16"/>
  <c r="C58" i="16"/>
  <c r="C57" i="16"/>
  <c r="C56" i="16"/>
  <c r="C55" i="16"/>
  <c r="C51" i="16"/>
  <c r="C48" i="16"/>
  <c r="C43" i="16"/>
  <c r="P28" i="16"/>
  <c r="P27" i="16"/>
  <c r="C64" i="16" s="1"/>
  <c r="P26" i="16"/>
  <c r="C63" i="16" s="1"/>
  <c r="P25" i="16"/>
  <c r="P24" i="16"/>
  <c r="C61" i="16" s="1"/>
  <c r="P23" i="16"/>
  <c r="P22" i="16"/>
  <c r="C59" i="16" s="1"/>
  <c r="P21" i="16"/>
  <c r="P20" i="16"/>
  <c r="P19" i="16"/>
  <c r="P18" i="16"/>
  <c r="P17" i="16"/>
  <c r="C54" i="16" s="1"/>
  <c r="P16" i="16"/>
  <c r="C53" i="16" s="1"/>
  <c r="P15" i="16"/>
  <c r="C52" i="16" s="1"/>
  <c r="P14" i="16"/>
  <c r="P13" i="16"/>
  <c r="C50" i="16" s="1"/>
  <c r="P12" i="16"/>
  <c r="C49" i="16" s="1"/>
  <c r="P11" i="16"/>
  <c r="P10" i="16"/>
  <c r="C47" i="16" s="1"/>
  <c r="P9" i="16"/>
  <c r="C46" i="16" s="1"/>
  <c r="P6" i="16"/>
  <c r="C45" i="16" s="1"/>
  <c r="P5" i="16"/>
  <c r="D31" i="11"/>
  <c r="D26" i="11"/>
  <c r="D23" i="11"/>
  <c r="D24" i="11"/>
  <c r="D25" i="11"/>
  <c r="D27" i="11"/>
  <c r="D28" i="11"/>
  <c r="D29" i="11"/>
  <c r="D30" i="11"/>
  <c r="D32" i="11"/>
  <c r="D22" i="11"/>
  <c r="D13" i="11"/>
  <c r="D3" i="11"/>
  <c r="D12" i="11"/>
  <c r="D11" i="11"/>
  <c r="D9" i="11"/>
  <c r="D10" i="11"/>
  <c r="D8" i="11"/>
  <c r="D5" i="11"/>
  <c r="D6" i="11"/>
  <c r="D7" i="11"/>
  <c r="D4" i="11"/>
  <c r="D2" i="11"/>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46" i="16" s="1"/>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I6" i="5" l="1"/>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<sst xmlns="http://schemas.openxmlformats.org/spreadsheetml/2006/main" count="7436" uniqueCount="1725">
  <si>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</si>
  <si>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</si>
  <si>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</si>
  <si>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</si>
  <si>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</si>
  <si>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</si>
  <si>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</si>
  <si>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</si>
  <si>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</si>
  <si>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</si>
  <si>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</si>
  <si>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</si>
  <si>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</si>
  <si>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</si>
  <si>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</si>
  <si>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</si>
  <si>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</si>
  <si>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 – Oddball SKU</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</si>
  <si>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</si>
  <si>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</si>
  <si>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</si>
  <si>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</si>
  <si>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</si>
  <si>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</si>
  <si>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</si>
  <si>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</si>
  <si>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</si>
  <si>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</si>
  <si>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</si>
  <si>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</si>
  <si>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</si>
  <si>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</si>
  <si>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</si>
  <si>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</si>
  <si>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</si>
  <si>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</si>
  <si>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</si>
  <si>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</si>
  <si>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</si>
  <si>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</si>
  <si>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</si>
  <si>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</si>
  <si>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</si>
  <si>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</si>
  <si>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</si>
  <si>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</si>
  <si>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</si>
  <si>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</si>
  <si>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</si>
  <si>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</si>
  <si>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</si>
  <si>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</si>
  <si>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</si>
  <si>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</si>
  <si>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</si>
  <si>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</si>
  <si>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</si>
  <si>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</si>
  <si>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</si>
  <si>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</si>
  <si>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</si>
  <si>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</si>
  <si>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</si>
  <si>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</si>
  <si>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</si>
  <si>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</si>
  <si>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</si>
  <si>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</si>
  <si>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ABQ - MAWM - Travel &gt; 4 Mins</t>
  </si>
  <si>
    <t>Lo Lo</t>
  </si>
  <si>
    <t>WMS/LMS</t>
  </si>
  <si>
    <t>Yes</t>
  </si>
  <si>
    <t>DBQuery</t>
  </si>
  <si>
    <t>Oracle</t>
  </si>
  <si>
    <t>Kinsy</t>
  </si>
  <si>
    <t>MAWM_SOA_PRD - jdbc:oracle:thin:@at4ex01-scan1.corp.rndc-usa.com:1521/pwmsods_svc1</t>
  </si>
  <si>
    <t>ALL - MAWM - In Packing oLPNS &gt; 5 Minutes</t>
  </si>
  <si>
    <t>Medium</t>
  </si>
  <si>
    <t>WMS</t>
  </si>
  <si>
    <t>My SQL</t>
  </si>
  <si>
    <t xml:space="preserve">10.248.248.195 - MAPRD_NEW </t>
  </si>
  <si>
    <t>ALL - MAWM - Inventory Adjustment PIX w/ Null PO Line</t>
  </si>
  <si>
    <t>Oracle SQL</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</si>
  <si>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</si>
  <si>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Items Volume with Large Dimensions</t>
  </si>
  <si>
    <t>Low</t>
  </si>
  <si>
    <t>ALL - MAWM - Items Weight with Large Dimensions</t>
  </si>
  <si>
    <t>ALL - MAWM - Loaded Shipments w/ no Ship Confirm &gt; 6 hours</t>
  </si>
  <si>
    <t>ALL - MAWM - LPN Storage Locs with Inventory Not Tied to an LPN</t>
  </si>
  <si>
    <t>All - MAWM - Multiple Order Lines Per Original Order Line</t>
  </si>
  <si>
    <t>ALL - MAWM - oLPNs w/ Multiple Details of the Same Item</t>
  </si>
  <si>
    <t>ALL - MAWM - Pallet LPNs w/ Inventory Records</t>
  </si>
  <si>
    <t>ALL - MAWM - PIX Specification Found &gt; 1 Hour</t>
  </si>
  <si>
    <t>High</t>
  </si>
  <si>
    <t>ALL - MAWM - Putaway Task is Open but iLPN is Putaway</t>
  </si>
  <si>
    <t>ALL - MAWM - Splunk Alerts Summary</t>
  </si>
  <si>
    <t>Report</t>
  </si>
  <si>
    <t>Pstgres</t>
  </si>
  <si>
    <t>|rest /servicesNS/-/-/saved/searches splunk_server=local
|search (title = "*MAWM*" )
|table title, action.email.message.alert,  action.email.to, action.email.cc, actions, cron_schedule, disabled, eai:acl.app, qualifiedSearch  - -- It list the complete alerts list</t>
  </si>
  <si>
    <t>ALL - MAWM - Task ‘In Progress’ w/ Completed or Cancelled Task Details</t>
  </si>
  <si>
    <t>ALL - MAWM - Task Completed or Cancelled w/ Open Task Details</t>
  </si>
  <si>
    <t>ALL - MAWM - Task Open w/ Completed or Cancelled Task Details</t>
  </si>
  <si>
    <t>ALL - MAWM - Unprocessed or Failed Ship Confirms Last 24 Hours</t>
  </si>
  <si>
    <t>ALLOCATED LPNS WITH NO OPEN TASK DETAILS API FAILURE</t>
  </si>
  <si>
    <t>API</t>
  </si>
  <si>
    <t>MAWM</t>
  </si>
  <si>
    <t>splunk/manhattan_active/ASH/alloclpns_noopntskdtls</t>
  </si>
  <si>
    <t>ALPHA ASN ERROR</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</si>
  <si>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</si>
  <si>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</si>
  <si>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</si>
  <si>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</si>
  <si>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</si>
  <si>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</si>
  <si>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</si>
  <si>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</si>
  <si>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</si>
  <si>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</si>
  <si>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</si>
  <si>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</si>
  <si>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</si>
  <si>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</si>
  <si>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ASN S WITH NO ASN LEVEL VERIFICATION &gt; 5DAYS</t>
  </si>
  <si>
    <t>Middleware</t>
  </si>
  <si>
    <t>Mulesoft</t>
  </si>
  <si>
    <t>ABQ_MIDDLE_PROD</t>
  </si>
  <si>
    <t>Mikaelo or Shrini</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</si>
  <si>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</si>
  <si>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</si>
  <si>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</si>
  <si>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</si>
  <si>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</si>
  <si>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ATL In Transit RMA ASNs &gt; 30 Days Splunk Alert</t>
  </si>
  <si>
    <t>New Alert - Looking for delivery in End of Feb</t>
  </si>
  <si>
    <t>AU01 FAILURE [URGENT]</t>
  </si>
  <si>
    <t>Only API serach and return the data</t>
  </si>
  <si>
    <t>DIVERT CONFIRMATION DOWN</t>
  </si>
  <si>
    <t>/splunk/manhattan_active/ALLMAWM/au02_divert_confirm_source_destination_down</t>
  </si>
  <si>
    <t>DUPLICATE PIX S IN MIDDLEWARE WMS</t>
  </si>
  <si>
    <t xml:space="preserve">Combine DUPLICATE PIX S IN MIDDLEWARE WMS " &amp; DUPLICATE PIX S IN SOA WMS  name as Mulesoft  - refer  the code in SOA </t>
  </si>
  <si>
    <t>DUPLICATE PIX S IN SOA WMS</t>
  </si>
  <si>
    <t>No</t>
  </si>
  <si>
    <t>DUPLICATE SHIP CONFIRM</t>
  </si>
  <si>
    <t>Oracle/Mulesoft</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</si>
  <si>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</si>
  <si>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</si>
  <si>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</si>
  <si>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ENDPOINT QUEUE FAILURES</t>
  </si>
  <si>
    <t>/splunk/manhattan_active/ABQ/failure_count/</t>
  </si>
  <si>
    <t>ENDPOINT STATUS</t>
  </si>
  <si>
    <t>/splunk/manhattan_active/ARK/endpoint_status/</t>
  </si>
  <si>
    <t>ILPNS WITH MISSING PHYSICALENTITYCODEID</t>
  </si>
  <si>
    <t>ILPNS WITH NEGATIVE ALLOCATED QUANTITY API FAILURE</t>
  </si>
  <si>
    <t>INVENTORY ADJUSTMENT PIX MISSING REASON CODE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</si>
  <si>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</si>
  <si>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</si>
  <si>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</si>
  <si>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inventory_sync_schedule</t>
  </si>
  <si>
    <t>ITEM IMAGE URL FAILURE</t>
  </si>
  <si>
    <t>FTP file path to get the image list</t>
  </si>
  <si>
    <t>ITEM LEVEL RECEIPTS WITH 0 QUANTITY</t>
  </si>
  <si>
    <t>Item Loc Prod (ITEMLOC_PRD)</t>
  </si>
  <si>
    <t>MySQL, Oracle</t>
  </si>
  <si>
    <t>/splunk/manhattan_active/ABQ/ITEMLOC_PRD - runs as python file. Select data from my sql and insert in oracle table</t>
  </si>
  <si>
    <t>LIA RECORDS WITH PACK UOM TYPE POPULATED</t>
  </si>
  <si>
    <t>The alert condition for '$name$' was triggered.
***MSP TO CLEAN UP***</t>
  </si>
  <si>
    <t>LIA Sync Application Parameter</t>
  </si>
  <si>
    <t>Application Parameter</t>
  </si>
  <si>
    <t>LOCATION POSITION &gt; STREET LENGTH</t>
  </si>
  <si>
    <t>10.248.248.195 - MAPRD_NEW ; email to lmteam@rndc-usa.com</t>
  </si>
  <si>
    <t>LOCATION REBUILD FAILURE</t>
  </si>
  <si>
    <t>splunk/manhattan_active/ABQ/location_rebuild. Only API call and no select query from mysql</t>
  </si>
  <si>
    <t>LOCATIONS W/ INVENTORY FOR ITEMS NOT ASSIGNED</t>
  </si>
  <si>
    <t>LONG RUNNING OR ABORTED WAVES</t>
  </si>
  <si>
    <t>LPNS WITH CONSUMED/CANCELLED ALLOCATED QUANTITY API FAILURE</t>
  </si>
  <si>
    <t>Meium</t>
  </si>
  <si>
    <t>execute select sql and call MA API Endpoint. /splunk/manhattan_active/ABQ/lpn_consumed_cancel_allocation</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</si>
  <si>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</si>
  <si>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</si>
  <si>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</si>
  <si>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</si>
  <si>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</si>
  <si>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MATM - SPO Import Failure</t>
  </si>
  <si>
    <t>MATM</t>
  </si>
  <si>
    <t>New Alert requested by Brandon and TMS Team.</t>
  </si>
  <si>
    <t>mawm_consolidation_report</t>
  </si>
  <si>
    <t>WMS - Report - Send email report</t>
  </si>
  <si>
    <t>MISSING ITEM LEVEL VERIFICATION PIX</t>
  </si>
  <si>
    <t>MONTHLY SLOTTING DASHBOARD</t>
  </si>
  <si>
    <t xml:space="preserve">Query runs in python script and create csv file. /splunk/manhattan_active/ALLMAWM/monthly_slotting_dashboard </t>
  </si>
  <si>
    <t>OPEN ORDER IN WM &gt; 1 WEEK</t>
  </si>
  <si>
    <t>OPEN PICK PACK TASK DETAILS API FAILURE</t>
  </si>
  <si>
    <t>Run select query and update API endpoint. /splunk/manhattan_active/ABQ/tskdtls_comp_openpickpacktskdtls</t>
  </si>
  <si>
    <t>OPEN TASK API FAILURE</t>
  </si>
  <si>
    <t>Run select query and update API endpoint. - /splunk/manhattan_active/LUB/open_task</t>
  </si>
  <si>
    <t>OPEN TASK DETAILS API FAILURE</t>
  </si>
  <si>
    <t>Run select query and update API endpoint. - /splunk/manhattan_active/ATL/open_task_details</t>
  </si>
  <si>
    <t>ORDERS NOT PROCESS IN HOST &gt; 15 MINUTES</t>
  </si>
  <si>
    <t>| dbxquery query="SELECT warehouse, invoice_no, item_no, ship_qty, prc_status, created_dttm, messageid FROM ark_wmsods.ship_confirm WHERE prc_status = 10 AND created_dttm &lt; sysdate - 60/1440 ORDER BY  created_dttm desc" connection="MAWM_SOA_PRD"</t>
  </si>
  <si>
    <t>ORDERS STUCK IN CREATED STATUS &gt; 15 MINUTES</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</si>
  <si>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</si>
  <si>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</si>
  <si>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</si>
  <si>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</si>
  <si>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POR - MAWM - Duplicate PIX's in Middleware WMS</t>
  </si>
  <si>
    <t>PUTAWAY TASK DETAILS API FAILURE</t>
  </si>
  <si>
    <t>/splunk/manhattan_active/ABQ/ptwytskdtlsopen_nottiedtskhdr</t>
  </si>
  <si>
    <t>RECOUP SORTING UPDATE API FAILURE</t>
  </si>
  <si>
    <t>/splunk/manhattan_active/DFB/recoup_sort_update_lpn</t>
  </si>
  <si>
    <t>ROUTED ORDERS CANCELLED</t>
  </si>
  <si>
    <t>ROUTES WITH MULTIPLE WAVE NUMBERS</t>
  </si>
  <si>
    <t>SHIPPED OLPN W/ CONSOLIDATION LOCATION ASSIGNMENT</t>
  </si>
  <si>
    <t>SLOTTING ITEM DEMAND PACK FAILURE</t>
  </si>
  <si>
    <t>Run select query and update API</t>
  </si>
  <si>
    <t>SLOTTING ITEM DEMAND UNIT FAILURE</t>
  </si>
  <si>
    <t>SLOTTING LIA DELETE PK RECORDS API FAILURE</t>
  </si>
  <si>
    <t>No query only API search and delete</t>
  </si>
  <si>
    <t>SPLUNK API SCRIPTS SUMMARY</t>
  </si>
  <si>
    <t>Splunk</t>
  </si>
  <si>
    <t>/splunk/manhattan_active/ALLMAWM/api_schedules/api_schedules.txt</t>
  </si>
  <si>
    <t>STANDARD ORDERS DESELECTED DURING WAVING</t>
  </si>
  <si>
    <t>STANDARD ORDERS W/ NO DESIGNATED OR ASSIGNED SHIPMENTS CREATED</t>
  </si>
  <si>
    <t>STANDARD ORDERS W/ NO DESIGNATED SHIPMENTS CREATED</t>
  </si>
  <si>
    <t>STATIC ROUTE MISSING THRESHOLD VALUE</t>
  </si>
  <si>
    <t>STATIC ROUTE UI MISSING DFLT VALUE</t>
  </si>
  <si>
    <t>TEMPORARY RESERVE LOCATIONS W/ ASSIGNMENTS, BUT NO INVENTORY</t>
  </si>
  <si>
    <t>TEMPORARY RESERVE LOCATIONS W/ INVENTORY, BUT NO ASSIGNMENTS</t>
  </si>
  <si>
    <t>TRAVEL &gt; 4 MINS</t>
  </si>
  <si>
    <t>Low Low</t>
  </si>
  <si>
    <t>MAWM_SOA_PRD</t>
  </si>
  <si>
    <t>update_ext_display_barcode</t>
  </si>
  <si>
    <t>USER TASK GROUP BULK IMPORT FAILURE</t>
  </si>
  <si>
    <t>USERS W/ INCORRECT USER DEFAULT CONFIGURATION</t>
  </si>
  <si>
    <t>Put in Application Configuration Tool</t>
  </si>
  <si>
    <t>WEEKLY SLOTTING DASHBOARD</t>
  </si>
  <si>
    <t>/splunk/manhattan_active/ALLMAWM/monthly_slotting_dashboard - run as python in splunk</t>
  </si>
  <si>
    <t>WILL CALL</t>
  </si>
  <si>
    <t>1/23 - dev completion</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</si>
  <si>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</si>
  <si>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</si>
  <si>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</si>
  <si>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sorting</t>
  </si>
  <si>
    <t>splunk search content</t>
  </si>
  <si>
    <t>python + sql + shell script</t>
  </si>
  <si>
    <t>csv</t>
  </si>
  <si>
    <t>PY</t>
  </si>
  <si>
    <t>SQL</t>
  </si>
  <si>
    <t>MAPI</t>
  </si>
  <si>
    <t>dev status</t>
  </si>
  <si>
    <t>Notes</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</si>
  <si>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</si>
  <si>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</si>
  <si>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</si>
  <si>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</si>
  <si>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</si>
  <si>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</si>
  <si>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</si>
  <si>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</si>
  <si>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</si>
  <si>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</si>
  <si>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</si>
  <si>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</si>
  <si>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</si>
  <si>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</si>
  <si>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</si>
  <si>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</si>
  <si>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</si>
  <si>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</si>
  <si>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</si>
  <si>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</si>
  <si>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</si>
  <si>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</si>
  <si>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</si>
  <si>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</si>
  <si>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</si>
  <si>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</si>
  <si>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Divert Confirm Endpoint Shutdown</t>
  </si>
  <si>
    <t>WMS - Divert Confirm Endpoint Shutdown</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</si>
  <si>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</si>
  <si>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</si>
  <si>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</si>
  <si>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</si>
  <si>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</si>
  <si>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</si>
  <si>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</si>
  <si>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</si>
  <si>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</si>
  <si>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</si>
  <si>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</si>
  <si>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</si>
  <si>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</si>
  <si>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</si>
  <si>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</si>
  <si>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</si>
  <si>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</si>
  <si>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</si>
  <si>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</si>
  <si>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</si>
  <si>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</si>
  <si>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</si>
  <si>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</si>
  <si>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</si>
  <si>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</si>
  <si>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</si>
  <si>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</si>
  <si>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</si>
  <si>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</si>
  <si>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</si>
  <si>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</si>
  <si>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</si>
  <si>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</si>
  <si>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</si>
  <si>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</si>
  <si>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</si>
  <si>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</si>
  <si>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</si>
  <si>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</si>
  <si>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</si>
  <si>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</si>
  <si>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</si>
  <si>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</si>
  <si>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</si>
  <si>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</si>
  <si>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</si>
  <si>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</si>
  <si>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</si>
  <si>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</si>
  <si>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</si>
  <si>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</si>
  <si>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</si>
  <si>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</si>
  <si>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</si>
  <si>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</si>
  <si>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</si>
  <si>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</si>
  <si>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</si>
  <si>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</si>
  <si>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</si>
  <si>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</si>
  <si>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</si>
  <si>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</si>
  <si>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</si>
  <si>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</si>
  <si>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</si>
  <si>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</si>
  <si>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</si>
  <si>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</si>
  <si>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</si>
  <si>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</si>
  <si>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</si>
  <si>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</si>
  <si>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</si>
  <si>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</si>
  <si>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</si>
  <si>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</si>
  <si>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</si>
  <si>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</si>
  <si>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</si>
  <si>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</si>
  <si>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</si>
  <si>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</si>
  <si>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</si>
  <si>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</si>
  <si>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</si>
  <si>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</si>
  <si>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</si>
  <si>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</si>
  <si>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</si>
  <si>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</si>
  <si>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</si>
  <si>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</si>
  <si>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</si>
  <si>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</si>
  <si>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</si>
  <si>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</si>
  <si>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</si>
  <si>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</si>
  <si>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</si>
  <si>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</si>
  <si>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</si>
  <si>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</si>
  <si>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</si>
  <si>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</si>
  <si>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</si>
  <si>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</si>
  <si>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</si>
  <si>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</si>
  <si>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</si>
  <si>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</si>
  <si>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</si>
  <si>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</si>
  <si>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</si>
  <si>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</si>
  <si>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</si>
  <si>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</si>
  <si>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</si>
  <si>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</si>
  <si>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</si>
  <si>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</si>
  <si>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</si>
  <si>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</si>
  <si>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</si>
  <si>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</si>
  <si>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</si>
  <si>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</si>
  <si>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</si>
  <si>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</si>
  <si>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</si>
  <si>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</si>
  <si>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</si>
  <si>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</si>
  <si>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</si>
  <si>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</si>
  <si>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</si>
  <si>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</si>
  <si>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</si>
  <si>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</si>
  <si>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</si>
  <si>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</si>
  <si>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</si>
  <si>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</si>
  <si>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</si>
  <si>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</si>
  <si>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</si>
  <si>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</si>
  <si>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</si>
  <si>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</si>
  <si>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</si>
  <si>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</si>
  <si>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</si>
  <si>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</si>
  <si>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</si>
  <si>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</si>
  <si>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</si>
  <si>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</si>
  <si>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</si>
  <si>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</si>
  <si>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</si>
  <si>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</si>
  <si>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</si>
  <si>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</si>
  <si>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</si>
  <si>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</si>
  <si>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</si>
  <si>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</si>
  <si>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</si>
  <si>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</si>
  <si>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</si>
  <si>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</si>
  <si>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</si>
  <si>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</si>
  <si>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</si>
  <si>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</si>
  <si>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</si>
  <si>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</si>
  <si>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</si>
  <si>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</si>
  <si>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</si>
  <si>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</si>
  <si>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</si>
  <si>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</si>
  <si>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</si>
  <si>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</si>
  <si>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</si>
  <si>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</si>
  <si>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</si>
  <si>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</si>
  <si>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</si>
  <si>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</si>
  <si>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</si>
  <si>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</si>
  <si>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</si>
  <si>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</si>
  <si>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</si>
  <si>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</si>
  <si>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</si>
  <si>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</si>
  <si>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</si>
  <si>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</si>
  <si>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</si>
  <si>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</si>
  <si>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</si>
  <si>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</si>
  <si>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</si>
  <si>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</si>
  <si>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</si>
  <si>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</si>
  <si>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</si>
  <si>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</si>
  <si>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</si>
  <si>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</si>
  <si>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</si>
  <si>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</si>
  <si>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</si>
  <si>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</si>
  <si>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</si>
  <si>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</si>
  <si>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</si>
  <si>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</si>
  <si>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</si>
  <si>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</si>
  <si>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</si>
  <si>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</si>
  <si>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</si>
  <si>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</si>
  <si>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</si>
  <si>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</si>
  <si>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</si>
  <si>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</si>
  <si>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</si>
  <si>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</si>
  <si>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</si>
  <si>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</si>
  <si>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</si>
  <si>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</si>
  <si>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</si>
  <si>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</si>
  <si>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</si>
  <si>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</si>
  <si>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</si>
  <si>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</si>
  <si>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</si>
  <si>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</si>
  <si>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</si>
  <si>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</si>
  <si>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</si>
  <si>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</si>
  <si>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</si>
  <si>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</si>
  <si>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</si>
  <si>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</si>
  <si>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</si>
  <si>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</si>
  <si>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</si>
  <si>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</si>
  <si>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</si>
  <si>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</si>
  <si>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</si>
  <si>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</si>
  <si>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</si>
  <si>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</si>
  <si>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</si>
  <si>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</si>
  <si>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</si>
  <si>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</si>
  <si>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</si>
  <si>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</si>
  <si>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</si>
  <si>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</si>
  <si>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</si>
  <si>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</si>
  <si>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</si>
  <si>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</si>
  <si>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</si>
  <si>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</si>
  <si>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</si>
  <si>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</si>
  <si>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</si>
  <si>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</si>
  <si>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</si>
  <si>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</si>
  <si>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</si>
  <si>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</si>
  <si>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</si>
  <si>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</si>
  <si>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</si>
  <si>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</si>
  <si>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</si>
  <si>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</si>
  <si>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</si>
  <si>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</si>
  <si>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</si>
  <si>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</si>
  <si>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</si>
  <si>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</si>
  <si>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</si>
  <si>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</si>
  <si>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</si>
  <si>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</si>
  <si>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</si>
  <si>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</si>
  <si>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</si>
  <si>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</si>
  <si>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</si>
  <si>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</si>
  <si>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</si>
  <si>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</si>
  <si>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</si>
  <si>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</si>
  <si>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</si>
  <si>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</si>
  <si>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</si>
  <si>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</si>
  <si>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</si>
  <si>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</si>
  <si>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</si>
  <si>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</si>
  <si>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</si>
  <si>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</si>
  <si>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</si>
  <si>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</si>
  <si>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</si>
  <si>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</si>
  <si>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</si>
  <si>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</si>
  <si>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</si>
  <si>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</si>
  <si>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</si>
  <si>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</si>
  <si>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</si>
  <si>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</si>
  <si>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</si>
  <si>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</si>
  <si>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</si>
  <si>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</si>
  <si>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</si>
  <si>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</si>
  <si>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</si>
  <si>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</si>
  <si>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</si>
  <si>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</si>
  <si>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</si>
  <si>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</si>
  <si>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</si>
  <si>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</si>
  <si>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</si>
  <si>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</si>
  <si>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</si>
  <si>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</si>
  <si>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</si>
  <si>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</si>
  <si>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</si>
  <si>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</si>
  <si>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</si>
  <si>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</si>
  <si>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</si>
  <si>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</si>
  <si>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</si>
  <si>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</si>
  <si>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</si>
  <si>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</si>
  <si>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</si>
  <si>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</si>
  <si>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</si>
  <si>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</si>
  <si>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</si>
  <si>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</si>
  <si>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</si>
  <si>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</si>
  <si>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</si>
  <si>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</si>
  <si>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</si>
  <si>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</si>
  <si>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</si>
  <si>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</si>
  <si>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</si>
  <si>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</si>
  <si>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</si>
  <si>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</si>
  <si>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</si>
  <si>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</si>
  <si>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</si>
  <si>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</si>
  <si>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</si>
  <si>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</si>
  <si>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</si>
  <si>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</si>
  <si>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</si>
  <si>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</si>
  <si>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</si>
  <si>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</si>
  <si>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</si>
  <si>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</si>
  <si>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</si>
  <si>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</si>
  <si>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</si>
  <si>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</si>
  <si>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</si>
  <si>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</si>
  <si>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</si>
  <si>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</si>
  <si>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</si>
  <si>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</si>
  <si>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</si>
  <si>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</si>
  <si>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</si>
  <si>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</si>
  <si>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</si>
  <si>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</si>
  <si>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</si>
  <si>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</si>
  <si>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</si>
  <si>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</si>
  <si>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</si>
  <si>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</si>
  <si>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</si>
  <si>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</si>
  <si>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</si>
  <si>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</si>
  <si>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</si>
  <si>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</si>
  <si>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</si>
  <si>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</si>
  <si>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</si>
  <si>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</si>
  <si>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</si>
  <si>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</si>
  <si>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</si>
  <si>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</si>
  <si>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</si>
  <si>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</si>
  <si>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</si>
  <si>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</si>
  <si>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</si>
  <si>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</si>
  <si>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</si>
  <si>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</si>
  <si>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</si>
  <si>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</si>
  <si>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</si>
  <si>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</si>
  <si>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</si>
  <si>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</si>
  <si>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</si>
  <si>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</si>
  <si>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</si>
  <si>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</si>
  <si>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</si>
  <si>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</si>
  <si>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</si>
  <si>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</si>
  <si>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</si>
  <si>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</si>
  <si>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</si>
  <si>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</si>
  <si>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</si>
  <si>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</si>
  <si>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</si>
  <si>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</si>
  <si>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</si>
  <si>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</si>
  <si>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</si>
  <si>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</si>
  <si>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</si>
  <si>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</si>
  <si>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</si>
  <si>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</si>
  <si>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</si>
  <si>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</si>
  <si>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</si>
  <si>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</si>
  <si>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</si>
  <si>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</si>
  <si>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</si>
  <si>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</si>
  <si>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</si>
  <si>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</si>
  <si>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</si>
  <si>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</si>
  <si>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</si>
  <si>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</si>
  <si>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</si>
  <si>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</si>
  <si>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</si>
  <si>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</si>
  <si>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</si>
  <si>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</si>
  <si>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</si>
  <si>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</si>
  <si>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</si>
  <si>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</si>
  <si>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</si>
  <si>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</si>
  <si>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</si>
  <si>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</si>
  <si>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</si>
  <si>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</si>
  <si>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</si>
  <si>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</si>
  <si>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</si>
  <si>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</si>
  <si>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</si>
  <si>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</si>
  <si>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</si>
  <si>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</si>
  <si>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</si>
  <si>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</si>
  <si>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</si>
  <si>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</si>
  <si>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</si>
  <si>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</si>
  <si>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</si>
  <si>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</si>
  <si>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</si>
  <si>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</si>
  <si>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</si>
  <si>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</si>
  <si>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</si>
  <si>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</si>
  <si>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</si>
  <si>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</si>
  <si>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</si>
  <si>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</si>
  <si>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</si>
  <si>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</si>
  <si>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</si>
  <si>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</si>
  <si>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</si>
  <si>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</si>
  <si>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</si>
  <si>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</si>
  <si>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</si>
  <si>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</si>
  <si>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</si>
  <si>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</si>
  <si>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</si>
  <si>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</si>
  <si>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</si>
  <si>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</si>
  <si>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</si>
  <si>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</si>
  <si>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</si>
  <si>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</si>
  <si>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</si>
  <si>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</si>
  <si>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</si>
  <si>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</si>
  <si>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</si>
  <si>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</si>
  <si>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</si>
  <si>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</si>
  <si>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</si>
  <si>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</si>
  <si>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</si>
  <si>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</si>
  <si>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</si>
  <si>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</si>
  <si>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</si>
  <si>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</si>
  <si>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</si>
  <si>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</si>
  <si>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</si>
  <si>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</si>
  <si>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</si>
  <si>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</si>
  <si>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</si>
  <si>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</si>
  <si>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</si>
  <si>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</si>
  <si>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</si>
  <si>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</si>
  <si>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</si>
  <si>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</si>
  <si>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</si>
  <si>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</si>
  <si>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</si>
  <si>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</si>
  <si>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</si>
  <si>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</si>
  <si>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</si>
  <si>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</si>
  <si>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</si>
  <si>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</si>
  <si>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</si>
  <si>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</si>
  <si>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</si>
  <si>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</si>
  <si>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</si>
  <si>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</si>
  <si>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</si>
  <si>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</si>
  <si>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</si>
  <si>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</si>
  <si>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</si>
  <si>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</si>
  <si>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</si>
  <si>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</si>
  <si>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</si>
  <si>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</si>
  <si>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</si>
  <si>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</si>
  <si>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</si>
  <si>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</si>
  <si>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</si>
  <si>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</si>
  <si>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</si>
  <si>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</si>
  <si>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</si>
  <si>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</si>
  <si>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</si>
  <si>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</si>
  <si>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</si>
  <si>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</si>
  <si>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</si>
  <si>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</si>
  <si>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</si>
  <si>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</si>
  <si>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</si>
  <si>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</si>
  <si>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</si>
  <si>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</si>
  <si>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</si>
  <si>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</si>
  <si>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</si>
  <si>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</si>
  <si>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</si>
  <si>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</si>
  <si>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</si>
  <si>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</si>
  <si>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</si>
  <si>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</si>
  <si>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</si>
  <si>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</si>
  <si>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</si>
  <si>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</si>
  <si>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</si>
  <si>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</si>
  <si>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</si>
  <si>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</si>
  <si>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</si>
  <si>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</si>
  <si>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</si>
  <si>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</si>
  <si>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</si>
  <si>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</si>
  <si>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</si>
  <si>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</si>
  <si>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</si>
  <si>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</si>
  <si>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</si>
  <si>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</si>
  <si>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</si>
  <si>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</si>
  <si>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</si>
  <si>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</si>
  <si>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</si>
  <si>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</si>
  <si>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</si>
  <si>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</si>
  <si>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</si>
  <si>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</si>
  <si>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</si>
  <si>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</si>
  <si>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</si>
  <si>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</si>
  <si>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</si>
  <si>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</si>
  <si>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</si>
  <si>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</si>
  <si>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</si>
  <si>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</si>
  <si>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</si>
  <si>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</si>
  <si>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</si>
  <si>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</si>
  <si>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</si>
  <si>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</si>
  <si>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</si>
  <si>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</si>
  <si>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</si>
  <si>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</si>
  <si>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</si>
  <si>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</si>
  <si>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</si>
  <si>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</si>
  <si>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</si>
  <si>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</si>
  <si>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</si>
  <si>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</si>
  <si>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</si>
  <si>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</si>
  <si>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</si>
  <si>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</si>
  <si>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</si>
  <si>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</si>
  <si>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</si>
  <si>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</si>
  <si>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</si>
  <si>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</si>
  <si>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</si>
  <si>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</si>
  <si>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</si>
  <si>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</si>
  <si>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</si>
  <si>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</si>
  <si>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</si>
  <si>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</si>
  <si>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</si>
  <si>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</si>
  <si>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</si>
  <si>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</si>
  <si>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</si>
  <si>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</si>
  <si>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</si>
  <si>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</si>
  <si>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</si>
  <si>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</si>
  <si>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</si>
  <si>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</si>
  <si>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</si>
  <si>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</si>
  <si>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</si>
  <si>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</si>
  <si>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</si>
  <si>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</si>
  <si>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</si>
  <si>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</si>
  <si>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</si>
  <si>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</si>
  <si>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</si>
  <si>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</si>
  <si>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</si>
  <si>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</si>
  <si>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</si>
  <si>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</si>
  <si>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</si>
  <si>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</si>
  <si>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</si>
  <si>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</si>
  <si>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</si>
  <si>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</si>
  <si>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</si>
  <si>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</si>
  <si>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</si>
  <si>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</si>
  <si>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</si>
  <si>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</si>
  <si>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</si>
  <si>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</si>
  <si>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</si>
  <si>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</si>
  <si>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</si>
  <si>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</si>
  <si>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</si>
  <si>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</si>
  <si>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</si>
  <si>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</si>
  <si>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</si>
  <si>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</si>
  <si>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</si>
  <si>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</si>
  <si>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</si>
  <si>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</si>
  <si>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</si>
  <si>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</si>
  <si>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</si>
  <si>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</si>
  <si>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</si>
  <si>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</si>
  <si>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</si>
  <si>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</si>
  <si>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</si>
  <si>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</si>
  <si>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</si>
  <si>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</si>
  <si>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</si>
  <si>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</si>
  <si>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</si>
  <si>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</si>
  <si>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</si>
  <si>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</si>
  <si>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</si>
  <si>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</si>
  <si>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</si>
  <si>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</si>
  <si>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</si>
  <si>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</si>
  <si>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</si>
  <si>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</si>
  <si>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</si>
  <si>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</si>
  <si>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</si>
  <si>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</si>
  <si>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</si>
  <si>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</si>
  <si>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</si>
  <si>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</si>
  <si>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</si>
  <si>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</si>
  <si>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</si>
  <si>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</si>
  <si>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</si>
  <si>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</si>
  <si>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</si>
  <si>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</si>
  <si>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</si>
  <si>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</si>
  <si>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</si>
  <si>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</si>
  <si>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</si>
  <si>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</si>
  <si>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</si>
  <si>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</si>
  <si>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</si>
  <si>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</si>
  <si>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</si>
  <si>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</si>
  <si>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</si>
  <si>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</si>
  <si>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</si>
  <si>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</si>
  <si>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</si>
  <si>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</si>
  <si>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</si>
  <si>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</si>
  <si>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</si>
  <si>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</si>
  <si>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</si>
  <si>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</si>
  <si>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</si>
  <si>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</si>
  <si>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</si>
  <si>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</si>
  <si>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</si>
  <si>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</si>
  <si>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</si>
  <si>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</si>
  <si>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</si>
  <si>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</si>
  <si>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</si>
  <si>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</si>
  <si>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</si>
  <si>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</si>
  <si>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</si>
  <si>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</si>
  <si>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</si>
  <si>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</si>
  <si>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</si>
  <si>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</si>
  <si>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</si>
  <si>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</si>
  <si>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</si>
  <si>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</si>
  <si>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</si>
  <si>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</si>
  <si>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</si>
  <si>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</si>
  <si>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</si>
  <si>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</si>
  <si>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</si>
  <si>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</si>
  <si>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</si>
  <si>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</si>
  <si>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</si>
  <si>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</si>
  <si>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</si>
  <si>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</si>
  <si>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</si>
  <si>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</si>
  <si>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</si>
  <si>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</si>
  <si>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</si>
  <si>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</si>
  <si>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</si>
  <si>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</si>
  <si>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</si>
  <si>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</si>
  <si>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</si>
  <si>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</si>
  <si>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</si>
  <si>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</si>
  <si>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</si>
  <si>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</si>
  <si>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</si>
  <si>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</si>
  <si>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</si>
  <si>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</si>
  <si>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</si>
  <si>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</si>
  <si>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</si>
  <si>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</si>
  <si>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</si>
  <si>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</si>
  <si>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</si>
  <si>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</si>
  <si>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</si>
  <si>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</si>
  <si>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</si>
  <si>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</si>
  <si>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</si>
  <si>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</si>
  <si>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</si>
  <si>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</si>
  <si>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</si>
  <si>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</si>
  <si>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</si>
  <si>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</si>
  <si>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</si>
  <si>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</si>
  <si>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</si>
  <si>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</si>
  <si>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</si>
  <si>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</si>
  <si>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</si>
  <si>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</si>
  <si>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</si>
  <si>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</si>
  <si>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</si>
  <si>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</si>
  <si>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</si>
  <si>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</si>
  <si>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</si>
  <si>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</si>
  <si>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</si>
  <si>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</si>
  <si>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</si>
  <si>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</si>
  <si>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</si>
  <si>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</si>
  <si>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</si>
  <si>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</si>
  <si>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</si>
  <si>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</si>
  <si>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</si>
  <si>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</si>
  <si>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</si>
  <si>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</si>
  <si>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</si>
  <si>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</si>
  <si>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</si>
  <si>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</si>
  <si>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</si>
  <si>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</si>
  <si>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</si>
  <si>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</si>
  <si>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</si>
  <si>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</si>
  <si>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</si>
  <si>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</si>
  <si>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</si>
  <si>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</si>
  <si>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</si>
  <si>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</si>
  <si>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</si>
  <si>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</si>
  <si>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</si>
  <si>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</si>
  <si>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</si>
  <si>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</si>
  <si>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</si>
  <si>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</si>
  <si>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</si>
  <si>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</si>
  <si>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</si>
  <si>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</si>
  <si>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</si>
  <si>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</si>
  <si>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</si>
  <si>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</si>
  <si>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</si>
  <si>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</si>
  <si>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</si>
  <si>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</si>
  <si>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</si>
  <si>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</si>
  <si>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</si>
  <si>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</si>
  <si>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</si>
  <si>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</si>
  <si>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</si>
  <si>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</si>
  <si>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</si>
  <si>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</si>
  <si>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</si>
  <si>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</si>
  <si>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</si>
  <si>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</si>
  <si>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</si>
  <si>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</si>
  <si>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</si>
  <si>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</si>
  <si>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</si>
  <si>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</si>
  <si>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</si>
  <si>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</si>
  <si>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</si>
  <si>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</si>
  <si>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</si>
  <si>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</si>
  <si>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</si>
  <si>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</si>
  <si>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</si>
  <si>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</si>
  <si>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</si>
  <si>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</si>
  <si>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</si>
  <si>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</si>
  <si>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</si>
  <si>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</si>
  <si>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</si>
  <si>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</si>
  <si>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</si>
  <si>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</si>
  <si>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</si>
  <si>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</si>
  <si>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</si>
  <si>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</si>
  <si>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</si>
  <si>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</si>
  <si>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</si>
  <si>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</si>
  <si>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</si>
  <si>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</si>
  <si>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</si>
  <si>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</si>
  <si>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</si>
  <si>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</si>
  <si>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</si>
  <si>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</si>
  <si>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</si>
  <si>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</si>
  <si>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</si>
  <si>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</si>
  <si>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</si>
  <si>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</si>
  <si>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</si>
  <si>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</si>
  <si>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</si>
  <si>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</si>
  <si>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</si>
  <si>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</si>
  <si>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</si>
  <si>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</si>
  <si>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</si>
  <si>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</si>
  <si>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</si>
  <si>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</si>
  <si>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</si>
  <si>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</si>
  <si>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</si>
  <si>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</si>
  <si>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</si>
  <si>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</si>
  <si>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</si>
  <si>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</si>
  <si>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</si>
  <si>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</si>
  <si>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</si>
  <si>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</si>
  <si>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</si>
  <si>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</si>
  <si>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</si>
  <si>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</si>
  <si>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</si>
  <si>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</si>
  <si>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</si>
  <si>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</si>
  <si>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</si>
  <si>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</si>
  <si>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</si>
  <si>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</si>
  <si>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</si>
  <si>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</si>
  <si>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</si>
  <si>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</si>
  <si>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</si>
  <si>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</si>
  <si>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</si>
  <si>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</si>
  <si>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</si>
  <si>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</si>
  <si>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</si>
  <si>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</si>
  <si>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</si>
  <si>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</si>
  <si>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</si>
  <si>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</si>
  <si>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</si>
  <si>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</si>
  <si>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</si>
  <si>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</si>
  <si>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</si>
  <si>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</si>
  <si>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</si>
  <si>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</si>
  <si>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</si>
  <si>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</si>
  <si>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</si>
  <si>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</si>
  <si>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</si>
  <si>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</si>
  <si>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</si>
  <si>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</si>
  <si>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</si>
  <si>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</si>
  <si>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</si>
  <si>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</si>
  <si>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</si>
  <si>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</si>
  <si>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</si>
  <si>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</si>
  <si>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</si>
  <si>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</si>
  <si>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</si>
  <si>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</si>
  <si>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</si>
  <si>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</si>
  <si>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</si>
  <si>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</si>
  <si>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</si>
  <si>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</si>
  <si>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</si>
  <si>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</si>
  <si>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</si>
  <si>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</si>
  <si>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</si>
  <si>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</si>
  <si>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</si>
  <si>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</si>
  <si>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</si>
  <si>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</si>
  <si>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</si>
  <si>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</si>
  <si>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</si>
  <si>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</si>
  <si>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</si>
  <si>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</si>
  <si>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</si>
  <si>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</si>
  <si>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</si>
  <si>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</si>
  <si>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</si>
  <si>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</si>
  <si>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</si>
  <si>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</si>
  <si>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</si>
  <si>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</si>
  <si>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</si>
  <si>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</si>
  <si>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</si>
  <si>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</si>
  <si>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</si>
  <si>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</si>
  <si>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</si>
  <si>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</si>
  <si>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</si>
  <si>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</si>
  <si>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</si>
  <si>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</si>
  <si>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</si>
  <si>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</si>
  <si>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</si>
  <si>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</si>
  <si>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</si>
  <si>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</si>
  <si>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</si>
  <si>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</si>
  <si>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</si>
  <si>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</si>
  <si>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</si>
  <si>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</si>
  <si>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</si>
  <si>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</si>
  <si>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</si>
  <si>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</si>
  <si>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</si>
  <si>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</si>
  <si>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</si>
  <si>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</si>
  <si>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</si>
  <si>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</si>
  <si>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</si>
  <si>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</si>
  <si>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</si>
  <si>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</si>
  <si>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</si>
  <si>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</si>
  <si>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</si>
  <si>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</si>
  <si>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</si>
  <si>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</si>
  <si>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</si>
  <si>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</si>
  <si>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</si>
  <si>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</si>
  <si>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</si>
  <si>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</si>
  <si>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</si>
  <si>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</si>
  <si>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</si>
  <si>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</si>
  <si>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</si>
  <si>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</si>
  <si>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</si>
  <si>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</si>
  <si>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</si>
  <si>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</si>
  <si>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</si>
  <si>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</si>
  <si>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</si>
  <si>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</si>
  <si>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</si>
  <si>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</si>
  <si>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</si>
  <si>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</si>
  <si>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</si>
  <si>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</si>
  <si>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</si>
  <si>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</si>
  <si>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</si>
  <si>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</si>
  <si>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</si>
  <si>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</si>
  <si>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</si>
  <si>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</si>
  <si>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</si>
  <si>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</si>
  <si>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</si>
  <si>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</si>
  <si>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</si>
  <si>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</si>
  <si>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</si>
  <si>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</si>
  <si>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</si>
  <si>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</si>
  <si>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</si>
  <si>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Splunk Alert: $name$</t>
  </si>
  <si>
    <t>WMS - ASW Open Returns</t>
  </si>
  <si>
    <t>FTP - /splunk/FTP  - ALPHA, ASW,ASWGCP, DWH, gaw_testing,roadnet, SOA</t>
  </si>
  <si>
    <t>Time to get this File path sorted out and put in a place</t>
  </si>
  <si>
    <t>Reports and Dashboards  - Peter mentioned this is not required</t>
  </si>
  <si>
    <t>Enabled/disabled</t>
  </si>
  <si>
    <t>DB Alert Name</t>
  </si>
  <si>
    <t>sql</t>
  </si>
  <si>
    <t>Connection</t>
  </si>
  <si>
    <t>Databse Type</t>
  </si>
  <si>
    <t>Actual Name</t>
  </si>
  <si>
    <t>Email Attachment</t>
  </si>
  <si>
    <t>Email Subject</t>
  </si>
  <si>
    <t>Email Body</t>
  </si>
  <si>
    <t>Email Receipient</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</si>
  <si>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</si>
  <si>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</si>
  <si>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</si>
  <si>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</si>
  <si>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</si>
  <si>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The alert condition for '$name$' was triggered.</t>
  </si>
  <si>
    <t>wmsinternal@rndc-usa.com, wmsmspsupport@rndc-usa.com</t>
  </si>
  <si>
    <t>All warehouse referring to the same oracle server for this alert</t>
  </si>
  <si>
    <t>Enabled</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</si>
  <si>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</si>
  <si>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</si>
  <si>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</si>
  <si>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</si>
  <si>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Link To Alert
Link to Results
Inline Table
Attach CSV</t>
  </si>
  <si>
    <t>wmsinternal@RNDC-USA.COM, WMSMSPSupport@RNDC-USA.COM</t>
  </si>
  <si>
    <t>File Search  Alert Name</t>
  </si>
  <si>
    <t>Search</t>
  </si>
  <si>
    <t>File Location</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</si>
  <si>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</si>
  <si>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WMS - ABQ ALPHA ASN Error</t>
  </si>
  <si>
    <t>Link To Alert
Link to Results
Inline Table</t>
  </si>
  <si>
    <t>wmsinternal@RNDC-USA.COM, FRANCO.FLORES@RNDC-USA.COM, Ryan.McHenry@rndc-usa.com</t>
  </si>
  <si>
    <t>manhattan/common/scripts</t>
  </si>
  <si>
    <t>what is https://http-inputs-rndc.splunkcloud.com/services/collector/event in the py script in this folder?</t>
  </si>
  <si>
    <t>hawaii-in-transit-rma-asns</t>
  </si>
  <si>
    <t>do we need to do both stage and prod</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</si>
  <si>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</si>
  <si>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PEN - MAWM - Duplicate Ship Confirm</t>
  </si>
  <si>
    <t>jdbc:oracle:thin:@at4ex01-scan1.corp.rndc-usa.com:1521/pwmsods_svc1</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</si>
  <si>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</si>
  <si>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wmsinternal@RNDC-USA.COM, WMSMSPSupport@RNDC-USA.COM, DL_MANH_RNDC_MAWM_PSO@manh.com, DL_RNDC_MAWM_CSO@manh.com, wmsconsultant@rndc-usa.com</t>
  </si>
  <si>
    <t>No other locales</t>
  </si>
  <si>
    <t>jdbc:mysql://10.248.248.195:3306/information_schema</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</si>
  <si>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</si>
  <si>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</si>
  <si>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</si>
  <si>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</si>
  <si>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</si>
  <si>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The alert condition for '$name$' was triggered.
Serves as a notification to complete research on pending adjustments as the Corporate Limit is no greater than 45 days outstanding.</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</si>
  <si>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</si>
  <si>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</si>
  <si>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</si>
  <si>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</si>
  <si>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</si>
  <si>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</si>
  <si>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</si>
  <si>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</si>
  <si>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</si>
  <si>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</si>
  <si>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</si>
  <si>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</si>
  <si>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</si>
  <si>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</si>
  <si>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</si>
  <si>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</si>
  <si>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</si>
  <si>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wmsinternal@RNDC-USA.COM, WMSMSPSupport@RNDC-USA.COM, DL_MANH_RNDC_MAWM_PSO@manh.com, DL_RNDC_MAWM_CSO@manh.com</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</si>
  <si>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</si>
  <si>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t>****There are many other locals with different details, see legend 2 below. Only 1 out of 11 enabled alerts under this category is listed in the Legend. When comparing 2 alerts, DB-related details are identical, but significant differences for email-related details exist.</t>
  </si>
  <si>
    <t>wmsinternal@RNDC-USA.COM, Pat.Maggiore@RNDC-USA.COM, Andrew.Landry@RNDC-USA.COM</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</si>
  <si>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</si>
  <si>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</si>
  <si>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index = alpharet punct=__________________________________________________  | eval file_date=strftime(now(), "%Y-%m-%d")   | eval mySource="/splunk/FTP/Alpha/ret/atl_retlpn_" + file_date + ".txt"   | where match(source, mySource)| search</t>
  </si>
  <si>
    <t>wmsinternal@RNDC-USA.COM,Steven.Pacheco@NATDISTCO.COM, Kandy.Harkness@RNDC-USA.COM, MAKARSHA.COPELAND@RNDC-USA.COM, leroy.willis@rndc-usa.com,Juan.gutierrez@rndc-usa.com,Raymond.Tuff@RNDC-USA.COM</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</si>
  <si>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</si>
  <si>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Link To Alert
Link to Results
Inline Table
Attach PDF</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</si>
  <si>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</si>
  <si>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xml:space="preserve">
WSD - MAWM - Routed Orders Cancelled</t>
  </si>
  <si>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</si>
  <si>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</si>
  <si>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wmsinternal@RNDC-USA.COM, Ryan.McHenry@rndc-usa.com, FRANCO.FLORES@RNDC-USA.COM</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</si>
  <si>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</si>
  <si>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 xml:space="preserve">
Link to Results
Inline Table
Attach PDF</t>
  </si>
  <si>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</si>
  <si>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WMS - ABQ Alpha Open/Error ASN</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</si>
  <si>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</si>
  <si>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t>WMS - LAF Alpha Open Adjustments &gt; 40 days
- These Adjustment are open longer than 40 days -</t>
  </si>
  <si>
    <t>WMS - ATL Alpha Open Returns
Returns open for more than 24 hours</t>
  </si>
  <si>
    <t>WMS - ELP ASW ASN Error</t>
  </si>
  <si>
    <t>sourcetype = asn_error_csv AHZMSROM=ELP | eval file_date=strftime(now(), "%Y_%m_%d")  | eval mySource="/splunk/FTP/ASW/ASN_Errors_" + file_date + ".csv"   | where match(source, mySource) | table AHZMSROM AHZMASNN _time | rename AHZMSROM AS "HOUSE" AHZMASNN AS "ASN"</t>
  </si>
  <si>
    <t>wmsinternal@RNDC-USA.COM, WMSMSPSupport@RNDC-USA.COM, Doug.Houston@RNDC-USA.COM, Jason.Teising@RNDC-USA.COM, keith.thompson@rndc-usa.com,frank.ceja@rndc-usa.com</t>
  </si>
  <si>
    <t>Inline Table</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</si>
  <si>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</si>
  <si>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</si>
  <si>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</si>
  <si>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</si>
  <si>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</si>
  <si>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</si>
  <si>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WMS - ELP ASW - Pending Shipment Quantities &gt; 1 week</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</si>
  <si>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</si>
  <si>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"/splunk/FTP/ASW/Pending_Shipments_Open_" + file_date + ".csv"</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</si>
  <si>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</si>
  <si>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</si>
  <si>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</si>
  <si>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</si>
  <si>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</si>
  <si>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</si>
  <si>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wmsinternal@RNDC-USA.COM, Mitchell.Elliott@RNDC-USA.COM, Bruno.Sandoval@RNDC-USA.COM, Carlos.Murillo@RNDC-USA.COM</t>
  </si>
  <si>
    <t xml:space="preserve"> ARK - MAWM - Orders not Process in Host &gt; 15 Minutes </t>
  </si>
  <si>
    <t>dbxquery query="SELECT warehouse, invoice_no, item_no, ship_qty, prc_status, created_dttm, messageid FROM ark_wmsods.ship_confirm WHERE prc_status = 10 AND created_dttm &lt; sysdate - 60/1440 ORDER BY  created_dttm desc" connection="MAWM_SOA_PRD"</t>
  </si>
  <si>
    <t>WMSInternal@RNDC-USA.COM, WMSMSPSupport@RNDC-USA.COM, Kim.Crawford@rndc-usa.com, Joe.Thompson@rndc-usa.com</t>
  </si>
  <si>
    <t>Please Contact Host System to see why orders are not processing.</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</si>
  <si>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</si>
  <si>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 xml:space="preserve"> ALL - MAWM - Orders Stuck in Created Status &gt; 15 Minutes </t>
  </si>
  <si>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</si>
  <si>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</si>
  <si>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</si>
  <si>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House="LAF"
House="NEW"</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</si>
  <si>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</si>
  <si>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</si>
  <si>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to: Ryan.Metz@rndc-usa.com, John.Hall@rndc-usa.com, Anthony.Coleman@rndc-usa.com, Dazzle.Keyser@rndc-usa.com,  CC: Douglas.Garner@rndc-usa.com, wmsinternal@rndc-usa.com, wmsconsultant@rndc-usa.com, WMSMSPSupport@RNDC-USA.COM</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</si>
  <si>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</si>
  <si>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These 3 groups of warehouses under this alert SELECT different columns and differ between each other, though connection string is identical
(DFB - MAWM - Standard Orders Deselected During Waving and 
IND - MAWM - Standard Orders Deselected During Waving) ; (
PEN - MAWM - Standard Orders Deselected During Waving); and (all remaining enabled alerts) </t>
  </si>
  <si>
    <t>POR - MAWM - Standard Orders w/ No Designated or Assigned Shipments Created</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</si>
  <si>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</si>
  <si>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</si>
  <si>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</si>
  <si>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</si>
  <si>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</si>
  <si>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</si>
  <si>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</si>
  <si>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</si>
  <si>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</si>
  <si>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</si>
  <si>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</si>
  <si>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</si>
  <si>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</si>
  <si>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</si>
  <si>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mySource="/splunk/FTP/Alpha/adj/atl_adjtrx_" + file_date + ".txt"</t>
  </si>
  <si>
    <t xml:space="preserve"> WMS - ATL Alpha Open Adjustments &gt; 35 days </t>
  </si>
  <si>
    <t>to: wmsinternal@RNDC-USA.COM,  Jennifer.Arrington@NATDISTCO.COM,Juan.gutierrez@rndc-usa.com,Raymond.Tuff@RNDC-USA.COM,eduardo.gutierrez@rndc-usa.com CC: Jennifer.arrington@natdistco.com</t>
  </si>
  <si>
    <t>mySource="/splunk/FTP/Alpha/adj/laf_adjtrx_" + file_date + ".txt"</t>
  </si>
  <si>
    <t xml:space="preserve"> WMS - LAF Alpha Open Adjustments &gt; 40 days </t>
  </si>
  <si>
    <t>Unable to find Database and Database type in Splunk DB Connect</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</si>
  <si>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</si>
  <si>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</si>
  <si>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</si>
  <si>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</si>
  <si>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</si>
  <si>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</si>
  <si>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 WSD - MAWM - Routes With Multiple Wave Numbers </t>
  </si>
  <si>
    <t>to: demetrius.dever@rndc-usa.com, Michael.Clark@RNDC-USA.com,clarence.hall@rndc-usa.com,brian.bowen@rndc-usa.com,barbara.jackson@rndc-usa.com,rodney.williams@rndc-usa.com cc: wmsinternal@rndc-usa.com, wmsconsultant@rndc-usa.com, WMSMSPSupport@RNDC-USA.COM</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</si>
  <si>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</si>
  <si>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</si>
  <si>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TAM - MAWM - Routes With Multiple Wave Numbers and  WMS-LIVRoutes With Multiple Wave Numbers have very different scripts compared to other locales</t>
  </si>
  <si>
    <t>Unable to find Alert</t>
  </si>
  <si>
    <t>POR - MAWM - Shipped oLPN w/ Consolidation Location Assignment</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</si>
  <si>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</si>
  <si>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</si>
  <si>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 xml:space="preserve">Surprisingly, 
SAA- MAWM - Shipped oLPN w/ Consolidation Location Assignment also uses CLIA.ORG_ID = 'POR' in its Splunk query </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</si>
  <si>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</si>
  <si>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</si>
  <si>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</si>
  <si>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</si>
  <si>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</si>
  <si>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</si>
  <si>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</si>
  <si>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</si>
  <si>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xml:space="preserve"> ALL - MAWM - Inventory Adjustment PIX w/ Null PO Line </t>
  </si>
  <si>
    <t>DL_RNDC_MAWM_CSO@manh.com, wmsinternal@rndc-usa.com</t>
  </si>
  <si>
    <t>The alert condition for '$name$' was triggered.
Manhattan case number 7870769</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</si>
  <si>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</si>
  <si>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"/splunk/FTP/Alpha/asn/abq_asnhdr_" + file_date + ".txt" </t>
  </si>
  <si>
    <t>"/splunk/FTP/Alpha/adj/atl_adjtrx_" + file_date + ".txt"</t>
  </si>
  <si>
    <t>"/splunk/FTP/Alpha/adj/laf_adjtrx_" + file_date + ".txt"</t>
  </si>
  <si>
    <t>"/splunk/FTP/Alpha/ret/atl_retlpn_" + file_date + ".txt"</t>
  </si>
  <si>
    <t>"/splunk/FTP/ASW/ASN_Errors_" + file_date + ".csv"</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</si>
  <si>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</si>
  <si>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</si>
  <si>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Unable to obtain</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</si>
  <si>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</si>
  <si>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 SELECT T2.org_id,
       T2.task_id,
       T2.hdr_stat                                        TASK_HDR_STATUS,
       T2.transaction_id,
       Concat(T2.min_task_dtl_stat, '-', TDS.description) MIN_TASK_DETAIL_STATUS
       ,
       T2.updated_timestamp,
       T2.task_detail_id
FROM   (SELECT org_id,
               task_id,
               hdr_stat,
               status,
               transaction_id,
               Min(task_detail_status_id) MIN_TASK_DTL_STAT,
               updated_timestamp,
               task_detail_id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&gt;= '8000'
               AND status &lt;&gt; '8500'
        GROUP  BY task_id,
                  org_id,
                  transaction_id,
                  status,
                  hdr_stat,
                  updated_timestamp,
                  task_detail_id)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</si>
  <si>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Question to Peter</t>
  </si>
  <si>
    <t>DB Alerts - ALL - MAWM - In Packing oLPNS &gt; 5 Minutes</t>
  </si>
  <si>
    <t>Refering inputlookup MA_SOA.csv | table USERNAME | map maxsearches=100 search</t>
  </si>
  <si>
    <t>Harvey Goldstein, Robert curl</t>
  </si>
  <si>
    <t>CSV</t>
  </si>
  <si>
    <t>TXT</t>
  </si>
  <si>
    <t>| dbxquery query=" SELECT T2.org_id,
       T2.task_id,/*TASK_DETAIL_ID, */
       T2.hdr_stat                                        TASK_HDR_STATUS,
       T2.transaction_id,
       Concat(T2.min_task_dtl_stat, '-', TDS.description) MIN_TASK_DETAIL_STATUS
       ,
       T2.updated_timestamp
FROM   (SELECT org_id,
               task_id,/*TASK_DETAIL_ID,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task_id,/*TASK_DETAIL_ID,*/
                  org_id,
                  transaction_id,
                  status,
                  hdr_stat,
                  updated_timestamp) T2
       left join default_task.tsk_task_detail_status TDS
              ON TDS.task_detail_status_id = T2.min_task_dtl_stat
WHERE  min_task_dtl_stat IN ( '8000', '9000' )
       AND T2.updated_timestamp &lt; Now() - interval 120 minute
ORDER  BY 1;" 
 connection="MAPRD_NEW"</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</si>
  <si>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</si>
  <si>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</si>
  <si>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**Unresolved questions about source, seems to have both csv and oracle database as source</t>
  </si>
  <si>
    <t>EVAL</t>
  </si>
  <si>
    <t>rex - regular expressions</t>
  </si>
  <si>
    <t xml:space="preserve">1.	Time range contradiction: Searches 2 days ago but filters for today's file
2.	Empty search command: May cause unexpected behavior
</t>
  </si>
  <si>
    <t>eval</t>
  </si>
  <si>
    <t>csv file name</t>
  </si>
  <si>
    <t>Alert disabled</t>
  </si>
  <si>
    <t>Combine two schedules</t>
  </si>
  <si>
    <t>/splunk/FTP/DWH/Product_image_dimension.txt</t>
  </si>
  <si>
    <t>FTP</t>
  </si>
  <si>
    <t>Kinsy : Need to lookinto this</t>
  </si>
  <si>
    <t>File location</t>
  </si>
  <si>
    <t xml:space="preserve">House field
House="ABQ"
House="ASH"
House="ATL"
House="COL"
House="DEN"
House="DFB"
House="FAR"
House="IND"
House="JAC"
House="JES"
House="LAF"
House="LIV"
House="IND"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</si>
</sst>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s>
  <fills count="21">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6" fillId="20" borderId="0" applyNumberFormat="0" applyBorder="0" applyAlignment="0" applyProtection="0"/>
  </cellStyleXfs>
  <cellXfs count="239">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4"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vertical="center" wrapText="1"/>
    </xf>
    <xf numFmtId="0" fontId="0" fillId="0" borderId="20" xfId="0" applyBorder="1" applyAlignment="1">
      <alignment horizontal="left" wrapText="1"/>
    </xf>
    <xf numFmtId="0" fontId="0" fillId="0" borderId="21" xfId="0" applyBorder="1" applyAlignment="1">
      <alignment horizontal="left" wrapText="1"/>
    </xf>
    <xf numFmtId="0" fontId="1" fillId="18" borderId="23" xfId="0" applyFont="1" applyFill="1"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0" fillId="0" borderId="0" xfId="0" applyAlignment="1"/>
    <xf numFmtId="0" fontId="0" fillId="0" borderId="0" xfId="0" applyAlignment="1">
      <alignment horizontal="center" wrapText="1"/>
    </xf>
    <xf numFmtId="0" fontId="0" fillId="0" borderId="0" xfId="0" applyFill="1"/>
    <xf numFmtId="0" fontId="1" fillId="13" borderId="0" xfId="0" applyFont="1" applyFill="1" applyAlignment="1">
      <alignment wrapText="1"/>
    </xf>
    <xf numFmtId="0" fontId="1" fillId="13" borderId="0" xfId="0" applyFont="1" applyFill="1"/>
    <xf numFmtId="0" fontId="0" fillId="0" borderId="0" xfId="0" applyBorder="1"/>
    <xf numFmtId="0" fontId="0" fillId="13" borderId="0" xfId="0" applyFill="1" applyAlignment="1">
      <alignment horizontal="center"/>
    </xf>
    <xf numFmtId="0" fontId="0" fillId="13" borderId="0" xfId="0" applyFill="1" applyAlignment="1"/>
    <xf numFmtId="0" fontId="5" fillId="13" borderId="0" xfId="0" applyFont="1" applyFill="1" applyAlignment="1">
      <alignment wrapText="1"/>
    </xf>
    <xf numFmtId="0" fontId="0" fillId="8" borderId="0" xfId="0" applyFill="1"/>
    <xf numFmtId="0" fontId="0" fillId="8" borderId="0" xfId="0" applyFill="1" applyAlignment="1">
      <alignment wrapText="1"/>
    </xf>
    <xf numFmtId="0" fontId="0" fillId="8" borderId="0" xfId="0" applyFill="1" applyAlignment="1"/>
    <xf numFmtId="0" fontId="5" fillId="8" borderId="0" xfId="0" applyFont="1" applyFill="1" applyAlignment="1">
      <alignment wrapText="1"/>
    </xf>
  </cellXfs>
  <cellStyles count="2">
    <cellStyle name="Neutral" xfId="1" builtinId="28"/>
    <cellStyle name="Normal" xfId="0" builtinId="0"/>
  </cellStyles>
  <dxfs count="22">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21" headerRowBorderDxfId="20" tableBorderDxfId="19" totalsRowBorderDxfId="18">
  <autoFilter ref="A3:H318" xr:uid="{44C00BCB-4813-4BE4-B3A3-8FF0C4154635}"/>
  <tableColumns count="8">
    <tableColumn id="1" xr3:uid="{C2220F70-676F-4D44-AAB6-2241257E6AC1}" name="Script" dataDxfId="17"/>
    <tableColumn id="2" xr3:uid="{13F57B75-D5F7-438D-B76E-C0FC31BDCB18}" name="Site" dataDxfId="16"/>
    <tableColumn id="3" xr3:uid="{E0525DD2-9FCA-41D7-94D7-0B8C800C90EF}" name="Desired CRON" dataDxfId="15"/>
    <tableColumn id="4" xr3:uid="{4C41A37E-AC42-43B1-A71A-919493638A8E}" name="Cron Expansion" dataDxfId="14"/>
    <tableColumn id="5" xr3:uid="{64B4038C-D277-40D8-ABBA-41097F5FE989}" name="Daily Frequency" dataDxfId="13"/>
    <tableColumn id="6" xr3:uid="{BE13C95E-F093-44F3-9682-25C1B844D480}" name="Hourly Frequency" dataDxfId="12"/>
    <tableColumn id="7" xr3:uid="{C33BB005-D4F2-4FA8-8496-E0EEEBAACFCC}" name="Tempo Requirement_x000a_Time Interval, Duration/Interval" dataDxfId="11"/>
    <tableColumn id="8" xr3:uid="{966331D6-5328-4C92-8539-40CF811A06C7}" name="Prioritized" dataDxf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10" Type="http://schemas.microsoft.com/office/2019/04/relationships/namedSheetView" Target="../namedSheetViews/namedSheetView1.xm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4.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topLeftCell="A2" zoomScale="85" zoomScaleNormal="85" workbookViewId="0">
      <selection activeCell="L9" sqref="L9"/>
    </sheetView>
    <sheetView workbookViewId="1"/>
  </sheetViews>
  <sheetFormatPr baseColWidth="10" defaultColWidth="8.83203125" defaultRowHeight="15"/>
  <cols>
    <col min="2" max="2" width="42.6640625" bestFit="1" customWidth="1"/>
    <col min="3" max="8" width="18.6640625" customWidth="1"/>
    <col min="9" max="9" width="19.83203125" customWidth="1"/>
    <col min="10" max="10" width="19.83203125" bestFit="1" customWidth="1"/>
    <col min="11" max="11" width="18.6640625" customWidth="1"/>
    <col min="12" max="12" width="75" customWidth="1"/>
    <col min="13" max="13" width="10.33203125" bestFit="1" customWidth="1"/>
  </cols>
  <sheetData>
    <row r="1" spans="2:13" ht="16" thickBot="1"/>
    <row r="2" spans="2:13" ht="15" customHeight="1">
      <c r="B2" s="201" t="s">
        <v>0</v>
      </c>
      <c r="C2" s="202"/>
      <c r="D2" s="202"/>
      <c r="E2" s="202"/>
      <c r="F2" s="202"/>
      <c r="G2" s="202"/>
      <c r="H2" s="202"/>
      <c r="I2" s="202"/>
      <c r="J2" s="202"/>
      <c r="K2" s="202"/>
      <c r="L2" s="202"/>
      <c r="M2" s="203"/>
    </row>
    <row r="3" spans="2:13" ht="15.75" customHeight="1" thickBot="1">
      <c r="B3" s="204"/>
      <c r="C3" s="205"/>
      <c r="D3" s="205"/>
      <c r="E3" s="205"/>
      <c r="F3" s="205"/>
      <c r="G3" s="205"/>
      <c r="H3" s="205"/>
      <c r="I3" s="205"/>
      <c r="J3" s="205"/>
      <c r="K3" s="205"/>
      <c r="L3" s="205"/>
      <c r="M3" s="206"/>
    </row>
    <row r="4" spans="2:13" ht="17" thickBot="1">
      <c r="B4" s="182" t="s">
        <v>1</v>
      </c>
      <c r="C4" s="183" t="s">
        <v>2</v>
      </c>
      <c r="D4" s="184" t="s">
        <v>3</v>
      </c>
      <c r="E4" s="184" t="s">
        <v>4</v>
      </c>
      <c r="F4" s="185" t="s">
        <v>5</v>
      </c>
      <c r="G4" s="185" t="s">
        <v>6</v>
      </c>
      <c r="H4" s="186" t="s">
        <v>7</v>
      </c>
      <c r="I4" s="186" t="s">
        <v>8</v>
      </c>
      <c r="J4" s="187" t="s">
        <v>9</v>
      </c>
      <c r="K4" s="188" t="s">
        <v>10</v>
      </c>
      <c r="L4" s="189" t="s">
        <v>11</v>
      </c>
      <c r="M4" s="189" t="s">
        <v>12</v>
      </c>
    </row>
    <row r="5" spans="2:13" ht="112">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04">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40">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273"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6"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6" thickBot="1"/>
    <row r="15" spans="2:13" ht="15" customHeight="1">
      <c r="B15" s="201" t="s">
        <v>24</v>
      </c>
      <c r="C15" s="202"/>
      <c r="D15" s="202"/>
      <c r="E15" s="202"/>
      <c r="F15" s="202"/>
      <c r="G15" s="202"/>
      <c r="H15" s="202"/>
      <c r="I15" s="202"/>
      <c r="J15" s="202"/>
      <c r="K15" s="202"/>
      <c r="L15" s="203"/>
    </row>
    <row r="16" spans="2:13" ht="15.75" customHeight="1" thickBot="1">
      <c r="B16" s="204"/>
      <c r="C16" s="205"/>
      <c r="D16" s="205"/>
      <c r="E16" s="205"/>
      <c r="F16" s="205"/>
      <c r="G16" s="205"/>
      <c r="H16" s="205"/>
      <c r="I16" s="205"/>
      <c r="J16" s="205"/>
      <c r="K16" s="205"/>
      <c r="L16" s="206"/>
    </row>
    <row r="17" spans="2:12" ht="33" thickBot="1">
      <c r="B17" s="84" t="s">
        <v>25</v>
      </c>
      <c r="C17" s="85" t="s">
        <v>26</v>
      </c>
      <c r="D17" s="85" t="s">
        <v>27</v>
      </c>
      <c r="E17" s="216" t="s">
        <v>28</v>
      </c>
      <c r="F17" s="216"/>
      <c r="G17" s="85" t="s">
        <v>29</v>
      </c>
      <c r="H17" s="219" t="s">
        <v>28</v>
      </c>
      <c r="I17" s="219"/>
      <c r="J17" s="140" t="s">
        <v>30</v>
      </c>
      <c r="K17" s="207" t="s">
        <v>28</v>
      </c>
      <c r="L17" s="208"/>
    </row>
    <row r="18" spans="2:12" ht="63" customHeight="1">
      <c r="B18" s="86" t="s">
        <v>31</v>
      </c>
      <c r="C18" s="87" t="s">
        <v>32</v>
      </c>
      <c r="D18" s="87" t="s">
        <v>32</v>
      </c>
      <c r="E18" s="214" t="s">
        <v>33</v>
      </c>
      <c r="F18" s="215"/>
      <c r="G18" s="88" t="s">
        <v>32</v>
      </c>
      <c r="H18" s="214" t="s">
        <v>34</v>
      </c>
      <c r="I18" s="215"/>
      <c r="J18" s="142" t="s">
        <v>35</v>
      </c>
      <c r="K18" s="209" t="s">
        <v>36</v>
      </c>
      <c r="L18" s="210"/>
    </row>
    <row r="19" spans="2:12">
      <c r="B19" s="81" t="s">
        <v>37</v>
      </c>
      <c r="C19" s="2" t="s">
        <v>32</v>
      </c>
      <c r="D19" s="2" t="s">
        <v>32</v>
      </c>
      <c r="E19" s="213" t="s">
        <v>38</v>
      </c>
      <c r="F19" s="210"/>
      <c r="G19" s="89" t="s">
        <v>35</v>
      </c>
      <c r="H19" s="213" t="s">
        <v>39</v>
      </c>
      <c r="I19" s="210"/>
      <c r="J19" s="143" t="s">
        <v>40</v>
      </c>
      <c r="K19" s="211"/>
      <c r="L19" s="212"/>
    </row>
    <row r="20" spans="2:12" ht="30" customHeight="1">
      <c r="B20" s="81" t="s">
        <v>41</v>
      </c>
      <c r="C20" s="2" t="s">
        <v>32</v>
      </c>
      <c r="D20" s="2" t="s">
        <v>32</v>
      </c>
      <c r="E20" s="213" t="s">
        <v>42</v>
      </c>
      <c r="F20" s="210"/>
      <c r="G20" s="89" t="s">
        <v>40</v>
      </c>
      <c r="H20" s="213" t="s">
        <v>43</v>
      </c>
      <c r="I20" s="210"/>
      <c r="J20" s="143" t="s">
        <v>40</v>
      </c>
      <c r="K20" s="211"/>
      <c r="L20" s="212"/>
    </row>
    <row r="21" spans="2:12" ht="36" customHeight="1">
      <c r="B21" s="81" t="s">
        <v>44</v>
      </c>
      <c r="C21" s="2" t="s">
        <v>32</v>
      </c>
      <c r="D21" s="2" t="s">
        <v>32</v>
      </c>
      <c r="E21" s="213" t="s">
        <v>42</v>
      </c>
      <c r="F21" s="210"/>
      <c r="G21" s="89" t="s">
        <v>40</v>
      </c>
      <c r="H21" s="213" t="s">
        <v>43</v>
      </c>
      <c r="I21" s="210"/>
      <c r="J21" s="143" t="s">
        <v>40</v>
      </c>
      <c r="K21" s="211"/>
      <c r="L21" s="212"/>
    </row>
    <row r="22" spans="2:12" ht="29.25" customHeight="1">
      <c r="B22" s="81" t="s">
        <v>45</v>
      </c>
      <c r="C22" s="2" t="s">
        <v>32</v>
      </c>
      <c r="D22" s="2" t="s">
        <v>32</v>
      </c>
      <c r="E22" s="213" t="s">
        <v>42</v>
      </c>
      <c r="F22" s="210"/>
      <c r="G22" s="89" t="s">
        <v>40</v>
      </c>
      <c r="H22" s="213" t="s">
        <v>43</v>
      </c>
      <c r="I22" s="210"/>
      <c r="J22" s="143" t="s">
        <v>40</v>
      </c>
      <c r="K22" s="211"/>
      <c r="L22" s="212"/>
    </row>
    <row r="23" spans="2:12" ht="48.75" customHeight="1">
      <c r="B23" s="81" t="s">
        <v>46</v>
      </c>
      <c r="C23" s="2" t="s">
        <v>32</v>
      </c>
      <c r="D23" s="2" t="s">
        <v>32</v>
      </c>
      <c r="E23" s="213" t="s">
        <v>38</v>
      </c>
      <c r="F23" s="210"/>
      <c r="G23" s="2" t="s">
        <v>32</v>
      </c>
      <c r="H23" s="213" t="s">
        <v>47</v>
      </c>
      <c r="I23" s="210"/>
      <c r="J23" s="143" t="s">
        <v>40</v>
      </c>
      <c r="K23" s="209" t="s">
        <v>36</v>
      </c>
      <c r="L23" s="210"/>
    </row>
    <row r="24" spans="2:12" ht="30" customHeight="1">
      <c r="B24" s="81" t="s">
        <v>48</v>
      </c>
      <c r="C24" s="2" t="s">
        <v>32</v>
      </c>
      <c r="D24" s="2" t="s">
        <v>32</v>
      </c>
      <c r="E24" s="213" t="s">
        <v>42</v>
      </c>
      <c r="F24" s="210"/>
      <c r="G24" s="89" t="s">
        <v>40</v>
      </c>
      <c r="H24" s="213" t="s">
        <v>43</v>
      </c>
      <c r="I24" s="210"/>
      <c r="J24" s="143" t="s">
        <v>40</v>
      </c>
      <c r="K24" s="211"/>
      <c r="L24" s="212"/>
    </row>
    <row r="25" spans="2:12" ht="49.5" customHeight="1">
      <c r="B25" s="81" t="s">
        <v>49</v>
      </c>
      <c r="C25" s="2" t="s">
        <v>35</v>
      </c>
      <c r="D25" s="2" t="s">
        <v>40</v>
      </c>
      <c r="E25" s="213" t="s">
        <v>50</v>
      </c>
      <c r="F25" s="210"/>
      <c r="G25" s="89" t="s">
        <v>40</v>
      </c>
      <c r="H25" s="213" t="s">
        <v>43</v>
      </c>
      <c r="I25" s="210"/>
      <c r="J25" s="143" t="s">
        <v>40</v>
      </c>
      <c r="K25" s="211"/>
      <c r="L25" s="212"/>
    </row>
    <row r="26" spans="2:12" ht="33" customHeight="1">
      <c r="B26" s="81" t="s">
        <v>51</v>
      </c>
      <c r="C26" s="2" t="s">
        <v>35</v>
      </c>
      <c r="D26" s="2" t="s">
        <v>40</v>
      </c>
      <c r="E26" s="213" t="s">
        <v>52</v>
      </c>
      <c r="F26" s="210"/>
      <c r="G26" s="89" t="s">
        <v>40</v>
      </c>
      <c r="H26" s="213" t="s">
        <v>43</v>
      </c>
      <c r="I26" s="210"/>
      <c r="J26" s="143" t="s">
        <v>40</v>
      </c>
      <c r="K26" s="211"/>
      <c r="L26" s="212"/>
    </row>
    <row r="27" spans="2:12" ht="16" thickBot="1">
      <c r="B27" s="82" t="s">
        <v>53</v>
      </c>
      <c r="C27" s="83" t="s">
        <v>15</v>
      </c>
      <c r="D27" s="83" t="s">
        <v>15</v>
      </c>
      <c r="E27" s="217" t="s">
        <v>54</v>
      </c>
      <c r="F27" s="218"/>
      <c r="G27" s="90" t="s">
        <v>40</v>
      </c>
      <c r="H27" s="217" t="s">
        <v>43</v>
      </c>
      <c r="I27" s="218"/>
      <c r="J27" s="144" t="s">
        <v>40</v>
      </c>
      <c r="K27" s="220"/>
      <c r="L27" s="221"/>
    </row>
  </sheetData>
  <mergeCells count="35">
    <mergeCell ref="K25:L25"/>
    <mergeCell ref="K26:L26"/>
    <mergeCell ref="K27:L27"/>
    <mergeCell ref="K20:L20"/>
    <mergeCell ref="K21:L21"/>
    <mergeCell ref="K22:L22"/>
    <mergeCell ref="K23:L23"/>
    <mergeCell ref="K24:L24"/>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E22:F22"/>
    <mergeCell ref="E23:F23"/>
    <mergeCell ref="E24:F24"/>
    <mergeCell ref="E18:F18"/>
    <mergeCell ref="E17:F17"/>
    <mergeCell ref="E19:F19"/>
    <mergeCell ref="B15:L16"/>
    <mergeCell ref="K17:L17"/>
    <mergeCell ref="K18:L18"/>
    <mergeCell ref="K19:L19"/>
    <mergeCell ref="B2:M3"/>
  </mergeCells>
  <conditionalFormatting sqref="C18:D27 G18:G27 J18:J27">
    <cfRule type="cellIs" dxfId="9" priority="1" operator="equal">
      <formula>"Complete"</formula>
    </cfRule>
    <cfRule type="cellIs" dxfId="8" priority="2" operator="equal">
      <formula>"In Progress"</formula>
    </cfRule>
    <cfRule type="cellIs" dxfId="7"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election activeCell="O19" sqref="O19"/>
    </sheetView>
    <sheetView workbookViewId="1"/>
  </sheetViews>
  <sheetFormatPr baseColWidth="10" defaultColWidth="8.83203125" defaultRowHeight="15"/>
  <cols>
    <col min="4" max="4" width="41.5" bestFit="1" customWidth="1"/>
    <col min="5" max="5" width="32.5" customWidth="1"/>
    <col min="6" max="6" width="27.33203125" bestFit="1" customWidth="1"/>
    <col min="7" max="7" width="21.83203125" customWidth="1"/>
    <col min="8" max="8" width="28.1640625" bestFit="1" customWidth="1"/>
  </cols>
  <sheetData>
    <row r="10" spans="4:8" ht="16" thickBot="1"/>
    <row r="11" spans="4:8">
      <c r="D11" s="201" t="s">
        <v>24</v>
      </c>
      <c r="E11" s="202"/>
      <c r="F11" s="202"/>
      <c r="G11" s="202"/>
      <c r="H11" s="203"/>
    </row>
    <row r="12" spans="4:8" ht="16" thickBot="1">
      <c r="D12" s="204"/>
      <c r="E12" s="205"/>
      <c r="F12" s="205"/>
      <c r="G12" s="205"/>
      <c r="H12" s="206"/>
    </row>
    <row r="13" spans="4:8" ht="17"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6" thickBot="1">
      <c r="D23" s="148" t="s">
        <v>53</v>
      </c>
      <c r="E23" s="149" t="s">
        <v>15</v>
      </c>
      <c r="F23" s="149" t="s">
        <v>15</v>
      </c>
      <c r="G23" s="144" t="s">
        <v>40</v>
      </c>
      <c r="H23" s="144" t="s">
        <v>40</v>
      </c>
    </row>
  </sheetData>
  <mergeCells count="1">
    <mergeCell ref="D11:H12"/>
  </mergeCells>
  <conditionalFormatting sqref="E14:H23">
    <cfRule type="cellIs" dxfId="6" priority="1" operator="equal">
      <formula>"Complete"</formula>
    </cfRule>
    <cfRule type="cellIs" dxfId="5" priority="2" operator="equal">
      <formula>"In Progress"</formula>
    </cfRule>
    <cfRule type="cellIs" dxfId="4"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dimension ref="A1:N89"/>
  <sheetViews>
    <sheetView tabSelected="1" zoomScaleNormal="100" workbookViewId="0">
      <pane ySplit="1" topLeftCell="A55" activePane="bottomLeft" state="frozen"/>
      <selection pane="bottomLeft" activeCell="A68" sqref="A68"/>
    </sheetView>
    <sheetView topLeftCell="B1" workbookViewId="1">
      <selection activeCell="D2" sqref="D2"/>
    </sheetView>
  </sheetViews>
  <sheetFormatPr baseColWidth="10" defaultColWidth="8.83203125" defaultRowHeight="15"/>
  <cols>
    <col min="1" max="1" width="54.33203125" customWidth="1"/>
    <col min="2" max="2" width="71.1640625" customWidth="1"/>
    <col min="3" max="3" width="48" customWidth="1"/>
    <col min="5" max="6" width="16.5" customWidth="1"/>
    <col min="7" max="8" width="13.6640625" customWidth="1"/>
    <col min="9" max="9" width="55.5" style="38" customWidth="1"/>
    <col min="10" max="10" width="23.1640625" style="38" customWidth="1"/>
    <col min="11" max="11" width="41.6640625" customWidth="1"/>
  </cols>
  <sheetData>
    <row r="1" spans="1:14" ht="16">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ht="14.5">
      <c r="A2" t="s">
        <v>103</v>
      </c>
      <c r="B2" s="125" t="s">
        <v>85</v>
      </c>
      <c r="C2" t="s">
        <v>78</v>
      </c>
      <c r="D2" t="s">
        <v>71</v>
      </c>
      <c r="E2" t="s">
        <v>104</v>
      </c>
      <c r="F2" t="s">
        <v>105</v>
      </c>
      <c r="G2" t="s">
        <v>74</v>
      </c>
      <c r="I2" s="38" t="s">
        <v>106</v>
      </c>
    </row>
    <row r="3" spans="1:14" ht="288">
      <c r="A3" t="s">
        <v>107</v>
      </c>
      <c r="B3" s="125" t="s">
        <v>77</v>
      </c>
      <c r="C3" t="s">
        <v>108</v>
      </c>
      <c r="D3" t="s">
        <v>71</v>
      </c>
      <c r="E3" t="s">
        <v>109</v>
      </c>
      <c r="F3" t="s">
        <v>110</v>
      </c>
      <c r="G3" t="s">
        <v>111</v>
      </c>
      <c r="I3" s="38" t="s">
        <v>112</v>
      </c>
      <c r="J3" s="38" t="s">
        <v>113</v>
      </c>
    </row>
    <row r="4" spans="1:14" ht="304">
      <c r="A4" t="s">
        <v>114</v>
      </c>
      <c r="B4" s="125">
        <v>11</v>
      </c>
      <c r="C4" t="s">
        <v>108</v>
      </c>
      <c r="D4" t="s">
        <v>71</v>
      </c>
      <c r="E4" t="s">
        <v>109</v>
      </c>
      <c r="F4" t="s">
        <v>110</v>
      </c>
      <c r="G4" t="s">
        <v>111</v>
      </c>
      <c r="I4" s="38" t="s">
        <v>115</v>
      </c>
    </row>
    <row r="5" spans="1:14" ht="304">
      <c r="A5" t="s">
        <v>120</v>
      </c>
      <c r="B5" s="125">
        <v>12</v>
      </c>
      <c r="C5" t="s">
        <v>108</v>
      </c>
      <c r="D5" t="s">
        <v>71</v>
      </c>
      <c r="E5" t="s">
        <v>109</v>
      </c>
      <c r="F5" t="s">
        <v>110</v>
      </c>
      <c r="G5" t="s">
        <v>111</v>
      </c>
      <c r="I5" s="38" t="s">
        <v>121</v>
      </c>
    </row>
    <row r="6" spans="1:14" ht="208">
      <c r="A6" t="s">
        <v>118</v>
      </c>
      <c r="B6" s="125" t="s">
        <v>77</v>
      </c>
      <c r="C6" t="s">
        <v>108</v>
      </c>
      <c r="D6" t="s">
        <v>71</v>
      </c>
      <c r="E6" t="s">
        <v>109</v>
      </c>
      <c r="F6" t="s">
        <v>110</v>
      </c>
      <c r="G6" t="s">
        <v>111</v>
      </c>
      <c r="I6" s="38" t="s">
        <v>119</v>
      </c>
    </row>
    <row r="7" spans="1:14" ht="16">
      <c r="A7" t="s">
        <v>122</v>
      </c>
      <c r="B7" s="125" t="s">
        <v>85</v>
      </c>
      <c r="C7" t="s">
        <v>123</v>
      </c>
      <c r="D7" t="s">
        <v>71</v>
      </c>
      <c r="E7" t="s">
        <v>72</v>
      </c>
      <c r="F7" t="s">
        <v>124</v>
      </c>
      <c r="G7" t="s">
        <v>111</v>
      </c>
      <c r="I7" s="38" t="s">
        <v>125</v>
      </c>
      <c r="J7" s="38" t="s">
        <v>126</v>
      </c>
    </row>
    <row r="8" spans="1:14" ht="160">
      <c r="A8" t="s">
        <v>127</v>
      </c>
      <c r="B8" s="125" t="s">
        <v>77</v>
      </c>
      <c r="C8" t="s">
        <v>108</v>
      </c>
      <c r="D8" t="s">
        <v>71</v>
      </c>
      <c r="E8" t="s">
        <v>109</v>
      </c>
      <c r="F8" t="s">
        <v>128</v>
      </c>
      <c r="G8" t="s">
        <v>111</v>
      </c>
      <c r="I8" s="38" t="s">
        <v>129</v>
      </c>
      <c r="J8" s="38" t="s">
        <v>1706</v>
      </c>
    </row>
    <row r="9" spans="1:14" ht="29">
      <c r="A9" t="s">
        <v>136</v>
      </c>
      <c r="B9" s="125" t="s">
        <v>93</v>
      </c>
      <c r="C9" t="s">
        <v>78</v>
      </c>
      <c r="D9" t="s">
        <v>71</v>
      </c>
      <c r="E9" t="s">
        <v>104</v>
      </c>
      <c r="G9" t="s">
        <v>111</v>
      </c>
      <c r="I9" s="38" t="s">
        <v>137</v>
      </c>
    </row>
    <row r="10" spans="1:14" ht="32">
      <c r="A10" t="s">
        <v>138</v>
      </c>
      <c r="B10" s="125" t="s">
        <v>93</v>
      </c>
      <c r="C10" t="s">
        <v>123</v>
      </c>
      <c r="D10" t="s">
        <v>71</v>
      </c>
      <c r="E10" t="s">
        <v>72</v>
      </c>
      <c r="F10" t="s">
        <v>124</v>
      </c>
      <c r="G10" t="s">
        <v>111</v>
      </c>
      <c r="I10" s="38" t="s">
        <v>139</v>
      </c>
    </row>
    <row r="11" spans="1:14" ht="16">
      <c r="A11" s="172" t="s">
        <v>140</v>
      </c>
      <c r="B11" s="176"/>
      <c r="C11" s="172"/>
      <c r="D11" s="172" t="s">
        <v>141</v>
      </c>
      <c r="E11" s="172" t="s">
        <v>72</v>
      </c>
      <c r="F11" s="172" t="s">
        <v>79</v>
      </c>
      <c r="G11" s="172" t="s">
        <v>74</v>
      </c>
      <c r="H11" s="172"/>
      <c r="I11" s="173" t="s">
        <v>80</v>
      </c>
    </row>
    <row r="12" spans="1:14" ht="32">
      <c r="A12" t="s">
        <v>142</v>
      </c>
      <c r="B12" s="125" t="s">
        <v>93</v>
      </c>
      <c r="C12" t="s">
        <v>123</v>
      </c>
      <c r="D12" t="s">
        <v>71</v>
      </c>
      <c r="E12" t="s">
        <v>72</v>
      </c>
      <c r="F12" t="s">
        <v>143</v>
      </c>
      <c r="G12" t="s">
        <v>74</v>
      </c>
      <c r="I12" s="38" t="s">
        <v>75</v>
      </c>
    </row>
    <row r="13" spans="1:14" ht="14.5">
      <c r="A13" t="s">
        <v>147</v>
      </c>
      <c r="B13" s="125" t="s">
        <v>85</v>
      </c>
      <c r="C13" t="s">
        <v>78</v>
      </c>
      <c r="D13" t="s">
        <v>71</v>
      </c>
      <c r="E13" t="s">
        <v>104</v>
      </c>
      <c r="G13" t="s">
        <v>111</v>
      </c>
      <c r="I13" s="38" t="s">
        <v>148</v>
      </c>
    </row>
    <row r="14" spans="1:14" ht="14.5">
      <c r="A14" t="s">
        <v>149</v>
      </c>
      <c r="B14" s="125" t="s">
        <v>77</v>
      </c>
      <c r="C14" t="s">
        <v>78</v>
      </c>
      <c r="D14" t="s">
        <v>71</v>
      </c>
      <c r="E14" t="s">
        <v>104</v>
      </c>
      <c r="G14" t="s">
        <v>111</v>
      </c>
      <c r="I14" s="38" t="s">
        <v>150</v>
      </c>
    </row>
    <row r="15" spans="1:14" ht="16">
      <c r="A15" t="s">
        <v>151</v>
      </c>
      <c r="B15" s="125" t="s">
        <v>85</v>
      </c>
      <c r="C15" t="s">
        <v>78</v>
      </c>
      <c r="D15" t="s">
        <v>71</v>
      </c>
      <c r="E15" t="s">
        <v>72</v>
      </c>
      <c r="F15" t="s">
        <v>79</v>
      </c>
      <c r="G15" t="s">
        <v>74</v>
      </c>
      <c r="I15" s="38" t="s">
        <v>80</v>
      </c>
    </row>
    <row r="16" spans="1:14" ht="14.5">
      <c r="A16" t="s">
        <v>152</v>
      </c>
      <c r="B16" s="125" t="s">
        <v>85</v>
      </c>
      <c r="C16" t="s">
        <v>78</v>
      </c>
      <c r="D16" t="s">
        <v>71</v>
      </c>
      <c r="E16" t="s">
        <v>104</v>
      </c>
      <c r="G16" t="s">
        <v>74</v>
      </c>
    </row>
    <row r="17" spans="1:14">
      <c r="A17" t="s">
        <v>153</v>
      </c>
      <c r="B17" s="125" t="s">
        <v>93</v>
      </c>
      <c r="C17" t="s">
        <v>78</v>
      </c>
      <c r="D17" t="s">
        <v>71</v>
      </c>
      <c r="E17" t="s">
        <v>72</v>
      </c>
      <c r="F17" t="s">
        <v>79</v>
      </c>
      <c r="G17" t="s">
        <v>74</v>
      </c>
    </row>
    <row r="18" spans="1:14" ht="27" customHeight="1">
      <c r="A18" t="s">
        <v>154</v>
      </c>
      <c r="B18" s="125">
        <v>13</v>
      </c>
      <c r="C18" t="s">
        <v>78</v>
      </c>
      <c r="D18" t="s">
        <v>71</v>
      </c>
      <c r="E18" t="s">
        <v>104</v>
      </c>
      <c r="G18" t="s">
        <v>74</v>
      </c>
      <c r="I18" s="38" t="s">
        <v>155</v>
      </c>
      <c r="K18" s="38" t="s">
        <v>156</v>
      </c>
      <c r="L18">
        <v>5</v>
      </c>
      <c r="M18">
        <v>2</v>
      </c>
      <c r="N18">
        <v>1</v>
      </c>
    </row>
    <row r="19" spans="1:14" ht="14.5">
      <c r="A19" t="s">
        <v>158</v>
      </c>
      <c r="B19" s="125">
        <v>17</v>
      </c>
      <c r="C19" t="s">
        <v>78</v>
      </c>
      <c r="D19" t="s">
        <v>71</v>
      </c>
      <c r="E19" t="s">
        <v>104</v>
      </c>
      <c r="G19" t="s">
        <v>74</v>
      </c>
      <c r="I19" s="38" t="s">
        <v>159</v>
      </c>
    </row>
    <row r="20" spans="1:14" ht="16">
      <c r="A20" t="s">
        <v>160</v>
      </c>
      <c r="B20" s="125" t="s">
        <v>93</v>
      </c>
      <c r="C20" t="s">
        <v>78</v>
      </c>
      <c r="D20" t="s">
        <v>71</v>
      </c>
      <c r="E20" t="s">
        <v>72</v>
      </c>
      <c r="F20" t="s">
        <v>79</v>
      </c>
      <c r="G20" t="s">
        <v>74</v>
      </c>
      <c r="I20" s="38" t="s">
        <v>80</v>
      </c>
    </row>
    <row r="21" spans="1:14" ht="14.5" customHeight="1">
      <c r="A21" t="s">
        <v>164</v>
      </c>
      <c r="B21" s="125" t="s">
        <v>85</v>
      </c>
      <c r="C21" t="s">
        <v>78</v>
      </c>
      <c r="D21" t="s">
        <v>71</v>
      </c>
      <c r="E21" t="s">
        <v>72</v>
      </c>
      <c r="F21" t="s">
        <v>79</v>
      </c>
      <c r="G21" t="s">
        <v>74</v>
      </c>
      <c r="K21" s="38" t="s">
        <v>165</v>
      </c>
    </row>
    <row r="22" spans="1:14" ht="16">
      <c r="A22" t="s">
        <v>168</v>
      </c>
      <c r="B22" s="125" t="s">
        <v>85</v>
      </c>
      <c r="C22" t="s">
        <v>70</v>
      </c>
      <c r="D22" t="s">
        <v>71</v>
      </c>
      <c r="E22" t="s">
        <v>72</v>
      </c>
      <c r="F22" t="s">
        <v>79</v>
      </c>
      <c r="G22" t="s">
        <v>74</v>
      </c>
      <c r="I22" s="38" t="s">
        <v>169</v>
      </c>
    </row>
    <row r="23" spans="1:14" ht="18.5" customHeight="1">
      <c r="A23" t="s">
        <v>170</v>
      </c>
      <c r="B23" s="125" t="s">
        <v>85</v>
      </c>
      <c r="C23" t="s">
        <v>78</v>
      </c>
      <c r="D23" t="s">
        <v>71</v>
      </c>
      <c r="E23" t="s">
        <v>104</v>
      </c>
      <c r="G23" t="s">
        <v>74</v>
      </c>
      <c r="I23" s="38" t="s">
        <v>171</v>
      </c>
    </row>
    <row r="24" spans="1:14" ht="16">
      <c r="A24" t="s">
        <v>172</v>
      </c>
      <c r="B24" s="125" t="s">
        <v>85</v>
      </c>
      <c r="C24" t="s">
        <v>78</v>
      </c>
      <c r="D24" t="s">
        <v>71</v>
      </c>
      <c r="E24" t="s">
        <v>72</v>
      </c>
      <c r="F24" t="s">
        <v>79</v>
      </c>
      <c r="G24" t="s">
        <v>74</v>
      </c>
      <c r="I24" s="38" t="s">
        <v>80</v>
      </c>
    </row>
    <row r="25" spans="1:14" ht="16">
      <c r="A25" t="s">
        <v>173</v>
      </c>
      <c r="B25" s="125" t="s">
        <v>93</v>
      </c>
      <c r="C25" t="s">
        <v>78</v>
      </c>
      <c r="D25" t="s">
        <v>71</v>
      </c>
      <c r="E25" t="s">
        <v>72</v>
      </c>
      <c r="F25" t="s">
        <v>79</v>
      </c>
      <c r="G25" t="s">
        <v>74</v>
      </c>
      <c r="I25" s="38" t="s">
        <v>80</v>
      </c>
    </row>
    <row r="26" spans="1:14" ht="29">
      <c r="A26" t="s">
        <v>174</v>
      </c>
      <c r="B26" s="125" t="s">
        <v>175</v>
      </c>
      <c r="C26" t="s">
        <v>78</v>
      </c>
      <c r="D26" t="s">
        <v>71</v>
      </c>
      <c r="E26" t="s">
        <v>104</v>
      </c>
      <c r="G26" t="s">
        <v>74</v>
      </c>
      <c r="I26" s="38" t="s">
        <v>176</v>
      </c>
    </row>
    <row r="27" spans="1:14" ht="32">
      <c r="A27" t="s">
        <v>187</v>
      </c>
      <c r="B27" s="125" t="s">
        <v>93</v>
      </c>
      <c r="C27" t="s">
        <v>123</v>
      </c>
      <c r="D27" t="s">
        <v>71</v>
      </c>
      <c r="E27" t="s">
        <v>72</v>
      </c>
      <c r="F27" t="s">
        <v>143</v>
      </c>
      <c r="G27" t="s">
        <v>74</v>
      </c>
      <c r="I27" s="38" t="s">
        <v>75</v>
      </c>
    </row>
    <row r="28" spans="1:14" ht="32">
      <c r="A28" s="172" t="s">
        <v>188</v>
      </c>
      <c r="B28" s="176"/>
      <c r="C28" s="172" t="s">
        <v>78</v>
      </c>
      <c r="D28" s="172" t="s">
        <v>141</v>
      </c>
      <c r="E28" s="172" t="s">
        <v>72</v>
      </c>
      <c r="F28" s="172" t="s">
        <v>79</v>
      </c>
      <c r="G28" s="172" t="s">
        <v>74</v>
      </c>
      <c r="H28" s="172"/>
      <c r="I28" s="173" t="s">
        <v>189</v>
      </c>
    </row>
    <row r="29" spans="1:14" ht="43.25">
      <c r="A29" t="s">
        <v>191</v>
      </c>
      <c r="B29" s="125" t="s">
        <v>85</v>
      </c>
      <c r="C29" t="s">
        <v>78</v>
      </c>
      <c r="D29" t="s">
        <v>71</v>
      </c>
      <c r="E29" t="s">
        <v>104</v>
      </c>
      <c r="G29" t="s">
        <v>74</v>
      </c>
      <c r="I29" s="38" t="s">
        <v>192</v>
      </c>
    </row>
    <row r="30" spans="1:14" ht="96">
      <c r="A30" t="s">
        <v>130</v>
      </c>
      <c r="B30" s="125" t="s">
        <v>77</v>
      </c>
      <c r="C30" t="s">
        <v>108</v>
      </c>
      <c r="D30" t="s">
        <v>71</v>
      </c>
      <c r="E30" t="s">
        <v>109</v>
      </c>
      <c r="F30" t="s">
        <v>128</v>
      </c>
      <c r="G30" t="s">
        <v>74</v>
      </c>
      <c r="I30" s="38" t="s">
        <v>131</v>
      </c>
    </row>
    <row r="31" spans="1:14" ht="29">
      <c r="A31" t="s">
        <v>193</v>
      </c>
      <c r="B31" s="125" t="s">
        <v>85</v>
      </c>
      <c r="C31" t="s">
        <v>78</v>
      </c>
      <c r="D31" t="s">
        <v>71</v>
      </c>
      <c r="E31" t="s">
        <v>104</v>
      </c>
      <c r="G31" t="s">
        <v>74</v>
      </c>
      <c r="I31" s="38" t="s">
        <v>194</v>
      </c>
    </row>
    <row r="32" spans="1:14" ht="29">
      <c r="A32" t="s">
        <v>195</v>
      </c>
      <c r="B32" s="125" t="s">
        <v>85</v>
      </c>
      <c r="C32" t="s">
        <v>78</v>
      </c>
      <c r="D32" t="s">
        <v>71</v>
      </c>
      <c r="E32" t="s">
        <v>104</v>
      </c>
      <c r="G32" t="s">
        <v>74</v>
      </c>
      <c r="I32" s="38" t="s">
        <v>196</v>
      </c>
    </row>
    <row r="33" spans="1:9" ht="64">
      <c r="A33" t="s">
        <v>197</v>
      </c>
      <c r="B33" s="125">
        <v>4</v>
      </c>
      <c r="C33" t="s">
        <v>123</v>
      </c>
      <c r="D33" t="s">
        <v>71</v>
      </c>
      <c r="E33" t="s">
        <v>72</v>
      </c>
      <c r="F33" t="s">
        <v>143</v>
      </c>
      <c r="G33" t="s">
        <v>74</v>
      </c>
      <c r="I33" s="38" t="s">
        <v>198</v>
      </c>
    </row>
    <row r="34" spans="1:9" ht="16">
      <c r="A34" t="s">
        <v>199</v>
      </c>
      <c r="B34" s="125">
        <v>5</v>
      </c>
      <c r="C34" t="s">
        <v>78</v>
      </c>
      <c r="D34" t="s">
        <v>71</v>
      </c>
      <c r="E34" t="s">
        <v>72</v>
      </c>
      <c r="F34" t="s">
        <v>79</v>
      </c>
      <c r="G34" t="s">
        <v>74</v>
      </c>
      <c r="I34" s="38" t="s">
        <v>80</v>
      </c>
    </row>
    <row r="35" spans="1:9" ht="144">
      <c r="A35" t="s">
        <v>144</v>
      </c>
      <c r="B35" s="125" t="s">
        <v>85</v>
      </c>
      <c r="C35" t="s">
        <v>145</v>
      </c>
      <c r="D35" t="s">
        <v>71</v>
      </c>
      <c r="E35" t="s">
        <v>109</v>
      </c>
      <c r="F35" t="s">
        <v>128</v>
      </c>
      <c r="G35" t="s">
        <v>74</v>
      </c>
      <c r="I35" s="38" t="s">
        <v>146</v>
      </c>
    </row>
    <row r="36" spans="1:9" ht="29">
      <c r="A36" t="s">
        <v>200</v>
      </c>
      <c r="B36" s="125" t="s">
        <v>93</v>
      </c>
      <c r="C36" t="s">
        <v>78</v>
      </c>
      <c r="D36" t="s">
        <v>71</v>
      </c>
      <c r="E36" t="s">
        <v>104</v>
      </c>
      <c r="G36" t="s">
        <v>74</v>
      </c>
      <c r="I36" s="38" t="s">
        <v>201</v>
      </c>
    </row>
    <row r="37" spans="1:9" ht="14.5">
      <c r="A37" t="s">
        <v>202</v>
      </c>
      <c r="B37" s="125" t="s">
        <v>93</v>
      </c>
      <c r="C37" t="s">
        <v>78</v>
      </c>
      <c r="D37" t="s">
        <v>71</v>
      </c>
      <c r="E37" t="s">
        <v>104</v>
      </c>
      <c r="G37" t="s">
        <v>74</v>
      </c>
      <c r="I37" s="38" t="s">
        <v>203</v>
      </c>
    </row>
    <row r="38" spans="1:9" ht="14.5">
      <c r="A38" t="s">
        <v>205</v>
      </c>
      <c r="B38" s="125" t="s">
        <v>77</v>
      </c>
      <c r="C38" t="s">
        <v>78</v>
      </c>
      <c r="D38" t="s">
        <v>71</v>
      </c>
      <c r="E38" t="s">
        <v>104</v>
      </c>
      <c r="G38" t="s">
        <v>74</v>
      </c>
      <c r="I38" s="38" t="s">
        <v>206</v>
      </c>
    </row>
    <row r="39" spans="1:9" ht="14.5">
      <c r="A39" t="s">
        <v>207</v>
      </c>
      <c r="B39" s="125" t="s">
        <v>77</v>
      </c>
      <c r="C39" t="s">
        <v>78</v>
      </c>
      <c r="D39" t="s">
        <v>71</v>
      </c>
      <c r="E39" t="s">
        <v>104</v>
      </c>
      <c r="G39" t="s">
        <v>74</v>
      </c>
      <c r="I39" s="38" t="s">
        <v>208</v>
      </c>
    </row>
    <row r="40" spans="1:9" ht="16">
      <c r="A40" t="s">
        <v>209</v>
      </c>
      <c r="B40" s="125" t="s">
        <v>93</v>
      </c>
      <c r="C40" t="s">
        <v>78</v>
      </c>
      <c r="D40" t="s">
        <v>71</v>
      </c>
      <c r="E40" t="s">
        <v>72</v>
      </c>
      <c r="F40" t="s">
        <v>79</v>
      </c>
      <c r="G40" t="s">
        <v>74</v>
      </c>
      <c r="I40" s="38" t="s">
        <v>80</v>
      </c>
    </row>
    <row r="41" spans="1:9" ht="16">
      <c r="A41" t="s">
        <v>210</v>
      </c>
      <c r="B41" s="125">
        <v>14</v>
      </c>
      <c r="C41" t="s">
        <v>78</v>
      </c>
      <c r="D41" t="s">
        <v>71</v>
      </c>
      <c r="E41" t="s">
        <v>72</v>
      </c>
      <c r="F41" t="s">
        <v>79</v>
      </c>
      <c r="G41" t="s">
        <v>74</v>
      </c>
      <c r="I41" s="38" t="s">
        <v>80</v>
      </c>
    </row>
    <row r="42" spans="1:9" ht="16">
      <c r="A42" t="s">
        <v>211</v>
      </c>
      <c r="B42" s="125" t="s">
        <v>77</v>
      </c>
      <c r="C42" t="s">
        <v>78</v>
      </c>
      <c r="D42" t="s">
        <v>71</v>
      </c>
      <c r="E42" t="s">
        <v>72</v>
      </c>
      <c r="F42" t="s">
        <v>79</v>
      </c>
      <c r="G42" t="s">
        <v>74</v>
      </c>
      <c r="I42" s="38" t="s">
        <v>80</v>
      </c>
    </row>
    <row r="43" spans="1:9" ht="14.5">
      <c r="A43" t="s">
        <v>212</v>
      </c>
      <c r="B43" s="125" t="s">
        <v>93</v>
      </c>
      <c r="C43" t="s">
        <v>78</v>
      </c>
      <c r="D43" t="s">
        <v>71</v>
      </c>
      <c r="E43" t="s">
        <v>104</v>
      </c>
      <c r="G43" t="s">
        <v>74</v>
      </c>
      <c r="I43" s="38" t="s">
        <v>213</v>
      </c>
    </row>
    <row r="44" spans="1:9" ht="14.5">
      <c r="A44" t="s">
        <v>214</v>
      </c>
      <c r="B44" s="125" t="s">
        <v>93</v>
      </c>
      <c r="C44" t="s">
        <v>78</v>
      </c>
      <c r="D44" t="s">
        <v>71</v>
      </c>
      <c r="E44" t="s">
        <v>104</v>
      </c>
      <c r="G44" t="s">
        <v>74</v>
      </c>
      <c r="I44" s="38" t="s">
        <v>213</v>
      </c>
    </row>
    <row r="45" spans="1:9" ht="14.5">
      <c r="A45" t="s">
        <v>215</v>
      </c>
      <c r="B45" s="125" t="s">
        <v>77</v>
      </c>
      <c r="C45" t="s">
        <v>78</v>
      </c>
      <c r="D45" t="s">
        <v>71</v>
      </c>
      <c r="E45" t="s">
        <v>104</v>
      </c>
      <c r="G45" t="s">
        <v>74</v>
      </c>
      <c r="I45" s="38" t="s">
        <v>216</v>
      </c>
    </row>
    <row r="46" spans="1:9" ht="16">
      <c r="A46" s="174" t="s">
        <v>217</v>
      </c>
      <c r="B46" s="177" t="s">
        <v>85</v>
      </c>
      <c r="C46" s="174" t="s">
        <v>218</v>
      </c>
      <c r="D46" s="174" t="s">
        <v>71</v>
      </c>
      <c r="E46" s="174" t="s">
        <v>72</v>
      </c>
      <c r="F46" s="174" t="s">
        <v>97</v>
      </c>
      <c r="G46" s="174" t="s">
        <v>74</v>
      </c>
      <c r="H46" s="174"/>
      <c r="I46" s="175" t="s">
        <v>219</v>
      </c>
    </row>
    <row r="47" spans="1:9" ht="16">
      <c r="A47" t="s">
        <v>220</v>
      </c>
      <c r="B47" s="125">
        <v>6</v>
      </c>
      <c r="C47" t="s">
        <v>78</v>
      </c>
      <c r="D47" t="s">
        <v>71</v>
      </c>
      <c r="E47" t="s">
        <v>72</v>
      </c>
      <c r="F47" t="s">
        <v>79</v>
      </c>
      <c r="G47" t="s">
        <v>74</v>
      </c>
      <c r="I47" s="38" t="s">
        <v>80</v>
      </c>
    </row>
    <row r="48" spans="1:9" ht="16">
      <c r="A48" t="s">
        <v>221</v>
      </c>
      <c r="B48" s="125">
        <v>7</v>
      </c>
      <c r="C48" t="s">
        <v>78</v>
      </c>
      <c r="D48" t="s">
        <v>71</v>
      </c>
      <c r="E48" t="s">
        <v>72</v>
      </c>
      <c r="F48" t="s">
        <v>79</v>
      </c>
      <c r="G48" t="s">
        <v>74</v>
      </c>
      <c r="I48" s="38" t="s">
        <v>80</v>
      </c>
    </row>
    <row r="49" spans="1:10" ht="16">
      <c r="A49" t="s">
        <v>222</v>
      </c>
      <c r="B49" s="125">
        <v>8</v>
      </c>
      <c r="C49" t="s">
        <v>78</v>
      </c>
      <c r="D49" t="s">
        <v>71</v>
      </c>
      <c r="E49" t="s">
        <v>72</v>
      </c>
      <c r="F49" t="s">
        <v>79</v>
      </c>
      <c r="G49" t="s">
        <v>74</v>
      </c>
      <c r="I49" s="38" t="s">
        <v>80</v>
      </c>
    </row>
    <row r="50" spans="1:10" ht="16">
      <c r="A50" t="s">
        <v>223</v>
      </c>
      <c r="B50" s="125">
        <v>9</v>
      </c>
      <c r="C50" t="s">
        <v>78</v>
      </c>
      <c r="D50" t="s">
        <v>71</v>
      </c>
      <c r="E50" t="s">
        <v>72</v>
      </c>
      <c r="F50" t="s">
        <v>79</v>
      </c>
      <c r="G50" t="s">
        <v>74</v>
      </c>
      <c r="I50" s="38" t="s">
        <v>80</v>
      </c>
    </row>
    <row r="51" spans="1:10" ht="16">
      <c r="A51" t="s">
        <v>224</v>
      </c>
      <c r="B51" s="125">
        <v>10</v>
      </c>
      <c r="C51" t="s">
        <v>78</v>
      </c>
      <c r="D51" t="s">
        <v>71</v>
      </c>
      <c r="E51" t="s">
        <v>72</v>
      </c>
      <c r="F51" t="s">
        <v>79</v>
      </c>
      <c r="G51" t="s">
        <v>74</v>
      </c>
      <c r="I51" s="38" t="s">
        <v>80</v>
      </c>
    </row>
    <row r="52" spans="1:10" ht="16">
      <c r="A52" t="s">
        <v>225</v>
      </c>
      <c r="B52" s="125" t="s">
        <v>77</v>
      </c>
      <c r="C52" t="s">
        <v>78</v>
      </c>
      <c r="D52" t="s">
        <v>71</v>
      </c>
      <c r="E52" t="s">
        <v>72</v>
      </c>
      <c r="F52" t="s">
        <v>79</v>
      </c>
      <c r="G52" t="s">
        <v>74</v>
      </c>
      <c r="I52" s="38" t="s">
        <v>80</v>
      </c>
    </row>
    <row r="53" spans="1:10" ht="16">
      <c r="A53" t="s">
        <v>226</v>
      </c>
      <c r="B53" s="125" t="s">
        <v>77</v>
      </c>
      <c r="C53" t="s">
        <v>78</v>
      </c>
      <c r="D53" t="s">
        <v>71</v>
      </c>
      <c r="E53" t="s">
        <v>72</v>
      </c>
      <c r="F53" t="s">
        <v>79</v>
      </c>
      <c r="G53" t="s">
        <v>74</v>
      </c>
      <c r="I53" s="38" t="s">
        <v>80</v>
      </c>
    </row>
    <row r="54" spans="1:10" ht="16">
      <c r="A54" t="s">
        <v>227</v>
      </c>
      <c r="B54" s="125" t="s">
        <v>228</v>
      </c>
      <c r="C54" t="s">
        <v>70</v>
      </c>
      <c r="D54" t="s">
        <v>71</v>
      </c>
      <c r="E54" t="s">
        <v>72</v>
      </c>
      <c r="F54" t="s">
        <v>73</v>
      </c>
      <c r="G54" t="s">
        <v>74</v>
      </c>
      <c r="I54" s="38" t="s">
        <v>229</v>
      </c>
    </row>
    <row r="55" spans="1:10" ht="32">
      <c r="A55" t="s">
        <v>232</v>
      </c>
      <c r="B55" s="125" t="s">
        <v>85</v>
      </c>
      <c r="C55" t="s">
        <v>78</v>
      </c>
      <c r="D55" t="s">
        <v>71</v>
      </c>
      <c r="E55" t="s">
        <v>72</v>
      </c>
      <c r="F55" t="s">
        <v>79</v>
      </c>
      <c r="G55" t="s">
        <v>74</v>
      </c>
      <c r="I55" s="38" t="s">
        <v>80</v>
      </c>
      <c r="J55" s="38" t="s">
        <v>233</v>
      </c>
    </row>
    <row r="56" spans="1:10" ht="14.5">
      <c r="A56" t="s">
        <v>231</v>
      </c>
      <c r="B56" s="125" t="s">
        <v>85</v>
      </c>
      <c r="C56" t="s">
        <v>78</v>
      </c>
      <c r="D56" t="s">
        <v>71</v>
      </c>
      <c r="E56" t="s">
        <v>104</v>
      </c>
      <c r="G56" t="s">
        <v>74</v>
      </c>
      <c r="I56" s="38" t="s">
        <v>213</v>
      </c>
    </row>
    <row r="57" spans="1:10" ht="32">
      <c r="A57" s="172" t="s">
        <v>234</v>
      </c>
      <c r="B57" s="176"/>
      <c r="C57" s="172" t="s">
        <v>78</v>
      </c>
      <c r="D57" s="172" t="s">
        <v>141</v>
      </c>
      <c r="E57" s="172" t="s">
        <v>72</v>
      </c>
      <c r="F57" s="172" t="s">
        <v>79</v>
      </c>
      <c r="G57" s="172" t="s">
        <v>74</v>
      </c>
      <c r="H57" s="172"/>
      <c r="I57" s="173" t="s">
        <v>235</v>
      </c>
    </row>
    <row r="58" spans="1:10" ht="14.5">
      <c r="A58" t="s">
        <v>236</v>
      </c>
      <c r="B58" s="125">
        <v>1</v>
      </c>
      <c r="C58" t="s">
        <v>78</v>
      </c>
      <c r="D58" t="s">
        <v>71</v>
      </c>
      <c r="E58" t="s">
        <v>104</v>
      </c>
      <c r="G58" t="s">
        <v>74</v>
      </c>
      <c r="I58" s="38" t="s">
        <v>237</v>
      </c>
    </row>
    <row r="59" spans="1:10" ht="16">
      <c r="A59" t="s">
        <v>88</v>
      </c>
      <c r="B59" s="125" t="s">
        <v>85</v>
      </c>
      <c r="C59" t="s">
        <v>78</v>
      </c>
      <c r="D59" t="s">
        <v>71</v>
      </c>
      <c r="E59" t="s">
        <v>72</v>
      </c>
      <c r="F59" t="s">
        <v>79</v>
      </c>
      <c r="G59" t="s">
        <v>74</v>
      </c>
      <c r="I59" s="38" t="s">
        <v>80</v>
      </c>
    </row>
    <row r="60" spans="1:10" ht="16">
      <c r="A60" t="s">
        <v>91</v>
      </c>
      <c r="B60" s="125" t="s">
        <v>85</v>
      </c>
      <c r="C60" t="s">
        <v>78</v>
      </c>
      <c r="D60" t="s">
        <v>71</v>
      </c>
      <c r="E60" t="s">
        <v>72</v>
      </c>
      <c r="F60" t="s">
        <v>79</v>
      </c>
      <c r="G60" t="s">
        <v>74</v>
      </c>
      <c r="I60" s="38" t="s">
        <v>80</v>
      </c>
    </row>
    <row r="61" spans="1:10" ht="32">
      <c r="A61" t="s">
        <v>161</v>
      </c>
      <c r="B61" s="125">
        <v>16</v>
      </c>
      <c r="C61" t="s">
        <v>78</v>
      </c>
      <c r="D61" t="s">
        <v>71</v>
      </c>
      <c r="E61" t="s">
        <v>72</v>
      </c>
      <c r="F61" t="s">
        <v>162</v>
      </c>
      <c r="G61" t="s">
        <v>74</v>
      </c>
      <c r="I61" s="38" t="s">
        <v>163</v>
      </c>
    </row>
    <row r="62" spans="1:10" ht="29">
      <c r="A62" t="s">
        <v>177</v>
      </c>
      <c r="B62" s="125">
        <v>14</v>
      </c>
      <c r="C62" t="s">
        <v>78</v>
      </c>
      <c r="D62" t="s">
        <v>71</v>
      </c>
      <c r="E62" t="s">
        <v>104</v>
      </c>
      <c r="G62" t="s">
        <v>74</v>
      </c>
      <c r="I62" s="38" t="s">
        <v>178</v>
      </c>
      <c r="J62" s="38" t="s">
        <v>179</v>
      </c>
    </row>
    <row r="63" spans="1:10" ht="29">
      <c r="A63" t="s">
        <v>180</v>
      </c>
      <c r="B63" s="125">
        <v>15</v>
      </c>
      <c r="C63" t="s">
        <v>78</v>
      </c>
      <c r="D63" t="s">
        <v>71</v>
      </c>
      <c r="E63" t="s">
        <v>104</v>
      </c>
      <c r="G63" t="s">
        <v>74</v>
      </c>
      <c r="I63" s="38" t="s">
        <v>181</v>
      </c>
      <c r="J63" s="38" t="s">
        <v>179</v>
      </c>
    </row>
    <row r="64" spans="1:10" ht="72">
      <c r="A64" s="174" t="s">
        <v>95</v>
      </c>
      <c r="B64" s="177" t="s">
        <v>85</v>
      </c>
      <c r="C64" s="174" t="s">
        <v>78</v>
      </c>
      <c r="D64" s="174" t="s">
        <v>71</v>
      </c>
      <c r="E64" s="174" t="s">
        <v>96</v>
      </c>
      <c r="F64" s="174" t="s">
        <v>97</v>
      </c>
      <c r="G64" s="174" t="s">
        <v>74</v>
      </c>
      <c r="H64" s="174"/>
      <c r="I64" s="175" t="s">
        <v>98</v>
      </c>
    </row>
    <row r="65" spans="1:9" ht="16">
      <c r="A65" t="s">
        <v>90</v>
      </c>
      <c r="B65" s="125" t="s">
        <v>85</v>
      </c>
      <c r="C65" t="s">
        <v>78</v>
      </c>
      <c r="D65" t="s">
        <v>71</v>
      </c>
      <c r="E65" t="s">
        <v>72</v>
      </c>
      <c r="F65" t="s">
        <v>79</v>
      </c>
      <c r="G65" t="s">
        <v>74</v>
      </c>
      <c r="I65" s="38" t="s">
        <v>80</v>
      </c>
    </row>
    <row r="66" spans="1:9" ht="16">
      <c r="A66" t="s">
        <v>190</v>
      </c>
      <c r="B66" s="125" t="s">
        <v>85</v>
      </c>
      <c r="C66" t="s">
        <v>78</v>
      </c>
      <c r="D66" t="s">
        <v>71</v>
      </c>
      <c r="E66" t="s">
        <v>72</v>
      </c>
      <c r="F66" t="s">
        <v>79</v>
      </c>
      <c r="G66" t="s">
        <v>74</v>
      </c>
      <c r="I66" s="38" t="s">
        <v>80</v>
      </c>
    </row>
    <row r="67" spans="1:9" ht="14.5">
      <c r="A67" t="s">
        <v>134</v>
      </c>
      <c r="B67" s="125">
        <v>2</v>
      </c>
      <c r="C67" t="s">
        <v>78</v>
      </c>
      <c r="D67" t="s">
        <v>71</v>
      </c>
      <c r="E67" t="s">
        <v>104</v>
      </c>
      <c r="G67" t="s">
        <v>74</v>
      </c>
      <c r="I67" s="38" t="s">
        <v>135</v>
      </c>
    </row>
    <row r="68" spans="1:9" ht="288">
      <c r="A68" t="s">
        <v>238</v>
      </c>
      <c r="B68" s="125" t="s">
        <v>239</v>
      </c>
      <c r="C68" t="s">
        <v>108</v>
      </c>
      <c r="D68" t="s">
        <v>71</v>
      </c>
      <c r="E68" t="s">
        <v>109</v>
      </c>
      <c r="F68" t="s">
        <v>110</v>
      </c>
      <c r="G68" t="s">
        <v>74</v>
      </c>
      <c r="I68" s="38" t="s">
        <v>240</v>
      </c>
    </row>
    <row r="69" spans="1:9" ht="128">
      <c r="A69" t="s">
        <v>116</v>
      </c>
      <c r="B69" s="125">
        <v>11</v>
      </c>
      <c r="C69" t="s">
        <v>108</v>
      </c>
      <c r="D69" t="s">
        <v>71</v>
      </c>
      <c r="E69" t="s">
        <v>109</v>
      </c>
      <c r="F69" t="s">
        <v>110</v>
      </c>
      <c r="G69" t="s">
        <v>74</v>
      </c>
      <c r="I69" s="38" t="s">
        <v>117</v>
      </c>
    </row>
    <row r="70" spans="1:9" ht="32">
      <c r="A70" t="s">
        <v>68</v>
      </c>
      <c r="B70" s="125" t="s">
        <v>69</v>
      </c>
      <c r="C70" t="s">
        <v>70</v>
      </c>
      <c r="D70" t="s">
        <v>71</v>
      </c>
      <c r="E70" t="s">
        <v>72</v>
      </c>
      <c r="F70" t="s">
        <v>73</v>
      </c>
      <c r="G70" t="s">
        <v>74</v>
      </c>
      <c r="I70" s="38" t="s">
        <v>75</v>
      </c>
    </row>
    <row r="71" spans="1:9" ht="16">
      <c r="A71" t="s">
        <v>204</v>
      </c>
      <c r="B71" s="125" t="s">
        <v>77</v>
      </c>
      <c r="C71" t="s">
        <v>123</v>
      </c>
      <c r="D71" t="s">
        <v>71</v>
      </c>
      <c r="E71" t="s">
        <v>72</v>
      </c>
      <c r="F71" t="s">
        <v>82</v>
      </c>
      <c r="G71" t="s">
        <v>74</v>
      </c>
      <c r="I71" s="38" t="s">
        <v>80</v>
      </c>
    </row>
    <row r="72" spans="1:9" ht="16">
      <c r="A72" t="s">
        <v>92</v>
      </c>
      <c r="B72" s="125" t="s">
        <v>93</v>
      </c>
      <c r="C72" t="s">
        <v>78</v>
      </c>
      <c r="D72" t="s">
        <v>71</v>
      </c>
      <c r="E72" t="s">
        <v>72</v>
      </c>
      <c r="F72" t="s">
        <v>79</v>
      </c>
      <c r="G72" t="s">
        <v>74</v>
      </c>
      <c r="I72" s="38" t="s">
        <v>80</v>
      </c>
    </row>
    <row r="73" spans="1:9" ht="64">
      <c r="A73" t="s">
        <v>81</v>
      </c>
      <c r="B73" s="125" t="s">
        <v>77</v>
      </c>
      <c r="C73" t="s">
        <v>78</v>
      </c>
      <c r="D73" t="s">
        <v>71</v>
      </c>
      <c r="E73" t="s">
        <v>72</v>
      </c>
      <c r="F73" t="s">
        <v>82</v>
      </c>
      <c r="G73" t="s">
        <v>74</v>
      </c>
      <c r="I73" s="38" t="s">
        <v>83</v>
      </c>
    </row>
    <row r="74" spans="1:9" ht="16">
      <c r="A74" t="s">
        <v>76</v>
      </c>
      <c r="B74" s="125" t="s">
        <v>77</v>
      </c>
      <c r="C74" t="s">
        <v>78</v>
      </c>
      <c r="D74" t="s">
        <v>71</v>
      </c>
      <c r="E74" t="s">
        <v>72</v>
      </c>
      <c r="F74" t="s">
        <v>79</v>
      </c>
      <c r="G74" t="s">
        <v>74</v>
      </c>
      <c r="I74" s="38" t="s">
        <v>80</v>
      </c>
    </row>
    <row r="75" spans="1:9" ht="16">
      <c r="A75" t="s">
        <v>87</v>
      </c>
      <c r="B75" s="125" t="s">
        <v>77</v>
      </c>
      <c r="C75" t="s">
        <v>78</v>
      </c>
      <c r="D75" t="s">
        <v>71</v>
      </c>
      <c r="E75" t="s">
        <v>72</v>
      </c>
      <c r="F75" t="s">
        <v>79</v>
      </c>
      <c r="G75" t="s">
        <v>74</v>
      </c>
      <c r="I75" s="38" t="s">
        <v>80</v>
      </c>
    </row>
    <row r="76" spans="1:9" ht="16">
      <c r="A76" t="s">
        <v>94</v>
      </c>
      <c r="B76" s="125" t="s">
        <v>77</v>
      </c>
      <c r="C76" t="s">
        <v>78</v>
      </c>
      <c r="D76" t="s">
        <v>71</v>
      </c>
      <c r="E76" t="s">
        <v>72</v>
      </c>
      <c r="F76" t="s">
        <v>79</v>
      </c>
      <c r="G76" t="s">
        <v>74</v>
      </c>
      <c r="I76" s="38" t="s">
        <v>80</v>
      </c>
    </row>
    <row r="77" spans="1:9" ht="16">
      <c r="A77" t="s">
        <v>100</v>
      </c>
      <c r="B77" s="125" t="s">
        <v>77</v>
      </c>
      <c r="C77" t="s">
        <v>78</v>
      </c>
      <c r="D77" t="s">
        <v>71</v>
      </c>
      <c r="E77" t="s">
        <v>72</v>
      </c>
      <c r="F77" t="s">
        <v>79</v>
      </c>
      <c r="G77" t="s">
        <v>74</v>
      </c>
      <c r="I77" s="38" t="s">
        <v>80</v>
      </c>
    </row>
    <row r="78" spans="1:9" ht="16">
      <c r="A78" t="s">
        <v>101</v>
      </c>
      <c r="B78" s="125" t="s">
        <v>77</v>
      </c>
      <c r="C78" t="s">
        <v>78</v>
      </c>
      <c r="D78" t="s">
        <v>71</v>
      </c>
      <c r="E78" t="s">
        <v>72</v>
      </c>
      <c r="F78" t="s">
        <v>79</v>
      </c>
      <c r="G78" t="s">
        <v>74</v>
      </c>
      <c r="I78" s="38" t="s">
        <v>80</v>
      </c>
    </row>
    <row r="79" spans="1:9" ht="16">
      <c r="A79" t="s">
        <v>99</v>
      </c>
      <c r="B79" s="125" t="s">
        <v>77</v>
      </c>
      <c r="C79" t="s">
        <v>78</v>
      </c>
      <c r="D79" t="s">
        <v>71</v>
      </c>
      <c r="E79" t="s">
        <v>72</v>
      </c>
      <c r="F79" t="s">
        <v>79</v>
      </c>
      <c r="G79" t="s">
        <v>74</v>
      </c>
      <c r="I79" s="38" t="s">
        <v>80</v>
      </c>
    </row>
    <row r="80" spans="1:9" ht="16">
      <c r="A80" t="s">
        <v>102</v>
      </c>
      <c r="B80" s="125" t="s">
        <v>93</v>
      </c>
      <c r="C80" t="s">
        <v>78</v>
      </c>
      <c r="D80" t="s">
        <v>71</v>
      </c>
      <c r="E80" t="s">
        <v>72</v>
      </c>
      <c r="F80" t="s">
        <v>79</v>
      </c>
      <c r="G80" t="s">
        <v>74</v>
      </c>
      <c r="I80" s="38" t="s">
        <v>80</v>
      </c>
    </row>
    <row r="81" spans="1:9" ht="16">
      <c r="A81" t="s">
        <v>89</v>
      </c>
      <c r="B81" s="125" t="s">
        <v>85</v>
      </c>
      <c r="C81" t="s">
        <v>78</v>
      </c>
      <c r="D81" t="s">
        <v>71</v>
      </c>
      <c r="E81" t="s">
        <v>72</v>
      </c>
      <c r="F81" t="s">
        <v>79</v>
      </c>
      <c r="G81" t="s">
        <v>74</v>
      </c>
      <c r="I81" s="38" t="s">
        <v>80</v>
      </c>
    </row>
    <row r="82" spans="1:9" ht="16">
      <c r="A82" s="170" t="s">
        <v>86</v>
      </c>
      <c r="B82" s="178" t="s">
        <v>85</v>
      </c>
      <c r="C82" t="s">
        <v>78</v>
      </c>
      <c r="D82" t="s">
        <v>71</v>
      </c>
      <c r="E82" t="s">
        <v>72</v>
      </c>
      <c r="F82" t="s">
        <v>79</v>
      </c>
      <c r="G82" t="s">
        <v>74</v>
      </c>
      <c r="I82" s="38" t="s">
        <v>80</v>
      </c>
    </row>
    <row r="83" spans="1:9" ht="16">
      <c r="A83" s="170" t="s">
        <v>84</v>
      </c>
      <c r="B83" s="178" t="s">
        <v>85</v>
      </c>
      <c r="C83" t="s">
        <v>78</v>
      </c>
      <c r="D83" t="s">
        <v>71</v>
      </c>
      <c r="E83" t="s">
        <v>72</v>
      </c>
      <c r="F83" t="s">
        <v>79</v>
      </c>
      <c r="G83" t="s">
        <v>74</v>
      </c>
      <c r="I83" s="38" t="s">
        <v>80</v>
      </c>
    </row>
    <row r="84" spans="1:9" ht="14.5">
      <c r="A84" t="s">
        <v>132</v>
      </c>
      <c r="B84" s="125">
        <v>3</v>
      </c>
      <c r="C84" t="s">
        <v>78</v>
      </c>
      <c r="D84" t="s">
        <v>71</v>
      </c>
      <c r="E84" t="s">
        <v>104</v>
      </c>
      <c r="I84" s="38" t="s">
        <v>133</v>
      </c>
    </row>
    <row r="85" spans="1:9" ht="14.5">
      <c r="A85" t="s">
        <v>185</v>
      </c>
      <c r="C85" t="s">
        <v>186</v>
      </c>
      <c r="E85" t="s">
        <v>104</v>
      </c>
    </row>
    <row r="86" spans="1:9" ht="14.5">
      <c r="A86" t="s">
        <v>166</v>
      </c>
      <c r="C86" t="s">
        <v>167</v>
      </c>
      <c r="E86" t="s">
        <v>167</v>
      </c>
    </row>
    <row r="87" spans="1:9" ht="14.5">
      <c r="A87" t="s">
        <v>157</v>
      </c>
      <c r="E87" t="s">
        <v>104</v>
      </c>
    </row>
    <row r="88" spans="1:9" ht="14.5">
      <c r="A88" t="s">
        <v>230</v>
      </c>
      <c r="C88" t="s">
        <v>78</v>
      </c>
      <c r="D88" t="s">
        <v>71</v>
      </c>
      <c r="E88" t="s">
        <v>104</v>
      </c>
      <c r="F88" t="s">
        <v>79</v>
      </c>
      <c r="H88" t="s">
        <v>141</v>
      </c>
    </row>
    <row r="89" spans="1:9" ht="16">
      <c r="A89" t="s">
        <v>182</v>
      </c>
      <c r="B89" t="s">
        <v>93</v>
      </c>
      <c r="C89" t="s">
        <v>183</v>
      </c>
      <c r="D89" t="s">
        <v>71</v>
      </c>
      <c r="E89" t="s">
        <v>72</v>
      </c>
      <c r="F89" t="s">
        <v>79</v>
      </c>
      <c r="H89" t="s">
        <v>71</v>
      </c>
      <c r="I89" s="38" t="s">
        <v>184</v>
      </c>
    </row>
  </sheetData>
  <autoFilter ref="A1:N89" xr:uid="{E8BDA098-55C2-4F0D-BE95-1BB04C200FAC}"/>
  <hyperlinks>
    <hyperlink ref="A73"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4"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5"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6"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7"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78"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79"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80"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8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5"/>
  <sheetViews>
    <sheetView zoomScale="85" workbookViewId="0">
      <pane xSplit="1" ySplit="2" topLeftCell="B30" activePane="bottomRight" state="frozen"/>
      <selection pane="topRight" activeCell="B1" sqref="B1"/>
      <selection pane="bottomLeft" activeCell="A3" sqref="A3"/>
      <selection pane="bottomRight" activeCell="B34" sqref="B34:M65"/>
    </sheetView>
    <sheetView workbookViewId="1">
      <pane xSplit="1" ySplit="2" topLeftCell="B32" activePane="bottomRight" state="frozen"/>
      <selection pane="topRight" activeCell="B1" sqref="B1"/>
      <selection pane="bottomLeft" activeCell="A3" sqref="A3"/>
      <selection pane="bottomRight" activeCell="C45" sqref="C45"/>
    </sheetView>
  </sheetViews>
  <sheetFormatPr baseColWidth="10" defaultColWidth="8.83203125" defaultRowHeight="15"/>
  <cols>
    <col min="2" max="2" width="54.83203125" style="38" bestFit="1" customWidth="1"/>
    <col min="3" max="3" width="10.5" customWidth="1"/>
    <col min="4" max="4" width="12.1640625" customWidth="1"/>
    <col min="5" max="5" width="74.1640625" style="38" customWidth="1"/>
    <col min="6" max="7" width="57.83203125" style="38" customWidth="1"/>
    <col min="8" max="8" width="9.5" style="38" customWidth="1"/>
    <col min="9" max="9" width="12.1640625" style="38" customWidth="1"/>
    <col min="10" max="10" width="11.83203125" style="38" customWidth="1"/>
    <col min="11" max="12" width="12" style="38" customWidth="1"/>
    <col min="13" max="13" width="49" style="38" customWidth="1"/>
  </cols>
  <sheetData>
    <row r="2" spans="1:16" ht="16">
      <c r="A2" s="169" t="s">
        <v>141</v>
      </c>
      <c r="B2" s="171" t="str">
        <f>'Final_List-Alerts'!A1</f>
        <v>Tasks</v>
      </c>
      <c r="C2" s="169" t="s">
        <v>241</v>
      </c>
      <c r="D2" s="169" t="s">
        <v>56</v>
      </c>
      <c r="E2" s="171" t="s">
        <v>242</v>
      </c>
      <c r="F2" s="171" t="s">
        <v>243</v>
      </c>
      <c r="G2" s="171" t="s">
        <v>1721</v>
      </c>
      <c r="H2" s="38" t="s">
        <v>1708</v>
      </c>
      <c r="I2" s="171" t="s">
        <v>244</v>
      </c>
      <c r="J2" s="38" t="s">
        <v>245</v>
      </c>
      <c r="K2" s="38" t="s">
        <v>1716</v>
      </c>
      <c r="L2" s="38" t="s">
        <v>246</v>
      </c>
      <c r="M2" s="38" t="s">
        <v>247</v>
      </c>
      <c r="N2" s="38" t="s">
        <v>248</v>
      </c>
      <c r="O2" s="171" t="s">
        <v>249</v>
      </c>
      <c r="P2" t="s">
        <v>1717</v>
      </c>
    </row>
    <row r="3" spans="1:16" ht="32">
      <c r="A3">
        <v>1</v>
      </c>
      <c r="B3" s="192" t="str">
        <f>'Final_List-Alerts'!A58</f>
        <v>WILL CALL</v>
      </c>
      <c r="C3" s="190">
        <f t="shared" ref="C3:C9" si="0">D3</f>
        <v>1</v>
      </c>
      <c r="D3" s="190">
        <f>'Final_List-Alerts'!B58</f>
        <v>1</v>
      </c>
      <c r="E3" s="192"/>
      <c r="F3" s="192"/>
      <c r="G3" s="192"/>
      <c r="I3" s="192"/>
      <c r="J3" s="194">
        <v>1</v>
      </c>
      <c r="L3" s="194"/>
      <c r="M3" s="194">
        <v>1</v>
      </c>
      <c r="N3" s="194" t="s">
        <v>250</v>
      </c>
      <c r="O3" s="38"/>
    </row>
    <row r="4" spans="1:16" ht="80">
      <c r="A4">
        <f t="shared" ref="A4:A21" si="1">A3+1</f>
        <v>2</v>
      </c>
      <c r="B4" s="38" t="str">
        <f>'Final_List-Alerts'!A67</f>
        <v>AU01 FAILURE [URGENT]</v>
      </c>
      <c r="C4">
        <f t="shared" si="0"/>
        <v>2</v>
      </c>
      <c r="D4">
        <f>'Final_List-Alerts'!B67</f>
        <v>2</v>
      </c>
      <c r="E4" s="38" t="s">
        <v>251</v>
      </c>
      <c r="F4" s="38" t="s">
        <v>252</v>
      </c>
      <c r="J4" s="38">
        <v>1</v>
      </c>
      <c r="M4" s="38">
        <v>1</v>
      </c>
      <c r="N4" s="38"/>
      <c r="O4" s="38"/>
    </row>
    <row r="5" spans="1:16" ht="48">
      <c r="A5">
        <f t="shared" si="1"/>
        <v>3</v>
      </c>
      <c r="B5" s="38" t="str">
        <f>'Final_List-Alerts'!A84</f>
        <v>ATL In Transit RMA ASNs &gt; 30 Days Splunk Alert</v>
      </c>
      <c r="C5">
        <f t="shared" si="0"/>
        <v>3</v>
      </c>
      <c r="D5">
        <f>'Final_List-Alerts'!B84</f>
        <v>3</v>
      </c>
      <c r="E5" s="38" t="s">
        <v>253</v>
      </c>
      <c r="F5" s="38" t="s">
        <v>254</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4">
      <c r="A6">
        <f t="shared" si="1"/>
        <v>4</v>
      </c>
      <c r="B6" s="38" t="str">
        <f>'Final_List-Alerts'!A18</f>
        <v>INVENTORY SYNC SCHEDULE API FAILED</v>
      </c>
      <c r="C6">
        <f t="shared" si="0"/>
        <v>13</v>
      </c>
      <c r="D6">
        <f>'Final_List-Alerts'!B18</f>
        <v>13</v>
      </c>
      <c r="E6" s="38" t="s">
        <v>255</v>
      </c>
      <c r="I6" s="38">
        <v>1</v>
      </c>
      <c r="J6" s="38">
        <v>1</v>
      </c>
      <c r="M6" s="38">
        <v>1</v>
      </c>
      <c r="N6" s="38"/>
      <c r="P6" t="str">
        <f>MID(E6, LEN("source=""/splunk/manhattan_active/"), FIND("csv", E6) - LEN("source=""/splunk/manhattan_active/")+3)</f>
        <v>/ABQ/inventory_sync_schedule/inventory_sync_schedule_check_status.csv</v>
      </c>
    </row>
    <row r="7" spans="1:16" ht="16">
      <c r="A7">
        <f t="shared" si="1"/>
        <v>5</v>
      </c>
      <c r="B7" s="38" t="str">
        <f>'Final_List-Alerts'!A62</f>
        <v>Mark Dynamic Case Pick (dynamic_casepick_liquor)</v>
      </c>
      <c r="C7">
        <f t="shared" si="0"/>
        <v>14</v>
      </c>
      <c r="D7">
        <f>'Final_List-Alerts'!B62</f>
        <v>14</v>
      </c>
      <c r="N7" s="38"/>
      <c r="O7" s="38"/>
    </row>
    <row r="8" spans="1:16" ht="16">
      <c r="A8">
        <f t="shared" si="1"/>
        <v>6</v>
      </c>
      <c r="B8" s="38" t="str">
        <f>'Final_List-Alerts'!A63</f>
        <v>Mark Dynamic Wine (dynamic_casepick_wine)</v>
      </c>
      <c r="C8">
        <f t="shared" si="0"/>
        <v>15</v>
      </c>
      <c r="D8">
        <f>'Final_List-Alerts'!B63</f>
        <v>15</v>
      </c>
      <c r="N8" s="38"/>
      <c r="O8" s="38"/>
    </row>
    <row r="9" spans="1:16" ht="64">
      <c r="A9">
        <f t="shared" si="1"/>
        <v>7</v>
      </c>
      <c r="B9" s="38" t="str">
        <f>'Final_List-Alerts'!A19</f>
        <v>ITEM IMAGE URL FAILURE</v>
      </c>
      <c r="C9">
        <f t="shared" si="0"/>
        <v>17</v>
      </c>
      <c r="D9">
        <f>'Final_List-Alerts'!B19</f>
        <v>17</v>
      </c>
      <c r="E9" s="38" t="s">
        <v>256</v>
      </c>
      <c r="G9" s="38">
        <v>1</v>
      </c>
      <c r="I9" s="38">
        <v>1</v>
      </c>
      <c r="J9" s="38">
        <v>1</v>
      </c>
      <c r="M9" s="38">
        <v>1</v>
      </c>
      <c r="N9" s="38"/>
      <c r="P9" t="str">
        <f>MID(E9, LEN("source=""/splunk/manhattan_active/"), FIND("csv", E9) - LEN("source=""/splunk/manhattan_active/")+3)</f>
        <v>/ABQ/item_image_url/itemURL_bulk_import_check_status.csv</v>
      </c>
    </row>
    <row r="10" spans="1:16" ht="80">
      <c r="A10">
        <f t="shared" si="1"/>
        <v>8</v>
      </c>
      <c r="B10" s="38" t="str">
        <f>'Final_List-Alerts'!A9</f>
        <v>DIVERT CONFIRMATION DOWN</v>
      </c>
      <c r="C10">
        <v>100</v>
      </c>
      <c r="D10" t="str">
        <f>'Final_List-Alerts'!B9</f>
        <v>High</v>
      </c>
      <c r="E10" s="38" t="s">
        <v>257</v>
      </c>
      <c r="I10" s="38">
        <v>1</v>
      </c>
      <c r="J10" s="38">
        <v>1</v>
      </c>
      <c r="M10" s="38">
        <v>1</v>
      </c>
      <c r="N10" s="38"/>
      <c r="O10" s="38"/>
      <c r="P10" t="str">
        <f>MID(E10, LEN("source=""/splunk/manhattan_active/"), FIND("csv", E10) - LEN("source=""/splunk/manhattan_active/")+3)</f>
        <v>/ALLMAWM/au02_divert_confirm_source_destination_down/au02_divert_confirm_source_destination_down_Prod.csv</v>
      </c>
    </row>
    <row r="11" spans="1:16" ht="64">
      <c r="A11">
        <f t="shared" si="1"/>
        <v>9</v>
      </c>
      <c r="B11" s="38" t="str">
        <f>'Final_List-Alerts'!A36</f>
        <v>PICK LOCATIONS WITH NEGATIVE TBF API FAILURE</v>
      </c>
      <c r="C11">
        <v>100</v>
      </c>
      <c r="D11" t="str">
        <f>'Final_List-Alerts'!B36</f>
        <v>High</v>
      </c>
      <c r="E11" s="38" t="s">
        <v>258</v>
      </c>
      <c r="I11" s="38">
        <v>1</v>
      </c>
      <c r="J11" s="38">
        <v>1</v>
      </c>
      <c r="L11" s="38">
        <v>1</v>
      </c>
      <c r="M11" s="38">
        <v>1</v>
      </c>
      <c r="N11" s="38"/>
      <c r="O11" s="38"/>
      <c r="P11" t="str">
        <f>MID(E11, LEN("source=""/splunk/manhattan_active/"), FIND("csv", E11) - LEN("source=""/splunk/manhattan_active/")+3)</f>
        <v>/ABQ/pick_loc_negative_tbf/pick_loc_negative_tbf_status.csv</v>
      </c>
    </row>
    <row r="12" spans="1:16" ht="64">
      <c r="A12">
        <f t="shared" si="1"/>
        <v>10</v>
      </c>
      <c r="B12" s="38" t="str">
        <f>'Final_List-Alerts'!A37</f>
        <v>PICK LOCATIONS WITH TBF QUANTITY AND NO OPEN TASK DETAILS API FAILURE</v>
      </c>
      <c r="C12">
        <v>100</v>
      </c>
      <c r="D12" t="str">
        <f>'Final_List-Alerts'!B37</f>
        <v>High</v>
      </c>
      <c r="E12" s="38" t="s">
        <v>259</v>
      </c>
      <c r="I12" s="38">
        <v>1</v>
      </c>
      <c r="J12" s="38">
        <v>1</v>
      </c>
      <c r="L12" s="38">
        <v>1</v>
      </c>
      <c r="M12" s="38">
        <v>1</v>
      </c>
      <c r="N12" s="38"/>
      <c r="O12" s="38"/>
      <c r="P12" t="str">
        <f>MID(E12, LEN("source=""/splunk/manhattan_active/"), FIND("csv", E12) - LEN("source=""/splunk/manhattan_active/")+3)</f>
        <v>/ABQ/pick_loc_tbf_qty_taskdtls/pick_loc_tbf_qty_taskdtls_status.csv</v>
      </c>
    </row>
    <row r="13" spans="1:16" ht="64">
      <c r="A13">
        <f t="shared" si="1"/>
        <v>11</v>
      </c>
      <c r="B13" s="38" t="str">
        <f>'Final_List-Alerts'!A43</f>
        <v>SLOTTING ITEM DEMAND PACK FAILURE</v>
      </c>
      <c r="C13">
        <v>100</v>
      </c>
      <c r="D13" t="str">
        <f>'Final_List-Alerts'!B43</f>
        <v>High</v>
      </c>
      <c r="E13" s="38" t="s">
        <v>260</v>
      </c>
      <c r="I13" s="38">
        <v>1</v>
      </c>
      <c r="J13" s="38">
        <v>1</v>
      </c>
      <c r="L13" s="38">
        <v>1</v>
      </c>
      <c r="M13" s="38">
        <v>1</v>
      </c>
      <c r="N13" s="38"/>
      <c r="O13" s="38"/>
      <c r="P13" t="str">
        <f>MID(E13, LEN("source=""/splunk/manhattan_active/"), FIND("csv", E13) - LEN("source=""/splunk/manhattan_active/")+3)</f>
        <v>/ABQ/slot_itemdemand_pack/slotitemdemand_pack_check_status.csv</v>
      </c>
    </row>
    <row r="14" spans="1:16" ht="64">
      <c r="A14">
        <f t="shared" si="1"/>
        <v>12</v>
      </c>
      <c r="B14" s="38" t="str">
        <f>'Final_List-Alerts'!A44</f>
        <v>SLOTTING ITEM DEMAND UNIT FAILURE</v>
      </c>
      <c r="C14">
        <v>100</v>
      </c>
      <c r="D14" t="str">
        <f>'Final_List-Alerts'!B44</f>
        <v>High</v>
      </c>
      <c r="E14" s="38" t="s">
        <v>261</v>
      </c>
      <c r="I14" s="38">
        <v>1</v>
      </c>
      <c r="J14" s="38">
        <v>1</v>
      </c>
      <c r="L14" s="38">
        <v>1</v>
      </c>
      <c r="M14" s="38">
        <v>1</v>
      </c>
      <c r="N14" s="38"/>
      <c r="O14" s="38"/>
      <c r="P14" t="str">
        <f>MID(E14, LEN("source=""/splunk/manhattan_active/"), FIND("csv", E14) - LEN("source=""/splunk/manhattan_active/")+3)</f>
        <v>/ABQ/slot_itemdemand_unit/slotitemdemand_unit_check_status.csv</v>
      </c>
    </row>
    <row r="15" spans="1:16" ht="112">
      <c r="A15">
        <f t="shared" si="1"/>
        <v>13</v>
      </c>
      <c r="B15" s="38" t="str">
        <f>'Final_List-Alerts'!A14</f>
        <v>ENDPOINT STATUS</v>
      </c>
      <c r="C15">
        <v>200</v>
      </c>
      <c r="D15" t="str">
        <f>'Final_List-Alerts'!B14</f>
        <v>Medium</v>
      </c>
      <c r="E15" s="38" t="s">
        <v>262</v>
      </c>
      <c r="I15" s="38">
        <v>1</v>
      </c>
      <c r="J15" s="38">
        <v>1</v>
      </c>
      <c r="M15" s="38">
        <v>1</v>
      </c>
      <c r="N15" s="38"/>
      <c r="O15" s="38"/>
      <c r="P15" t="str">
        <f>MID(E15, LEN("source=""/splunk/manhattan_active/"), FIND("csv", E15) - LEN("source=""/splunk/manhattan_active/")+3)</f>
        <v>/AUB/endpoint_status/endpoint_status.csv</v>
      </c>
    </row>
    <row r="16" spans="1:16" ht="48">
      <c r="A16">
        <f t="shared" si="1"/>
        <v>14</v>
      </c>
      <c r="B16" s="38" t="str">
        <f>'Final_List-Alerts'!A26</f>
        <v>LPNS WITH CONSUMED/CANCELLED ALLOCATED QUANTITY API FAILURE</v>
      </c>
      <c r="C16">
        <v>200</v>
      </c>
      <c r="D16" t="str">
        <f>'Final_List-Alerts'!B26</f>
        <v>Meium</v>
      </c>
      <c r="E16" s="38" t="s">
        <v>263</v>
      </c>
      <c r="I16" s="38">
        <v>1</v>
      </c>
      <c r="J16" s="38">
        <v>1</v>
      </c>
      <c r="L16" s="38">
        <v>1</v>
      </c>
      <c r="M16" s="38">
        <v>1</v>
      </c>
      <c r="N16" s="38"/>
      <c r="O16" s="38"/>
      <c r="P16" t="str">
        <f>MID(E16, LEN("source=""/splunk/manhattan_active/"), FIND("csv", E16) - LEN("source=""/splunk/manhattan_active/")+3)</f>
        <v>/ABQ/alloclpns_noopntskdtls/rebuild_lpn_status.csv</v>
      </c>
    </row>
    <row r="17" spans="1:16" ht="64">
      <c r="A17">
        <f t="shared" si="1"/>
        <v>15</v>
      </c>
      <c r="B17" s="38" t="str">
        <f>'Final_List-Alerts'!A38</f>
        <v>PUTAWAY TASK DETAILS API FAILURE</v>
      </c>
      <c r="C17">
        <v>200</v>
      </c>
      <c r="D17" t="str">
        <f>'Final_List-Alerts'!B38</f>
        <v>Medium</v>
      </c>
      <c r="E17" s="38" t="s">
        <v>264</v>
      </c>
      <c r="I17" s="38">
        <v>1</v>
      </c>
      <c r="J17" s="38">
        <v>1</v>
      </c>
      <c r="L17" s="38">
        <v>1</v>
      </c>
      <c r="M17" s="38">
        <v>1</v>
      </c>
      <c r="N17" s="38"/>
      <c r="O17" s="38"/>
      <c r="P17" t="str">
        <f>MID(E17, LEN("source=""/splunk/manhattan_active/"), FIND("csv", E17) - LEN("source=""/splunk/manhattan_active/")+3)</f>
        <v>/ABQ/ptwytskdtlsopen_nottiedtskhdr/putaway_task_details_status.csv</v>
      </c>
    </row>
    <row r="18" spans="1:16" ht="64">
      <c r="A18">
        <f t="shared" si="1"/>
        <v>16</v>
      </c>
      <c r="B18" s="38" t="str">
        <f>'Final_List-Alerts'!A39</f>
        <v>RECOUP SORTING UPDATE API FAILURE</v>
      </c>
      <c r="C18">
        <v>200</v>
      </c>
      <c r="D18" t="str">
        <f>'Final_List-Alerts'!B39</f>
        <v>Medium</v>
      </c>
      <c r="E18" s="38" t="s">
        <v>265</v>
      </c>
      <c r="I18" s="38">
        <v>1</v>
      </c>
      <c r="J18" s="38">
        <v>1</v>
      </c>
      <c r="L18" s="38">
        <v>1</v>
      </c>
      <c r="M18" s="38">
        <v>1</v>
      </c>
      <c r="N18" s="38"/>
      <c r="O18" s="38"/>
      <c r="P18" t="str">
        <f>MID(E18, LEN("source=""/splunk/manhattan_active/"), FIND("csv", E18) - LEN("source=""/splunk/manhattan_active/")+3)</f>
        <v>/DFB/recoup_sort_update_lpn/update_lpn_status.csv</v>
      </c>
    </row>
    <row r="19" spans="1:16" ht="48">
      <c r="A19">
        <f t="shared" si="1"/>
        <v>17</v>
      </c>
      <c r="B19" s="38" t="str">
        <f>'Final_List-Alerts'!A45</f>
        <v>SLOTTING LIA DELETE PK RECORDS API FAILURE</v>
      </c>
      <c r="C19">
        <v>200</v>
      </c>
      <c r="D19" t="str">
        <f>'Final_List-Alerts'!B45</f>
        <v>Medium</v>
      </c>
      <c r="E19" s="38" t="s">
        <v>266</v>
      </c>
      <c r="I19" s="38">
        <v>1</v>
      </c>
      <c r="J19" s="38">
        <v>1</v>
      </c>
      <c r="L19" s="38">
        <v>1</v>
      </c>
      <c r="M19" s="38">
        <v>1</v>
      </c>
      <c r="N19" s="38"/>
      <c r="O19" s="38"/>
      <c r="P19" t="str">
        <f>MID(E19, LEN("source=""/splunk/manhattan_active/"), FIND("csv", E19) - LEN("source=""/splunk/manhattan_active/")+3)</f>
        <v>/ABQ/slotting_lia_delete/slotting_lia_delete_status.csv</v>
      </c>
    </row>
    <row r="20" spans="1:16" ht="48">
      <c r="A20">
        <f t="shared" si="1"/>
        <v>18</v>
      </c>
      <c r="B20" s="38" t="str">
        <f>'Final_List-Alerts'!A2</f>
        <v>ALLOCATED LPNS WITH NO OPEN TASK DETAILS API FAILURE</v>
      </c>
      <c r="C20">
        <v>300</v>
      </c>
      <c r="D20" t="str">
        <f>'Final_List-Alerts'!B2</f>
        <v>Low</v>
      </c>
      <c r="E20" s="38" t="s">
        <v>263</v>
      </c>
      <c r="F20" s="191" t="s">
        <v>267</v>
      </c>
      <c r="G20" s="191"/>
      <c r="I20" s="191">
        <v>1</v>
      </c>
      <c r="J20" s="191">
        <v>1</v>
      </c>
      <c r="L20" s="191">
        <v>1</v>
      </c>
      <c r="M20" s="191"/>
      <c r="N20" s="191"/>
      <c r="O20" s="38"/>
      <c r="P20" t="str">
        <f>MID(E20, LEN("source=""/splunk/manhattan_active/"), FIND("csv", E20) - LEN("source=""/splunk/manhattan_active/")+3)</f>
        <v>/ABQ/alloclpns_noopntskdtls/rebuild_lpn_status.csv</v>
      </c>
    </row>
    <row r="21" spans="1:16" ht="112">
      <c r="A21">
        <f t="shared" si="1"/>
        <v>19</v>
      </c>
      <c r="B21" s="38" t="str">
        <f>'Final_List-Alerts'!A13</f>
        <v>ENDPOINT QUEUE FAILURES</v>
      </c>
      <c r="C21">
        <v>300</v>
      </c>
      <c r="D21" t="str">
        <f>'Final_List-Alerts'!B13</f>
        <v>Low</v>
      </c>
      <c r="E21" s="38" t="s">
        <v>268</v>
      </c>
      <c r="I21" s="38">
        <v>1</v>
      </c>
      <c r="J21" s="38">
        <v>1</v>
      </c>
      <c r="M21" s="38">
        <v>1</v>
      </c>
      <c r="N21" s="38"/>
      <c r="O21" s="38"/>
      <c r="P21" t="str">
        <f>MID(E21, LEN("source=""/splunk/manhattan_active/"), FIND("csv", E21) - LEN("source=""/splunk/manhattan_active/")+3)</f>
        <v>/ABQ/failure_count/message_failure_count_list.csv</v>
      </c>
    </row>
    <row r="22" spans="1:16" ht="64">
      <c r="A22">
        <v>1</v>
      </c>
      <c r="B22" s="38" t="str">
        <f>'Final_List-Alerts'!A16</f>
        <v>ILPNS WITH NEGATIVE ALLOCATED QUANTITY API FAILURE</v>
      </c>
      <c r="C22">
        <v>300</v>
      </c>
      <c r="D22" t="str">
        <f>'Final_List-Alerts'!B16</f>
        <v>Low</v>
      </c>
      <c r="E22" s="38" t="s">
        <v>269</v>
      </c>
      <c r="I22" s="38">
        <v>1</v>
      </c>
      <c r="J22" s="38">
        <v>1</v>
      </c>
      <c r="M22" s="38">
        <v>1</v>
      </c>
      <c r="N22" s="38"/>
      <c r="O22" s="38"/>
      <c r="P22" t="str">
        <f>MID(E22, LEN("source=""/splunk/manhattan_active/"), FIND("csv", E22) - LEN("source=""/splunk/manhattan_active/")+3)</f>
        <v>/ABQ/lpn_negative_allocation/update_lpn_inv_check_status.csv</v>
      </c>
    </row>
    <row r="23" spans="1:16" ht="48">
      <c r="A23">
        <f t="shared" ref="A23:A30" si="2">A22+1</f>
        <v>2</v>
      </c>
      <c r="B23" s="38" t="str">
        <f>'Final_List-Alerts'!A23</f>
        <v>LOCATION REBUILD FAILURE</v>
      </c>
      <c r="C23">
        <v>300</v>
      </c>
      <c r="D23" t="str">
        <f>'Final_List-Alerts'!B23</f>
        <v>Low</v>
      </c>
      <c r="E23" s="38" t="s">
        <v>270</v>
      </c>
      <c r="I23" s="38">
        <v>1</v>
      </c>
      <c r="J23" s="38">
        <v>1</v>
      </c>
      <c r="M23" s="38">
        <v>1</v>
      </c>
      <c r="N23" s="38"/>
      <c r="O23" s="38"/>
      <c r="P23" t="str">
        <f>MID(E23, LEN("source=""/splunk/manhattan_active/"), FIND("csv", E23) - LEN("source=""/splunk/manhattan_active/")+3)</f>
        <v>/ABQ/location_rebuild/location_rebuild_check_status.csv</v>
      </c>
    </row>
    <row r="24" spans="1:16" ht="64">
      <c r="A24">
        <f t="shared" si="2"/>
        <v>3</v>
      </c>
      <c r="B24" s="38" t="str">
        <f>'Final_List-Alerts'!A29</f>
        <v>OPEN PICK PACK TASK DETAILS API FAILURE</v>
      </c>
      <c r="C24">
        <v>300</v>
      </c>
      <c r="D24" t="str">
        <f>'Final_List-Alerts'!B29</f>
        <v>Low</v>
      </c>
      <c r="E24" s="38" t="s">
        <v>271</v>
      </c>
      <c r="I24" s="38">
        <v>1</v>
      </c>
      <c r="J24" s="38">
        <v>1</v>
      </c>
      <c r="L24" s="38">
        <v>1</v>
      </c>
      <c r="M24" s="38">
        <v>1</v>
      </c>
      <c r="N24" s="38"/>
      <c r="O24" s="38"/>
      <c r="P24" t="str">
        <f>MID(E24, LEN("source=""/splunk/manhattan_active/"), FIND("csv", E24) - LEN("source=""/splunk/manhattan_active/")+3)</f>
        <v>/ABQ/tskdtls_comp_openpickpacktskdtls/open_pickpack_task_details_status.csv</v>
      </c>
    </row>
    <row r="25" spans="1:16" ht="64">
      <c r="A25">
        <f t="shared" si="2"/>
        <v>4</v>
      </c>
      <c r="B25" s="38" t="str">
        <f>'Final_List-Alerts'!A31</f>
        <v>OPEN TASK API FAILURE</v>
      </c>
      <c r="C25">
        <v>300</v>
      </c>
      <c r="D25" t="str">
        <f>'Final_List-Alerts'!B31</f>
        <v>Low</v>
      </c>
      <c r="E25" s="38" t="s">
        <v>272</v>
      </c>
      <c r="I25" s="38">
        <v>1</v>
      </c>
      <c r="J25" s="38">
        <v>1</v>
      </c>
      <c r="L25" s="38">
        <v>1</v>
      </c>
      <c r="M25" s="38">
        <v>1</v>
      </c>
      <c r="N25" s="38"/>
      <c r="O25" s="38"/>
      <c r="P25" t="str">
        <f>MID(E25, LEN("source=""/splunk/manhattan_active/"), FIND("csv", E25) - LEN("source=""/splunk/manhattan_active/")+3)</f>
        <v>/ABQ/open_task/open_task_status.csv</v>
      </c>
    </row>
    <row r="26" spans="1:16" ht="48">
      <c r="A26">
        <f t="shared" si="2"/>
        <v>5</v>
      </c>
      <c r="B26" s="38" t="str">
        <f>'Final_List-Alerts'!A32</f>
        <v>OPEN TASK DETAILS API FAILURE</v>
      </c>
      <c r="C26">
        <v>300</v>
      </c>
      <c r="D26" t="str">
        <f>'Final_List-Alerts'!B32</f>
        <v>Low</v>
      </c>
      <c r="E26" s="38" t="s">
        <v>273</v>
      </c>
      <c r="I26" s="38">
        <v>1</v>
      </c>
      <c r="J26" s="38">
        <v>1</v>
      </c>
      <c r="L26" s="38">
        <v>1</v>
      </c>
      <c r="M26" s="38">
        <v>1</v>
      </c>
      <c r="N26" s="38"/>
      <c r="O26" s="38"/>
      <c r="P26" t="str">
        <f>MID(E26, LEN("source=""/splunk/manhattan_active/"), FIND("csv", E26) - LEN("source=""/splunk/manhattan_active/")+3)</f>
        <v>/ABQ/open_task_details/open_task_details_status.csv</v>
      </c>
    </row>
    <row r="27" spans="1:16" ht="64">
      <c r="A27">
        <f t="shared" si="2"/>
        <v>6</v>
      </c>
      <c r="B27" s="38" t="str">
        <f>'Final_List-Alerts'!A56</f>
        <v>USER TASK GROUP BULK IMPORT FAILURE</v>
      </c>
      <c r="C27">
        <v>300</v>
      </c>
      <c r="D27" t="str">
        <f>'Final_List-Alerts'!B56</f>
        <v>Low</v>
      </c>
      <c r="E27" s="38" t="s">
        <v>274</v>
      </c>
      <c r="I27" s="38">
        <v>1</v>
      </c>
      <c r="J27" s="38">
        <v>1</v>
      </c>
      <c r="L27" s="38">
        <v>1</v>
      </c>
      <c r="M27" s="38">
        <v>1</v>
      </c>
      <c r="N27" s="38"/>
      <c r="O27" s="38"/>
      <c r="P27" t="str">
        <f>MID(E27, LEN("source=""/splunk/manhattan_active/"), FIND("csv", E27) - LEN("source=""/splunk/manhattan_active/")+3)</f>
        <v>/ABQ/user_task_group/user_task_group_status.csv</v>
      </c>
    </row>
    <row r="28" spans="1:16" ht="64">
      <c r="A28">
        <f t="shared" si="2"/>
        <v>7</v>
      </c>
      <c r="B28" s="38" t="str">
        <f>'Final_List-Alerts'!A87</f>
        <v>inventory_sync_schedule</v>
      </c>
      <c r="C28">
        <v>1000</v>
      </c>
      <c r="D28">
        <f>'Final_List-Alerts'!B87</f>
        <v>0</v>
      </c>
      <c r="E28" s="38" t="s">
        <v>255</v>
      </c>
      <c r="I28" s="38">
        <v>1</v>
      </c>
      <c r="J28" s="38">
        <v>1</v>
      </c>
      <c r="M28" s="38">
        <v>1</v>
      </c>
      <c r="N28" s="38"/>
      <c r="O28" s="38"/>
      <c r="P28" t="str">
        <f>MID(E28, LEN("source=""/splunk/manhattan_active/"), FIND("csv", E28) - LEN("source=""/splunk/manhattan_active/")+3)</f>
        <v>/ABQ/inventory_sync_schedule/inventory_sync_schedule_check_status.csv</v>
      </c>
    </row>
    <row r="29" spans="1:16" ht="144">
      <c r="A29">
        <f t="shared" si="2"/>
        <v>8</v>
      </c>
      <c r="B29" s="38" t="str">
        <f>'Final_List-Alerts'!A85</f>
        <v>mawm_consolidation_report</v>
      </c>
      <c r="C29">
        <v>1000</v>
      </c>
      <c r="D29">
        <f>'Final_List-Alerts'!B85</f>
        <v>0</v>
      </c>
      <c r="N29" s="38"/>
      <c r="O29" s="38" t="s">
        <v>275</v>
      </c>
    </row>
    <row r="30" spans="1:16" ht="288">
      <c r="A30">
        <f t="shared" si="2"/>
        <v>9</v>
      </c>
      <c r="B30" s="38" t="str">
        <f>'Final_List-Alerts'!A88</f>
        <v>update_ext_display_barcode</v>
      </c>
      <c r="C30">
        <v>1000</v>
      </c>
      <c r="D30">
        <f>'Final_List-Alerts'!B88</f>
        <v>0</v>
      </c>
      <c r="E30" s="38" t="s">
        <v>1615</v>
      </c>
      <c r="J30" s="38">
        <v>1</v>
      </c>
      <c r="K30" s="38">
        <v>1</v>
      </c>
      <c r="L30" s="38">
        <v>1</v>
      </c>
      <c r="M30" s="38">
        <v>1</v>
      </c>
      <c r="N30" s="38"/>
      <c r="O30" s="38"/>
    </row>
    <row r="31" spans="1:16" ht="16">
      <c r="B31" s="193" t="s">
        <v>276</v>
      </c>
    </row>
    <row r="32" spans="1:16" ht="16">
      <c r="B32" s="193" t="s">
        <v>277</v>
      </c>
    </row>
    <row r="34" spans="1:6" ht="16" customHeight="1"/>
    <row r="43" spans="1:6" ht="16">
      <c r="B43" s="229" t="str">
        <f>B2</f>
        <v>Tasks</v>
      </c>
      <c r="C43" s="230" t="str">
        <f>P2</f>
        <v>csv file name</v>
      </c>
    </row>
    <row r="44" spans="1:6" ht="16">
      <c r="A44" s="38"/>
      <c r="B44" s="38" t="str">
        <f>B5</f>
        <v>ATL In Transit RMA ASNs &gt; 30 Days Splunk Alert</v>
      </c>
      <c r="C44" t="str">
        <f>P5</f>
        <v>/ALLMAWM/hawaii-in-transit-rma-asns/Logs/hawaii-in-transit-rma-asns-HAW.csv</v>
      </c>
      <c r="F44" s="38" t="s">
        <v>1722</v>
      </c>
    </row>
    <row r="45" spans="1:6" ht="16">
      <c r="A45" s="38"/>
      <c r="B45" s="38" t="str">
        <f>B6</f>
        <v>INVENTORY SYNC SCHEDULE API FAILED</v>
      </c>
      <c r="C45" t="str">
        <f>P6</f>
        <v>/ABQ/inventory_sync_schedule/inventory_sync_schedule_check_status.csv</v>
      </c>
      <c r="F45" s="38" t="s">
        <v>1719</v>
      </c>
    </row>
    <row r="46" spans="1:6" ht="16">
      <c r="A46" s="38"/>
      <c r="B46" s="38" t="str">
        <f>B9</f>
        <v>ITEM IMAGE URL FAILURE</v>
      </c>
      <c r="C46" t="str">
        <f>P9</f>
        <v>/ABQ/item_image_url/itemURL_bulk_import_check_status.csv</v>
      </c>
      <c r="F46" s="38" t="s">
        <v>1720</v>
      </c>
    </row>
    <row r="47" spans="1:6" ht="17" customHeight="1">
      <c r="A47" s="38"/>
      <c r="B47" s="38" t="str">
        <f>B10</f>
        <v>DIVERT CONFIRMATION DOWN</v>
      </c>
      <c r="C47" t="str">
        <f>P10</f>
        <v>/ALLMAWM/au02_divert_confirm_source_destination_down/au02_divert_confirm_source_destination_down_Prod.csv</v>
      </c>
    </row>
    <row r="48" spans="1:6" ht="16">
      <c r="A48" s="38"/>
      <c r="B48" s="38" t="str">
        <f>B11</f>
        <v>PICK LOCATIONS WITH NEGATIVE TBF API FAILURE</v>
      </c>
      <c r="C48" t="str">
        <f>P11</f>
        <v>/ABQ/pick_loc_negative_tbf/pick_loc_negative_tbf_status.csv</v>
      </c>
    </row>
    <row r="49" spans="1:3" ht="32">
      <c r="A49" s="38"/>
      <c r="B49" s="38" t="str">
        <f>B12</f>
        <v>PICK LOCATIONS WITH TBF QUANTITY AND NO OPEN TASK DETAILS API FAILURE</v>
      </c>
      <c r="C49" t="str">
        <f>P12</f>
        <v>/ABQ/pick_loc_tbf_qty_taskdtls/pick_loc_tbf_qty_taskdtls_status.csv</v>
      </c>
    </row>
    <row r="50" spans="1:3" ht="16">
      <c r="A50" s="38"/>
      <c r="B50" s="38" t="str">
        <f>B13</f>
        <v>SLOTTING ITEM DEMAND PACK FAILURE</v>
      </c>
      <c r="C50" t="str">
        <f>P13</f>
        <v>/ABQ/slot_itemdemand_pack/slotitemdemand_pack_check_status.csv</v>
      </c>
    </row>
    <row r="51" spans="1:3" ht="16">
      <c r="A51" s="38"/>
      <c r="B51" s="38" t="str">
        <f>B14</f>
        <v>SLOTTING ITEM DEMAND UNIT FAILURE</v>
      </c>
      <c r="C51" t="str">
        <f>P14</f>
        <v>/ABQ/slot_itemdemand_unit/slotitemdemand_unit_check_status.csv</v>
      </c>
    </row>
    <row r="52" spans="1:3" ht="16">
      <c r="A52" s="38"/>
      <c r="B52" s="38" t="str">
        <f>B15</f>
        <v>ENDPOINT STATUS</v>
      </c>
      <c r="C52" t="str">
        <f>P15</f>
        <v>/AUB/endpoint_status/endpoint_status.csv</v>
      </c>
    </row>
    <row r="53" spans="1:3" ht="32">
      <c r="A53" s="38"/>
      <c r="B53" s="38" t="str">
        <f>B16</f>
        <v>LPNS WITH CONSUMED/CANCELLED ALLOCATED QUANTITY API FAILURE</v>
      </c>
      <c r="C53" t="str">
        <f>P16</f>
        <v>/ABQ/alloclpns_noopntskdtls/rebuild_lpn_status.csv</v>
      </c>
    </row>
    <row r="54" spans="1:3" ht="16">
      <c r="A54" s="38"/>
      <c r="B54" s="38" t="str">
        <f>B17</f>
        <v>PUTAWAY TASK DETAILS API FAILURE</v>
      </c>
      <c r="C54" t="str">
        <f>P17</f>
        <v>/ABQ/ptwytskdtlsopen_nottiedtskhdr/putaway_task_details_status.csv</v>
      </c>
    </row>
    <row r="55" spans="1:3" ht="16">
      <c r="A55" s="38"/>
      <c r="B55" s="38" t="str">
        <f>B18</f>
        <v>RECOUP SORTING UPDATE API FAILURE</v>
      </c>
      <c r="C55" t="str">
        <f>P18</f>
        <v>/DFB/recoup_sort_update_lpn/update_lpn_status.csv</v>
      </c>
    </row>
    <row r="56" spans="1:3" ht="16">
      <c r="A56" s="38"/>
      <c r="B56" s="38" t="str">
        <f>B19</f>
        <v>SLOTTING LIA DELETE PK RECORDS API FAILURE</v>
      </c>
      <c r="C56" t="str">
        <f>P19</f>
        <v>/ABQ/slotting_lia_delete/slotting_lia_delete_status.csv</v>
      </c>
    </row>
    <row r="57" spans="1:3" ht="16">
      <c r="A57" s="38"/>
      <c r="B57" s="38" t="str">
        <f>B20</f>
        <v>ALLOCATED LPNS WITH NO OPEN TASK DETAILS API FAILURE</v>
      </c>
      <c r="C57" t="str">
        <f>P20</f>
        <v>/ABQ/alloclpns_noopntskdtls/rebuild_lpn_status.csv</v>
      </c>
    </row>
    <row r="58" spans="1:3" ht="16">
      <c r="B58" s="38" t="str">
        <f>B21</f>
        <v>ENDPOINT QUEUE FAILURES</v>
      </c>
      <c r="C58" t="str">
        <f>P21</f>
        <v>/ABQ/failure_count/message_failure_count_list.csv</v>
      </c>
    </row>
    <row r="59" spans="1:3" ht="16">
      <c r="A59" s="38"/>
      <c r="B59" s="38" t="str">
        <f>B22</f>
        <v>ILPNS WITH NEGATIVE ALLOCATED QUANTITY API FAILURE</v>
      </c>
      <c r="C59" t="str">
        <f>P22</f>
        <v>/ABQ/lpn_negative_allocation/update_lpn_inv_check_status.csv</v>
      </c>
    </row>
    <row r="60" spans="1:3" ht="16">
      <c r="A60" s="38"/>
      <c r="B60" s="38" t="str">
        <f>B23</f>
        <v>LOCATION REBUILD FAILURE</v>
      </c>
      <c r="C60" t="str">
        <f>P23</f>
        <v>/ABQ/location_rebuild/location_rebuild_check_status.csv</v>
      </c>
    </row>
    <row r="61" spans="1:3" ht="16">
      <c r="A61" s="38"/>
      <c r="B61" s="38" t="str">
        <f>B24</f>
        <v>OPEN PICK PACK TASK DETAILS API FAILURE</v>
      </c>
      <c r="C61" t="str">
        <f>P24</f>
        <v>/ABQ/tskdtls_comp_openpickpacktskdtls/open_pickpack_task_details_status.csv</v>
      </c>
    </row>
    <row r="62" spans="1:3" ht="16">
      <c r="A62" s="38"/>
      <c r="B62" s="38" t="str">
        <f>B25</f>
        <v>OPEN TASK API FAILURE</v>
      </c>
      <c r="C62" t="str">
        <f>P25</f>
        <v>/ABQ/open_task/open_task_status.csv</v>
      </c>
    </row>
    <row r="63" spans="1:3" ht="16">
      <c r="A63" s="38"/>
      <c r="B63" s="38" t="str">
        <f>B26</f>
        <v>OPEN TASK DETAILS API FAILURE</v>
      </c>
      <c r="C63" t="str">
        <f>P26</f>
        <v>/ABQ/open_task_details/open_task_details_status.csv</v>
      </c>
    </row>
    <row r="64" spans="1:3" ht="16">
      <c r="A64" s="38"/>
      <c r="B64" s="38" t="str">
        <f>B27</f>
        <v>USER TASK GROUP BULK IMPORT FAILURE</v>
      </c>
      <c r="C64" t="str">
        <f>P27</f>
        <v>/ABQ/user_task_group/user_task_group_status.csv</v>
      </c>
    </row>
    <row r="65" spans="1:3" ht="16">
      <c r="A65" s="38"/>
      <c r="B65" s="38" t="str">
        <f>B28</f>
        <v>inventory_sync_schedule</v>
      </c>
      <c r="C65" t="str">
        <f>P28</f>
        <v>/ABQ/inventory_sync_schedule/inventory_sync_schedule_check_status.csv</v>
      </c>
    </row>
  </sheetData>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topLeftCell="B1" zoomScale="85" zoomScaleNormal="85" workbookViewId="0">
      <pane ySplit="2" topLeftCell="A74" activePane="bottomLeft" state="frozen"/>
      <selection pane="bottomLeft" activeCell="D74" sqref="D74"/>
    </sheetView>
    <sheetView workbookViewId="1"/>
  </sheetViews>
  <sheetFormatPr baseColWidth="10" defaultColWidth="9.5" defaultRowHeight="15"/>
  <cols>
    <col min="1" max="1" width="30" style="2" customWidth="1"/>
    <col min="2" max="2" width="32.5" style="2" customWidth="1"/>
    <col min="3" max="3" width="21" style="4" customWidth="1"/>
    <col min="4" max="4" width="44.5" style="4" customWidth="1"/>
    <col min="5" max="5" width="53" style="4" bestFit="1" customWidth="1"/>
    <col min="6" max="6" width="27.5" style="2" bestFit="1" customWidth="1"/>
    <col min="7" max="7" width="17.5" style="2" customWidth="1"/>
    <col min="8" max="8" width="44.5" style="2" bestFit="1" customWidth="1"/>
    <col min="9" max="9" width="14" style="2" customWidth="1"/>
    <col min="10" max="11" width="38.5" style="4" customWidth="1"/>
    <col min="12" max="12" width="9.5" style="2" customWidth="1"/>
    <col min="13" max="13" width="11.5" style="2" customWidth="1"/>
    <col min="14" max="29" width="9.5" style="2" customWidth="1"/>
    <col min="30" max="16384" width="9.5" style="2"/>
  </cols>
  <sheetData>
    <row r="1" spans="1:51" ht="22">
      <c r="A1" s="56" t="s">
        <v>278</v>
      </c>
      <c r="B1" s="56"/>
      <c r="C1" s="56"/>
      <c r="D1" s="56"/>
      <c r="E1" s="56"/>
      <c r="F1" s="56"/>
      <c r="G1" s="56"/>
      <c r="H1" s="56"/>
      <c r="I1" s="56"/>
      <c r="J1" s="56"/>
      <c r="K1" s="55"/>
      <c r="L1" s="222" t="s">
        <v>279</v>
      </c>
      <c r="M1" s="222"/>
      <c r="N1" s="222"/>
      <c r="O1" s="222"/>
      <c r="P1" s="222"/>
      <c r="Q1" s="222"/>
      <c r="R1" s="222"/>
      <c r="S1" s="222"/>
      <c r="T1" s="222"/>
      <c r="U1" s="222"/>
      <c r="V1" s="222"/>
      <c r="W1" s="222"/>
      <c r="X1" s="222"/>
      <c r="Y1" s="222"/>
      <c r="Z1" s="222"/>
      <c r="AA1" s="222"/>
      <c r="AB1" s="222"/>
      <c r="AC1" s="222"/>
      <c r="AD1" s="222"/>
      <c r="AE1" s="222"/>
      <c r="AF1" s="222"/>
      <c r="AG1" s="222"/>
      <c r="AH1" s="222"/>
      <c r="AI1" s="222"/>
      <c r="AJ1" s="222"/>
      <c r="AK1" s="222"/>
      <c r="AL1" s="222"/>
      <c r="AM1" s="222"/>
      <c r="AN1" s="222"/>
      <c r="AO1" s="222"/>
      <c r="AP1" s="222"/>
      <c r="AQ1" s="222"/>
      <c r="AR1" s="222"/>
      <c r="AS1" s="222"/>
      <c r="AT1" s="222"/>
      <c r="AU1" s="222"/>
      <c r="AV1" s="222"/>
      <c r="AW1" s="222"/>
      <c r="AX1" s="222"/>
      <c r="AY1" s="222"/>
    </row>
    <row r="2" spans="1:51" ht="16" customHeight="1">
      <c r="A2" s="1" t="s">
        <v>280</v>
      </c>
      <c r="B2" s="1" t="s">
        <v>281</v>
      </c>
      <c r="C2" s="3" t="s">
        <v>282</v>
      </c>
      <c r="D2" s="3" t="s">
        <v>283</v>
      </c>
      <c r="E2" s="3" t="s">
        <v>284</v>
      </c>
      <c r="F2" s="1" t="s">
        <v>285</v>
      </c>
      <c r="G2" s="1" t="s">
        <v>286</v>
      </c>
      <c r="H2" s="1" t="s">
        <v>287</v>
      </c>
      <c r="I2" s="1" t="s">
        <v>56</v>
      </c>
      <c r="J2" s="3" t="s">
        <v>288</v>
      </c>
      <c r="K2" s="3" t="s">
        <v>289</v>
      </c>
      <c r="L2" s="2" t="s">
        <v>290</v>
      </c>
      <c r="M2" s="2" t="s">
        <v>291</v>
      </c>
      <c r="N2" s="2" t="s">
        <v>292</v>
      </c>
      <c r="O2" s="2" t="s">
        <v>293</v>
      </c>
      <c r="P2" s="2" t="s">
        <v>294</v>
      </c>
      <c r="Q2" s="2" t="s">
        <v>295</v>
      </c>
      <c r="R2" s="2" t="s">
        <v>296</v>
      </c>
      <c r="S2" s="2" t="s">
        <v>297</v>
      </c>
      <c r="T2" s="2" t="s">
        <v>298</v>
      </c>
      <c r="U2" s="2" t="s">
        <v>299</v>
      </c>
      <c r="V2" s="2" t="s">
        <v>300</v>
      </c>
      <c r="W2" s="2" t="s">
        <v>301</v>
      </c>
      <c r="X2" s="2" t="s">
        <v>302</v>
      </c>
      <c r="Y2" s="2" t="s">
        <v>303</v>
      </c>
      <c r="Z2" s="2" t="s">
        <v>304</v>
      </c>
      <c r="AA2" s="2" t="s">
        <v>305</v>
      </c>
      <c r="AB2" s="2" t="s">
        <v>306</v>
      </c>
      <c r="AC2" s="2" t="s">
        <v>307</v>
      </c>
      <c r="AD2" s="2" t="s">
        <v>308</v>
      </c>
      <c r="AE2" s="2" t="s">
        <v>309</v>
      </c>
      <c r="AF2" s="2" t="s">
        <v>310</v>
      </c>
      <c r="AG2" s="2" t="s">
        <v>311</v>
      </c>
      <c r="AH2" s="2" t="s">
        <v>312</v>
      </c>
      <c r="AI2" s="2" t="s">
        <v>313</v>
      </c>
      <c r="AJ2" s="2" t="s">
        <v>314</v>
      </c>
      <c r="AK2" s="2" t="s">
        <v>315</v>
      </c>
      <c r="AL2" s="2" t="s">
        <v>316</v>
      </c>
      <c r="AM2" s="2" t="s">
        <v>317</v>
      </c>
      <c r="AN2" s="2" t="s">
        <v>318</v>
      </c>
      <c r="AO2" s="2" t="s">
        <v>319</v>
      </c>
      <c r="AP2" s="2" t="s">
        <v>320</v>
      </c>
      <c r="AQ2" s="2" t="s">
        <v>321</v>
      </c>
      <c r="AR2" s="2" t="s">
        <v>322</v>
      </c>
      <c r="AS2" s="2" t="s">
        <v>323</v>
      </c>
      <c r="AT2" s="2" t="s">
        <v>324</v>
      </c>
      <c r="AU2" s="2" t="s">
        <v>325</v>
      </c>
      <c r="AV2" s="2" t="s">
        <v>326</v>
      </c>
      <c r="AW2" s="2" t="s">
        <v>327</v>
      </c>
      <c r="AX2" s="2" t="s">
        <v>328</v>
      </c>
      <c r="AY2" s="2" t="s">
        <v>329</v>
      </c>
    </row>
    <row r="3" spans="1:51" ht="16" hidden="1">
      <c r="A3" s="2" t="s">
        <v>330</v>
      </c>
      <c r="B3" s="2" t="s">
        <v>141</v>
      </c>
      <c r="D3" s="4" t="s">
        <v>331</v>
      </c>
      <c r="E3" s="4" t="s">
        <v>332</v>
      </c>
      <c r="J3" s="4" t="s">
        <v>333</v>
      </c>
      <c r="L3" s="2" t="s">
        <v>141</v>
      </c>
      <c r="M3" s="2" t="s">
        <v>141</v>
      </c>
      <c r="N3" s="2" t="s">
        <v>141</v>
      </c>
      <c r="O3" s="2" t="s">
        <v>141</v>
      </c>
      <c r="P3" s="2" t="s">
        <v>141</v>
      </c>
      <c r="Q3" s="2" t="s">
        <v>141</v>
      </c>
      <c r="R3" s="2" t="s">
        <v>141</v>
      </c>
      <c r="S3" s="2" t="s">
        <v>141</v>
      </c>
      <c r="T3" s="2" t="s">
        <v>141</v>
      </c>
      <c r="U3" s="2" t="s">
        <v>141</v>
      </c>
      <c r="V3" s="2" t="s">
        <v>141</v>
      </c>
      <c r="W3" s="2" t="s">
        <v>141</v>
      </c>
      <c r="X3" s="2" t="s">
        <v>141</v>
      </c>
      <c r="Y3" s="2" t="s">
        <v>141</v>
      </c>
      <c r="Z3" s="2" t="s">
        <v>141</v>
      </c>
      <c r="AA3" s="2" t="s">
        <v>141</v>
      </c>
      <c r="AB3" s="2" t="s">
        <v>141</v>
      </c>
      <c r="AC3" s="2" t="s">
        <v>141</v>
      </c>
      <c r="AD3" s="2" t="s">
        <v>141</v>
      </c>
      <c r="AE3" s="2" t="s">
        <v>141</v>
      </c>
      <c r="AF3" s="2" t="s">
        <v>141</v>
      </c>
      <c r="AG3" s="2" t="s">
        <v>141</v>
      </c>
      <c r="AH3" s="2" t="s">
        <v>141</v>
      </c>
      <c r="AI3" s="2" t="s">
        <v>141</v>
      </c>
      <c r="AJ3" s="2" t="s">
        <v>141</v>
      </c>
      <c r="AK3" s="2" t="s">
        <v>141</v>
      </c>
      <c r="AL3" s="2" t="s">
        <v>141</v>
      </c>
      <c r="AM3" s="2" t="s">
        <v>141</v>
      </c>
      <c r="AN3" s="2" t="s">
        <v>141</v>
      </c>
      <c r="AO3" s="2" t="s">
        <v>141</v>
      </c>
      <c r="AP3" s="2" t="s">
        <v>141</v>
      </c>
      <c r="AQ3" s="2" t="s">
        <v>141</v>
      </c>
      <c r="AR3" s="2" t="s">
        <v>141</v>
      </c>
      <c r="AS3" s="2" t="s">
        <v>141</v>
      </c>
      <c r="AT3" s="2" t="s">
        <v>141</v>
      </c>
      <c r="AU3" s="2" t="s">
        <v>141</v>
      </c>
      <c r="AV3" s="2" t="s">
        <v>141</v>
      </c>
      <c r="AW3" s="2" t="s">
        <v>141</v>
      </c>
      <c r="AX3" s="2" t="s">
        <v>141</v>
      </c>
      <c r="AY3" s="2" t="s">
        <v>141</v>
      </c>
    </row>
    <row r="4" spans="1:51" ht="16" hidden="1" customHeight="1">
      <c r="A4" s="2" t="s">
        <v>334</v>
      </c>
      <c r="B4" s="2" t="s">
        <v>71</v>
      </c>
      <c r="C4" s="4" t="s">
        <v>335</v>
      </c>
      <c r="D4" s="38" t="s">
        <v>336</v>
      </c>
      <c r="E4" s="4" t="s">
        <v>337</v>
      </c>
      <c r="F4" s="2" t="s">
        <v>338</v>
      </c>
      <c r="G4" s="2" t="s">
        <v>339</v>
      </c>
      <c r="H4" s="2" t="s">
        <v>340</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141</v>
      </c>
      <c r="Z4" s="2" t="s">
        <v>71</v>
      </c>
      <c r="AA4" s="2" t="s">
        <v>71</v>
      </c>
      <c r="AB4" s="2" t="s">
        <v>71</v>
      </c>
      <c r="AC4" s="2" t="s">
        <v>71</v>
      </c>
      <c r="AD4" s="2" t="s">
        <v>141</v>
      </c>
      <c r="AE4" s="2" t="s">
        <v>141</v>
      </c>
      <c r="AF4" s="2" t="s">
        <v>71</v>
      </c>
      <c r="AG4" s="2" t="s">
        <v>71</v>
      </c>
      <c r="AH4" s="2" t="s">
        <v>71</v>
      </c>
      <c r="AI4" s="2" t="s">
        <v>71</v>
      </c>
      <c r="AJ4" s="2" t="s">
        <v>141</v>
      </c>
      <c r="AK4" s="2" t="s">
        <v>141</v>
      </c>
      <c r="AL4" s="2" t="s">
        <v>141</v>
      </c>
      <c r="AM4" s="2" t="s">
        <v>71</v>
      </c>
      <c r="AN4" s="2" t="s">
        <v>71</v>
      </c>
      <c r="AO4" s="2" t="s">
        <v>71</v>
      </c>
      <c r="AP4" s="2" t="s">
        <v>71</v>
      </c>
      <c r="AQ4" s="2" t="s">
        <v>141</v>
      </c>
      <c r="AR4" s="2" t="s">
        <v>71</v>
      </c>
      <c r="AS4" s="2" t="s">
        <v>141</v>
      </c>
      <c r="AT4" s="2" t="s">
        <v>71</v>
      </c>
      <c r="AU4" s="2" t="s">
        <v>71</v>
      </c>
      <c r="AV4" s="2" t="s">
        <v>71</v>
      </c>
      <c r="AW4" s="2" t="s">
        <v>71</v>
      </c>
      <c r="AX4" s="2" t="s">
        <v>141</v>
      </c>
      <c r="AY4" s="2" t="s">
        <v>71</v>
      </c>
    </row>
    <row r="5" spans="1:51" ht="16" hidden="1" customHeight="1">
      <c r="A5" s="2" t="s">
        <v>334</v>
      </c>
      <c r="B5" s="2" t="s">
        <v>71</v>
      </c>
      <c r="C5" s="4" t="s">
        <v>335</v>
      </c>
      <c r="D5" s="38" t="s">
        <v>336</v>
      </c>
      <c r="E5" s="4" t="s">
        <v>341</v>
      </c>
      <c r="F5" s="2" t="s">
        <v>338</v>
      </c>
      <c r="G5" s="2" t="s">
        <v>342</v>
      </c>
      <c r="H5" s="2" t="s">
        <v>340</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141</v>
      </c>
      <c r="Z5" s="2" t="s">
        <v>71</v>
      </c>
      <c r="AA5" s="2" t="s">
        <v>71</v>
      </c>
      <c r="AB5" s="2" t="s">
        <v>71</v>
      </c>
      <c r="AC5" s="2" t="s">
        <v>71</v>
      </c>
      <c r="AD5" s="2" t="s">
        <v>141</v>
      </c>
      <c r="AE5" s="2" t="s">
        <v>141</v>
      </c>
      <c r="AF5" s="2" t="s">
        <v>71</v>
      </c>
      <c r="AG5" s="2" t="s">
        <v>71</v>
      </c>
      <c r="AH5" s="2" t="s">
        <v>71</v>
      </c>
      <c r="AI5" s="2" t="s">
        <v>71</v>
      </c>
      <c r="AJ5" s="2" t="s">
        <v>141</v>
      </c>
      <c r="AK5" s="2" t="s">
        <v>141</v>
      </c>
      <c r="AL5" s="2" t="s">
        <v>141</v>
      </c>
      <c r="AM5" s="2" t="s">
        <v>71</v>
      </c>
      <c r="AN5" s="2" t="s">
        <v>71</v>
      </c>
      <c r="AO5" s="2" t="s">
        <v>71</v>
      </c>
      <c r="AP5" s="2" t="s">
        <v>71</v>
      </c>
      <c r="AQ5" s="2" t="s">
        <v>141</v>
      </c>
      <c r="AR5" s="2" t="s">
        <v>71</v>
      </c>
      <c r="AS5" s="2" t="s">
        <v>141</v>
      </c>
      <c r="AT5" s="2" t="s">
        <v>71</v>
      </c>
      <c r="AU5" s="2" t="s">
        <v>71</v>
      </c>
      <c r="AV5" s="2" t="s">
        <v>71</v>
      </c>
      <c r="AW5" s="2" t="s">
        <v>71</v>
      </c>
      <c r="AX5" s="2" t="s">
        <v>141</v>
      </c>
      <c r="AY5" s="2" t="s">
        <v>71</v>
      </c>
    </row>
    <row r="6" spans="1:51" ht="16" hidden="1">
      <c r="A6" s="2" t="s">
        <v>343</v>
      </c>
      <c r="B6" s="2" t="s">
        <v>141</v>
      </c>
      <c r="D6" s="4" t="s">
        <v>344</v>
      </c>
      <c r="E6" s="4" t="s">
        <v>332</v>
      </c>
      <c r="J6" s="4" t="s">
        <v>345</v>
      </c>
      <c r="L6" s="2" t="s">
        <v>141</v>
      </c>
      <c r="M6" s="2" t="s">
        <v>141</v>
      </c>
      <c r="N6" s="2" t="s">
        <v>141</v>
      </c>
      <c r="O6" s="2" t="s">
        <v>141</v>
      </c>
      <c r="P6" s="2" t="s">
        <v>141</v>
      </c>
      <c r="Q6" s="2" t="s">
        <v>141</v>
      </c>
      <c r="R6" s="2" t="s">
        <v>141</v>
      </c>
      <c r="S6" s="2" t="s">
        <v>141</v>
      </c>
      <c r="T6" s="2" t="s">
        <v>141</v>
      </c>
      <c r="U6" s="2" t="s">
        <v>141</v>
      </c>
      <c r="V6" s="2" t="s">
        <v>141</v>
      </c>
      <c r="W6" s="2" t="s">
        <v>141</v>
      </c>
      <c r="X6" s="2" t="s">
        <v>141</v>
      </c>
      <c r="Y6" s="2" t="s">
        <v>141</v>
      </c>
      <c r="Z6" s="2" t="s">
        <v>141</v>
      </c>
      <c r="AA6" s="2" t="s">
        <v>141</v>
      </c>
      <c r="AB6" s="2" t="s">
        <v>141</v>
      </c>
      <c r="AC6" s="2" t="s">
        <v>141</v>
      </c>
      <c r="AD6" s="2" t="s">
        <v>141</v>
      </c>
      <c r="AE6" s="2" t="s">
        <v>141</v>
      </c>
      <c r="AF6" s="2" t="s">
        <v>141</v>
      </c>
      <c r="AG6" s="2" t="s">
        <v>141</v>
      </c>
      <c r="AH6" s="2" t="s">
        <v>141</v>
      </c>
      <c r="AI6" s="2" t="s">
        <v>141</v>
      </c>
      <c r="AJ6" s="2" t="s">
        <v>141</v>
      </c>
      <c r="AK6" s="2" t="s">
        <v>141</v>
      </c>
      <c r="AL6" s="2" t="s">
        <v>141</v>
      </c>
      <c r="AM6" s="2" t="s">
        <v>141</v>
      </c>
      <c r="AN6" s="2" t="s">
        <v>141</v>
      </c>
      <c r="AO6" s="2" t="s">
        <v>141</v>
      </c>
      <c r="AP6" s="2" t="s">
        <v>141</v>
      </c>
      <c r="AQ6" s="2" t="s">
        <v>141</v>
      </c>
      <c r="AR6" s="2" t="s">
        <v>141</v>
      </c>
      <c r="AS6" s="2" t="s">
        <v>141</v>
      </c>
      <c r="AT6" s="2" t="s">
        <v>141</v>
      </c>
      <c r="AU6" s="2" t="s">
        <v>141</v>
      </c>
      <c r="AV6" s="2" t="s">
        <v>141</v>
      </c>
      <c r="AW6" s="2" t="s">
        <v>141</v>
      </c>
      <c r="AX6" s="2" t="s">
        <v>141</v>
      </c>
      <c r="AY6" s="2" t="s">
        <v>141</v>
      </c>
    </row>
    <row r="7" spans="1:51" ht="16" hidden="1" customHeight="1">
      <c r="A7" s="2" t="s">
        <v>346</v>
      </c>
      <c r="B7" s="2" t="s">
        <v>71</v>
      </c>
      <c r="C7" s="4" t="s">
        <v>347</v>
      </c>
      <c r="D7" s="4" t="s">
        <v>348</v>
      </c>
      <c r="E7" s="4" t="s">
        <v>349</v>
      </c>
      <c r="F7" s="2" t="s">
        <v>104</v>
      </c>
      <c r="G7" s="2" t="s">
        <v>342</v>
      </c>
      <c r="H7" s="2" t="s">
        <v>340</v>
      </c>
      <c r="J7" s="4" t="s">
        <v>350</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141</v>
      </c>
      <c r="Z7" s="2" t="s">
        <v>71</v>
      </c>
      <c r="AA7" s="2" t="s">
        <v>71</v>
      </c>
      <c r="AB7" s="2" t="s">
        <v>71</v>
      </c>
      <c r="AC7" s="2" t="s">
        <v>71</v>
      </c>
      <c r="AD7" s="2" t="s">
        <v>141</v>
      </c>
      <c r="AE7" s="2" t="s">
        <v>141</v>
      </c>
      <c r="AF7" s="2" t="s">
        <v>71</v>
      </c>
      <c r="AG7" s="2" t="s">
        <v>71</v>
      </c>
      <c r="AH7" s="2" t="s">
        <v>71</v>
      </c>
      <c r="AI7" s="2" t="s">
        <v>71</v>
      </c>
      <c r="AJ7" s="2" t="s">
        <v>141</v>
      </c>
      <c r="AK7" s="2" t="s">
        <v>141</v>
      </c>
      <c r="AL7" s="2" t="s">
        <v>141</v>
      </c>
      <c r="AM7" s="2" t="s">
        <v>71</v>
      </c>
      <c r="AN7" s="2" t="s">
        <v>71</v>
      </c>
      <c r="AO7" s="2" t="s">
        <v>71</v>
      </c>
      <c r="AP7" s="2" t="s">
        <v>71</v>
      </c>
      <c r="AQ7" s="2" t="s">
        <v>141</v>
      </c>
      <c r="AR7" s="2" t="s">
        <v>71</v>
      </c>
      <c r="AS7" s="2" t="s">
        <v>141</v>
      </c>
      <c r="AT7" s="2" t="s">
        <v>71</v>
      </c>
      <c r="AU7" s="2" t="s">
        <v>71</v>
      </c>
      <c r="AV7" s="2" t="s">
        <v>71</v>
      </c>
      <c r="AW7" s="2" t="s">
        <v>71</v>
      </c>
      <c r="AX7" s="2" t="s">
        <v>141</v>
      </c>
      <c r="AY7" s="2" t="s">
        <v>71</v>
      </c>
    </row>
    <row r="8" spans="1:51" ht="16" hidden="1" customHeight="1">
      <c r="A8" s="2" t="s">
        <v>346</v>
      </c>
      <c r="B8" s="2" t="s">
        <v>71</v>
      </c>
      <c r="C8" s="4" t="s">
        <v>347</v>
      </c>
      <c r="D8" s="4" t="s">
        <v>348</v>
      </c>
      <c r="E8" s="4" t="s">
        <v>351</v>
      </c>
      <c r="F8" s="2" t="s">
        <v>104</v>
      </c>
      <c r="G8" s="2" t="s">
        <v>342</v>
      </c>
      <c r="H8" s="2" t="s">
        <v>340</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141</v>
      </c>
      <c r="Z8" s="2" t="s">
        <v>71</v>
      </c>
      <c r="AA8" s="2" t="s">
        <v>71</v>
      </c>
      <c r="AB8" s="2" t="s">
        <v>71</v>
      </c>
      <c r="AC8" s="2" t="s">
        <v>71</v>
      </c>
      <c r="AD8" s="2" t="s">
        <v>141</v>
      </c>
      <c r="AE8" s="2" t="s">
        <v>141</v>
      </c>
      <c r="AF8" s="2" t="s">
        <v>71</v>
      </c>
      <c r="AG8" s="2" t="s">
        <v>71</v>
      </c>
      <c r="AH8" s="2" t="s">
        <v>71</v>
      </c>
      <c r="AI8" s="2" t="s">
        <v>71</v>
      </c>
      <c r="AJ8" s="2" t="s">
        <v>141</v>
      </c>
      <c r="AK8" s="2" t="s">
        <v>141</v>
      </c>
      <c r="AL8" s="2" t="s">
        <v>141</v>
      </c>
      <c r="AM8" s="2" t="s">
        <v>71</v>
      </c>
      <c r="AN8" s="2" t="s">
        <v>71</v>
      </c>
      <c r="AO8" s="2" t="s">
        <v>71</v>
      </c>
      <c r="AP8" s="2" t="s">
        <v>71</v>
      </c>
      <c r="AQ8" s="2" t="s">
        <v>141</v>
      </c>
      <c r="AR8" s="2" t="s">
        <v>71</v>
      </c>
      <c r="AS8" s="2" t="s">
        <v>141</v>
      </c>
      <c r="AT8" s="2" t="s">
        <v>71</v>
      </c>
      <c r="AU8" s="2" t="s">
        <v>71</v>
      </c>
      <c r="AV8" s="2" t="s">
        <v>71</v>
      </c>
      <c r="AW8" s="2" t="s">
        <v>71</v>
      </c>
      <c r="AX8" s="2" t="s">
        <v>141</v>
      </c>
      <c r="AY8" s="2" t="s">
        <v>71</v>
      </c>
    </row>
    <row r="9" spans="1:51" ht="16" hidden="1" customHeight="1">
      <c r="A9" s="2" t="s">
        <v>352</v>
      </c>
      <c r="B9" s="2" t="s">
        <v>71</v>
      </c>
      <c r="C9" s="4" t="s">
        <v>353</v>
      </c>
      <c r="D9" s="4" t="s">
        <v>354</v>
      </c>
      <c r="E9" s="4" t="s">
        <v>355</v>
      </c>
      <c r="F9" s="2" t="s">
        <v>338</v>
      </c>
      <c r="G9" s="2" t="s">
        <v>342</v>
      </c>
      <c r="H9" s="2" t="s">
        <v>340</v>
      </c>
      <c r="J9" s="4" t="s">
        <v>356</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141</v>
      </c>
      <c r="Z9" s="2" t="s">
        <v>71</v>
      </c>
      <c r="AA9" s="2" t="s">
        <v>71</v>
      </c>
      <c r="AB9" s="2" t="s">
        <v>71</v>
      </c>
      <c r="AC9" s="2" t="s">
        <v>71</v>
      </c>
      <c r="AD9" s="2" t="s">
        <v>141</v>
      </c>
      <c r="AE9" s="2" t="s">
        <v>141</v>
      </c>
      <c r="AF9" s="2" t="s">
        <v>71</v>
      </c>
      <c r="AG9" s="2" t="s">
        <v>71</v>
      </c>
      <c r="AH9" s="2" t="s">
        <v>71</v>
      </c>
      <c r="AI9" s="2" t="s">
        <v>71</v>
      </c>
      <c r="AJ9" s="2" t="s">
        <v>141</v>
      </c>
      <c r="AK9" s="2" t="s">
        <v>141</v>
      </c>
      <c r="AL9" s="2" t="s">
        <v>141</v>
      </c>
      <c r="AM9" s="2" t="s">
        <v>71</v>
      </c>
      <c r="AN9" s="2" t="s">
        <v>71</v>
      </c>
      <c r="AO9" s="2" t="s">
        <v>71</v>
      </c>
      <c r="AP9" s="2" t="s">
        <v>71</v>
      </c>
      <c r="AQ9" s="2" t="s">
        <v>141</v>
      </c>
      <c r="AR9" s="2" t="s">
        <v>71</v>
      </c>
      <c r="AS9" s="2" t="s">
        <v>141</v>
      </c>
      <c r="AT9" s="2" t="s">
        <v>71</v>
      </c>
      <c r="AU9" s="2" t="s">
        <v>71</v>
      </c>
      <c r="AV9" s="2" t="s">
        <v>71</v>
      </c>
      <c r="AW9" s="2" t="s">
        <v>71</v>
      </c>
      <c r="AX9" s="2" t="s">
        <v>141</v>
      </c>
      <c r="AY9" s="2" t="s">
        <v>71</v>
      </c>
    </row>
    <row r="10" spans="1:51" ht="16" hidden="1" customHeight="1">
      <c r="A10" s="2" t="s">
        <v>352</v>
      </c>
      <c r="B10" s="2" t="s">
        <v>71</v>
      </c>
      <c r="C10" s="4" t="s">
        <v>353</v>
      </c>
      <c r="D10" s="4" t="s">
        <v>354</v>
      </c>
      <c r="E10" s="4" t="s">
        <v>357</v>
      </c>
      <c r="F10" s="2" t="s">
        <v>338</v>
      </c>
      <c r="G10" s="2" t="s">
        <v>342</v>
      </c>
      <c r="H10" s="2" t="s">
        <v>340</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141</v>
      </c>
      <c r="Z10" s="2" t="s">
        <v>71</v>
      </c>
      <c r="AA10" s="2" t="s">
        <v>71</v>
      </c>
      <c r="AB10" s="2" t="s">
        <v>71</v>
      </c>
      <c r="AC10" s="2" t="s">
        <v>71</v>
      </c>
      <c r="AD10" s="2" t="s">
        <v>141</v>
      </c>
      <c r="AE10" s="2" t="s">
        <v>141</v>
      </c>
      <c r="AF10" s="2" t="s">
        <v>71</v>
      </c>
      <c r="AG10" s="2" t="s">
        <v>71</v>
      </c>
      <c r="AH10" s="2" t="s">
        <v>71</v>
      </c>
      <c r="AI10" s="2" t="s">
        <v>71</v>
      </c>
      <c r="AJ10" s="2" t="s">
        <v>141</v>
      </c>
      <c r="AK10" s="2" t="s">
        <v>141</v>
      </c>
      <c r="AL10" s="2" t="s">
        <v>141</v>
      </c>
      <c r="AM10" s="2" t="s">
        <v>71</v>
      </c>
      <c r="AN10" s="2" t="s">
        <v>71</v>
      </c>
      <c r="AO10" s="2" t="s">
        <v>71</v>
      </c>
      <c r="AP10" s="2" t="s">
        <v>71</v>
      </c>
      <c r="AQ10" s="2" t="s">
        <v>141</v>
      </c>
      <c r="AR10" s="2" t="s">
        <v>71</v>
      </c>
      <c r="AS10" s="2" t="s">
        <v>141</v>
      </c>
      <c r="AT10" s="2" t="s">
        <v>71</v>
      </c>
      <c r="AU10" s="2" t="s">
        <v>71</v>
      </c>
      <c r="AV10" s="2" t="s">
        <v>71</v>
      </c>
      <c r="AW10" s="2" t="s">
        <v>71</v>
      </c>
      <c r="AX10" s="2" t="s">
        <v>141</v>
      </c>
      <c r="AY10" s="2" t="s">
        <v>71</v>
      </c>
    </row>
    <row r="11" spans="1:51" ht="16" hidden="1" customHeight="1">
      <c r="A11" s="2" t="s">
        <v>358</v>
      </c>
      <c r="B11" s="2" t="s">
        <v>71</v>
      </c>
      <c r="C11" s="4" t="s">
        <v>359</v>
      </c>
      <c r="D11" s="4" t="s">
        <v>360</v>
      </c>
      <c r="E11" s="4" t="s">
        <v>361</v>
      </c>
      <c r="F11" s="2" t="s">
        <v>338</v>
      </c>
      <c r="G11" s="2" t="s">
        <v>339</v>
      </c>
      <c r="H11" s="2" t="s">
        <v>340</v>
      </c>
      <c r="J11" s="4" t="s">
        <v>362</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141</v>
      </c>
      <c r="Z11" s="2" t="s">
        <v>71</v>
      </c>
      <c r="AA11" s="2" t="s">
        <v>71</v>
      </c>
      <c r="AB11" s="2" t="s">
        <v>71</v>
      </c>
      <c r="AC11" s="2" t="s">
        <v>71</v>
      </c>
      <c r="AD11" s="2" t="s">
        <v>141</v>
      </c>
      <c r="AE11" s="2" t="s">
        <v>141</v>
      </c>
      <c r="AF11" s="2" t="s">
        <v>71</v>
      </c>
      <c r="AG11" s="2" t="s">
        <v>71</v>
      </c>
      <c r="AH11" s="2" t="s">
        <v>71</v>
      </c>
      <c r="AI11" s="2" t="s">
        <v>71</v>
      </c>
      <c r="AJ11" s="2" t="s">
        <v>141</v>
      </c>
      <c r="AK11" s="2" t="s">
        <v>141</v>
      </c>
      <c r="AL11" s="2" t="s">
        <v>141</v>
      </c>
      <c r="AM11" s="2" t="s">
        <v>71</v>
      </c>
      <c r="AN11" s="2" t="s">
        <v>71</v>
      </c>
      <c r="AO11" s="2" t="s">
        <v>71</v>
      </c>
      <c r="AP11" s="2" t="s">
        <v>71</v>
      </c>
      <c r="AQ11" s="2" t="s">
        <v>141</v>
      </c>
      <c r="AR11" s="2" t="s">
        <v>71</v>
      </c>
      <c r="AS11" s="2" t="s">
        <v>141</v>
      </c>
      <c r="AT11" s="2" t="s">
        <v>71</v>
      </c>
      <c r="AU11" s="2" t="s">
        <v>71</v>
      </c>
      <c r="AV11" s="2" t="s">
        <v>71</v>
      </c>
      <c r="AW11" s="2" t="s">
        <v>71</v>
      </c>
      <c r="AX11" s="2" t="s">
        <v>141</v>
      </c>
      <c r="AY11" s="2" t="s">
        <v>71</v>
      </c>
    </row>
    <row r="12" spans="1:51" ht="32">
      <c r="A12" s="2" t="s">
        <v>363</v>
      </c>
      <c r="B12" s="2" t="s">
        <v>71</v>
      </c>
      <c r="C12" s="4" t="s">
        <v>364</v>
      </c>
      <c r="D12" s="4" t="s">
        <v>365</v>
      </c>
      <c r="E12" s="4" t="s">
        <v>366</v>
      </c>
      <c r="F12" s="2" t="s">
        <v>338</v>
      </c>
      <c r="G12" s="2" t="s">
        <v>339</v>
      </c>
      <c r="H12" s="2" t="s">
        <v>16</v>
      </c>
      <c r="I12" s="2">
        <v>5</v>
      </c>
      <c r="J12" s="4" t="s">
        <v>367</v>
      </c>
      <c r="K12" s="4" t="s">
        <v>7</v>
      </c>
      <c r="L12" s="2" t="s">
        <v>141</v>
      </c>
      <c r="M12" s="2" t="s">
        <v>141</v>
      </c>
      <c r="N12" s="2" t="s">
        <v>141</v>
      </c>
      <c r="O12" s="2" t="s">
        <v>141</v>
      </c>
      <c r="P12" s="2" t="s">
        <v>141</v>
      </c>
      <c r="Q12" s="2" t="s">
        <v>141</v>
      </c>
      <c r="R12" s="2" t="s">
        <v>141</v>
      </c>
      <c r="S12" s="2" t="s">
        <v>141</v>
      </c>
      <c r="T12" s="2" t="s">
        <v>141</v>
      </c>
      <c r="U12" s="2" t="s">
        <v>141</v>
      </c>
      <c r="V12" s="2" t="s">
        <v>141</v>
      </c>
      <c r="W12" s="2" t="s">
        <v>141</v>
      </c>
      <c r="X12" s="2" t="s">
        <v>141</v>
      </c>
      <c r="Y12" s="2" t="s">
        <v>141</v>
      </c>
      <c r="Z12" s="2" t="s">
        <v>141</v>
      </c>
      <c r="AA12" s="2" t="s">
        <v>141</v>
      </c>
      <c r="AB12" s="2" t="s">
        <v>141</v>
      </c>
      <c r="AC12" s="2" t="s">
        <v>141</v>
      </c>
      <c r="AD12" s="2" t="s">
        <v>141</v>
      </c>
      <c r="AE12" s="2" t="s">
        <v>141</v>
      </c>
      <c r="AF12" s="2" t="s">
        <v>141</v>
      </c>
      <c r="AG12" s="2" t="s">
        <v>71</v>
      </c>
      <c r="AH12" s="2" t="s">
        <v>141</v>
      </c>
      <c r="AI12" s="2" t="s">
        <v>141</v>
      </c>
      <c r="AJ12" s="2" t="s">
        <v>141</v>
      </c>
      <c r="AK12" s="2" t="s">
        <v>141</v>
      </c>
      <c r="AL12" s="2" t="s">
        <v>141</v>
      </c>
      <c r="AM12" s="2" t="s">
        <v>141</v>
      </c>
      <c r="AN12" s="2" t="s">
        <v>141</v>
      </c>
      <c r="AO12" s="2" t="s">
        <v>141</v>
      </c>
      <c r="AP12" s="2" t="s">
        <v>141</v>
      </c>
      <c r="AQ12" s="2" t="s">
        <v>141</v>
      </c>
      <c r="AR12" s="2" t="s">
        <v>141</v>
      </c>
      <c r="AS12" s="2" t="s">
        <v>141</v>
      </c>
      <c r="AT12" s="2" t="s">
        <v>141</v>
      </c>
      <c r="AU12" s="2" t="s">
        <v>141</v>
      </c>
      <c r="AV12" s="2" t="s">
        <v>141</v>
      </c>
      <c r="AW12" s="2" t="s">
        <v>141</v>
      </c>
      <c r="AX12" s="2" t="s">
        <v>141</v>
      </c>
      <c r="AY12" s="2" t="s">
        <v>141</v>
      </c>
    </row>
    <row r="13" spans="1:51" ht="32">
      <c r="A13" s="7" t="s">
        <v>368</v>
      </c>
      <c r="B13" s="7" t="s">
        <v>71</v>
      </c>
      <c r="C13" s="179" t="s">
        <v>369</v>
      </c>
      <c r="D13" s="179" t="s">
        <v>365</v>
      </c>
      <c r="E13" s="179" t="s">
        <v>370</v>
      </c>
      <c r="F13" s="7" t="s">
        <v>338</v>
      </c>
      <c r="G13" s="7" t="s">
        <v>339</v>
      </c>
      <c r="H13" s="7" t="s">
        <v>16</v>
      </c>
      <c r="I13" s="7">
        <v>4</v>
      </c>
      <c r="J13" s="4" t="s">
        <v>367</v>
      </c>
      <c r="K13" s="4" t="s">
        <v>7</v>
      </c>
      <c r="L13" s="2" t="s">
        <v>141</v>
      </c>
      <c r="M13" s="2" t="s">
        <v>141</v>
      </c>
      <c r="N13" s="2" t="s">
        <v>141</v>
      </c>
      <c r="O13" s="2" t="s">
        <v>141</v>
      </c>
      <c r="P13" s="2" t="s">
        <v>141</v>
      </c>
      <c r="Q13" s="2" t="s">
        <v>141</v>
      </c>
      <c r="R13" s="2" t="s">
        <v>141</v>
      </c>
      <c r="S13" s="2" t="s">
        <v>141</v>
      </c>
      <c r="T13" s="2" t="s">
        <v>141</v>
      </c>
      <c r="U13" s="2" t="s">
        <v>141</v>
      </c>
      <c r="V13" s="2" t="s">
        <v>141</v>
      </c>
      <c r="W13" s="2" t="s">
        <v>141</v>
      </c>
      <c r="X13" s="2" t="s">
        <v>141</v>
      </c>
      <c r="Y13" s="2" t="s">
        <v>141</v>
      </c>
      <c r="Z13" s="2" t="s">
        <v>141</v>
      </c>
      <c r="AA13" s="2" t="s">
        <v>141</v>
      </c>
      <c r="AB13" s="2" t="s">
        <v>141</v>
      </c>
      <c r="AC13" s="2" t="s">
        <v>141</v>
      </c>
      <c r="AD13" s="2" t="s">
        <v>141</v>
      </c>
      <c r="AE13" s="2" t="s">
        <v>141</v>
      </c>
      <c r="AF13" s="2" t="s">
        <v>141</v>
      </c>
      <c r="AG13" s="2" t="s">
        <v>71</v>
      </c>
      <c r="AH13" s="2" t="s">
        <v>141</v>
      </c>
      <c r="AI13" s="2" t="s">
        <v>141</v>
      </c>
      <c r="AJ13" s="2" t="s">
        <v>141</v>
      </c>
      <c r="AK13" s="2" t="s">
        <v>141</v>
      </c>
      <c r="AL13" s="2" t="s">
        <v>141</v>
      </c>
      <c r="AM13" s="2" t="s">
        <v>141</v>
      </c>
      <c r="AN13" s="2" t="s">
        <v>141</v>
      </c>
      <c r="AO13" s="2" t="s">
        <v>141</v>
      </c>
      <c r="AP13" s="2" t="s">
        <v>141</v>
      </c>
      <c r="AQ13" s="2" t="s">
        <v>141</v>
      </c>
      <c r="AR13" s="2" t="s">
        <v>141</v>
      </c>
      <c r="AS13" s="2" t="s">
        <v>141</v>
      </c>
      <c r="AT13" s="2" t="s">
        <v>141</v>
      </c>
      <c r="AU13" s="2" t="s">
        <v>141</v>
      </c>
      <c r="AV13" s="2" t="s">
        <v>141</v>
      </c>
      <c r="AW13" s="2" t="s">
        <v>141</v>
      </c>
      <c r="AX13" s="2" t="s">
        <v>141</v>
      </c>
      <c r="AY13" s="2" t="s">
        <v>141</v>
      </c>
    </row>
    <row r="14" spans="1:51" ht="32">
      <c r="A14" s="7" t="s">
        <v>368</v>
      </c>
      <c r="B14" s="7" t="s">
        <v>71</v>
      </c>
      <c r="C14" s="179" t="s">
        <v>369</v>
      </c>
      <c r="D14" s="179" t="s">
        <v>365</v>
      </c>
      <c r="E14" s="179" t="s">
        <v>371</v>
      </c>
      <c r="F14" s="7" t="s">
        <v>338</v>
      </c>
      <c r="G14" s="7" t="s">
        <v>339</v>
      </c>
      <c r="H14" s="7" t="s">
        <v>16</v>
      </c>
      <c r="I14" s="7">
        <v>4</v>
      </c>
      <c r="J14" s="4" t="s">
        <v>367</v>
      </c>
      <c r="K14" s="4" t="s">
        <v>7</v>
      </c>
      <c r="L14" s="2" t="s">
        <v>141</v>
      </c>
      <c r="M14" s="2" t="s">
        <v>141</v>
      </c>
      <c r="N14" s="2" t="s">
        <v>141</v>
      </c>
      <c r="O14" s="2" t="s">
        <v>141</v>
      </c>
      <c r="P14" s="2" t="s">
        <v>141</v>
      </c>
      <c r="Q14" s="2" t="s">
        <v>141</v>
      </c>
      <c r="R14" s="2" t="s">
        <v>141</v>
      </c>
      <c r="S14" s="2" t="s">
        <v>141</v>
      </c>
      <c r="T14" s="2" t="s">
        <v>141</v>
      </c>
      <c r="U14" s="2" t="s">
        <v>141</v>
      </c>
      <c r="V14" s="2" t="s">
        <v>141</v>
      </c>
      <c r="W14" s="2" t="s">
        <v>141</v>
      </c>
      <c r="X14" s="2" t="s">
        <v>141</v>
      </c>
      <c r="Y14" s="2" t="s">
        <v>141</v>
      </c>
      <c r="Z14" s="2" t="s">
        <v>141</v>
      </c>
      <c r="AA14" s="2" t="s">
        <v>141</v>
      </c>
      <c r="AB14" s="2" t="s">
        <v>141</v>
      </c>
      <c r="AC14" s="2" t="s">
        <v>141</v>
      </c>
      <c r="AD14" s="2" t="s">
        <v>141</v>
      </c>
      <c r="AE14" s="2" t="s">
        <v>141</v>
      </c>
      <c r="AF14" s="2" t="s">
        <v>141</v>
      </c>
      <c r="AG14" s="2" t="s">
        <v>71</v>
      </c>
      <c r="AH14" s="2" t="s">
        <v>141</v>
      </c>
      <c r="AI14" s="2" t="s">
        <v>141</v>
      </c>
      <c r="AJ14" s="2" t="s">
        <v>141</v>
      </c>
      <c r="AK14" s="2" t="s">
        <v>141</v>
      </c>
      <c r="AL14" s="2" t="s">
        <v>141</v>
      </c>
      <c r="AM14" s="2" t="s">
        <v>141</v>
      </c>
      <c r="AN14" s="2" t="s">
        <v>141</v>
      </c>
      <c r="AO14" s="2" t="s">
        <v>141</v>
      </c>
      <c r="AP14" s="2" t="s">
        <v>141</v>
      </c>
      <c r="AQ14" s="2" t="s">
        <v>141</v>
      </c>
      <c r="AR14" s="2" t="s">
        <v>141</v>
      </c>
      <c r="AS14" s="2" t="s">
        <v>141</v>
      </c>
      <c r="AT14" s="2" t="s">
        <v>141</v>
      </c>
      <c r="AU14" s="2" t="s">
        <v>141</v>
      </c>
      <c r="AV14" s="2" t="s">
        <v>141</v>
      </c>
      <c r="AW14" s="2" t="s">
        <v>141</v>
      </c>
      <c r="AX14" s="2" t="s">
        <v>141</v>
      </c>
      <c r="AY14" s="2" t="s">
        <v>141</v>
      </c>
    </row>
    <row r="15" spans="1:51" ht="16" hidden="1">
      <c r="A15" s="2" t="s">
        <v>372</v>
      </c>
      <c r="B15" s="2" t="s">
        <v>71</v>
      </c>
      <c r="C15" s="4" t="s">
        <v>373</v>
      </c>
      <c r="D15" s="4" t="s">
        <v>374</v>
      </c>
      <c r="E15" s="4" t="s">
        <v>375</v>
      </c>
      <c r="F15" s="2" t="s">
        <v>376</v>
      </c>
      <c r="G15" s="2" t="s">
        <v>339</v>
      </c>
      <c r="H15" s="2" t="s">
        <v>377</v>
      </c>
      <c r="K15" s="4" t="s">
        <v>7</v>
      </c>
      <c r="L15" s="2" t="s">
        <v>71</v>
      </c>
      <c r="M15" s="2" t="s">
        <v>71</v>
      </c>
      <c r="N15" s="2" t="s">
        <v>71</v>
      </c>
      <c r="O15" s="2" t="s">
        <v>71</v>
      </c>
      <c r="P15" s="2" t="s">
        <v>141</v>
      </c>
      <c r="Q15" s="2" t="s">
        <v>71</v>
      </c>
      <c r="R15" s="2" t="s">
        <v>141</v>
      </c>
      <c r="S15" s="2" t="s">
        <v>71</v>
      </c>
      <c r="T15" s="2" t="s">
        <v>71</v>
      </c>
      <c r="U15" s="2" t="s">
        <v>71</v>
      </c>
      <c r="V15" s="2" t="s">
        <v>71</v>
      </c>
      <c r="W15" s="2" t="s">
        <v>71</v>
      </c>
      <c r="X15" s="2" t="s">
        <v>71</v>
      </c>
      <c r="Y15" s="2" t="s">
        <v>141</v>
      </c>
      <c r="Z15" s="2" t="s">
        <v>71</v>
      </c>
      <c r="AA15" s="2" t="s">
        <v>71</v>
      </c>
      <c r="AB15" s="2" t="s">
        <v>71</v>
      </c>
      <c r="AC15" s="2" t="s">
        <v>71</v>
      </c>
      <c r="AD15" s="2" t="s">
        <v>141</v>
      </c>
      <c r="AE15" s="2" t="s">
        <v>141</v>
      </c>
      <c r="AF15" s="2" t="s">
        <v>71</v>
      </c>
      <c r="AG15" s="2" t="s">
        <v>71</v>
      </c>
      <c r="AH15" s="2" t="s">
        <v>71</v>
      </c>
      <c r="AI15" s="2" t="s">
        <v>71</v>
      </c>
      <c r="AJ15" s="2" t="s">
        <v>141</v>
      </c>
      <c r="AK15" s="2" t="s">
        <v>141</v>
      </c>
      <c r="AL15" s="2" t="s">
        <v>141</v>
      </c>
      <c r="AM15" s="2" t="s">
        <v>71</v>
      </c>
      <c r="AN15" s="2" t="s">
        <v>71</v>
      </c>
      <c r="AO15" s="2" t="s">
        <v>71</v>
      </c>
      <c r="AP15" s="2" t="s">
        <v>71</v>
      </c>
      <c r="AQ15" s="2" t="s">
        <v>141</v>
      </c>
      <c r="AR15" s="2" t="s">
        <v>141</v>
      </c>
      <c r="AS15" s="2" t="s">
        <v>141</v>
      </c>
      <c r="AT15" s="2" t="s">
        <v>141</v>
      </c>
      <c r="AU15" s="2" t="s">
        <v>71</v>
      </c>
      <c r="AV15" s="2" t="s">
        <v>71</v>
      </c>
      <c r="AW15" s="2" t="s">
        <v>71</v>
      </c>
      <c r="AX15" s="2" t="s">
        <v>141</v>
      </c>
      <c r="AY15" s="2" t="s">
        <v>71</v>
      </c>
    </row>
    <row r="16" spans="1:51" ht="16" hidden="1">
      <c r="A16" s="11" t="s">
        <v>378</v>
      </c>
      <c r="B16" s="11" t="s">
        <v>71</v>
      </c>
      <c r="C16" s="181" t="s">
        <v>379</v>
      </c>
      <c r="D16" s="181" t="s">
        <v>380</v>
      </c>
      <c r="E16" s="181" t="s">
        <v>381</v>
      </c>
      <c r="F16" s="11" t="s">
        <v>382</v>
      </c>
      <c r="G16" s="11" t="s">
        <v>339</v>
      </c>
      <c r="H16" s="11" t="s">
        <v>383</v>
      </c>
      <c r="L16" s="2" t="s">
        <v>71</v>
      </c>
      <c r="M16" s="2" t="s">
        <v>71</v>
      </c>
      <c r="N16" s="2" t="s">
        <v>71</v>
      </c>
      <c r="O16" s="2" t="s">
        <v>71</v>
      </c>
      <c r="P16" s="2" t="s">
        <v>71</v>
      </c>
      <c r="Q16" s="2" t="s">
        <v>71</v>
      </c>
      <c r="R16" s="2" t="s">
        <v>71</v>
      </c>
      <c r="S16" s="2" t="s">
        <v>71</v>
      </c>
      <c r="T16" s="2" t="s">
        <v>71</v>
      </c>
      <c r="U16" s="2" t="s">
        <v>71</v>
      </c>
      <c r="V16" s="2" t="s">
        <v>71</v>
      </c>
      <c r="W16" s="2" t="s">
        <v>71</v>
      </c>
      <c r="X16" s="2" t="s">
        <v>71</v>
      </c>
      <c r="Y16" s="2" t="s">
        <v>141</v>
      </c>
      <c r="Z16" s="2" t="s">
        <v>71</v>
      </c>
      <c r="AA16" s="2" t="s">
        <v>71</v>
      </c>
      <c r="AB16" s="2" t="s">
        <v>71</v>
      </c>
      <c r="AC16" s="2" t="s">
        <v>71</v>
      </c>
      <c r="AD16" s="2" t="s">
        <v>141</v>
      </c>
      <c r="AE16" s="2" t="s">
        <v>141</v>
      </c>
      <c r="AF16" s="2" t="s">
        <v>71</v>
      </c>
      <c r="AG16" s="2" t="s">
        <v>71</v>
      </c>
      <c r="AH16" s="2" t="s">
        <v>71</v>
      </c>
      <c r="AI16" s="2" t="s">
        <v>71</v>
      </c>
      <c r="AJ16" s="2" t="s">
        <v>141</v>
      </c>
      <c r="AK16" s="2" t="s">
        <v>141</v>
      </c>
      <c r="AL16" s="2" t="s">
        <v>141</v>
      </c>
      <c r="AM16" s="2" t="s">
        <v>71</v>
      </c>
      <c r="AN16" s="2" t="s">
        <v>71</v>
      </c>
      <c r="AO16" s="2" t="s">
        <v>71</v>
      </c>
      <c r="AP16" s="2" t="s">
        <v>71</v>
      </c>
      <c r="AQ16" s="2" t="s">
        <v>141</v>
      </c>
      <c r="AR16" s="2" t="s">
        <v>71</v>
      </c>
      <c r="AS16" s="2" t="s">
        <v>141</v>
      </c>
      <c r="AT16" s="2" t="s">
        <v>71</v>
      </c>
      <c r="AU16" s="2" t="s">
        <v>71</v>
      </c>
      <c r="AV16" s="2" t="s">
        <v>71</v>
      </c>
      <c r="AW16" s="2" t="s">
        <v>71</v>
      </c>
      <c r="AX16" s="2" t="s">
        <v>141</v>
      </c>
      <c r="AY16" s="2" t="s">
        <v>71</v>
      </c>
    </row>
    <row r="17" spans="1:51" s="44" customFormat="1" ht="16">
      <c r="A17" s="44" t="s">
        <v>384</v>
      </c>
      <c r="B17" s="44" t="s">
        <v>141</v>
      </c>
      <c r="C17" s="45"/>
      <c r="D17" s="45" t="s">
        <v>385</v>
      </c>
      <c r="E17" s="45" t="s">
        <v>332</v>
      </c>
      <c r="F17" s="44" t="s">
        <v>386</v>
      </c>
      <c r="G17" s="44" t="s">
        <v>339</v>
      </c>
      <c r="H17" s="44" t="s">
        <v>16</v>
      </c>
      <c r="J17" s="45" t="s">
        <v>333</v>
      </c>
      <c r="K17" s="45"/>
      <c r="L17" s="44" t="s">
        <v>141</v>
      </c>
      <c r="M17" s="44" t="s">
        <v>141</v>
      </c>
      <c r="N17" s="44" t="s">
        <v>141</v>
      </c>
      <c r="O17" s="44" t="s">
        <v>141</v>
      </c>
      <c r="P17" s="44" t="s">
        <v>141</v>
      </c>
      <c r="Q17" s="44" t="s">
        <v>141</v>
      </c>
      <c r="R17" s="44" t="s">
        <v>141</v>
      </c>
      <c r="S17" s="44" t="s">
        <v>141</v>
      </c>
      <c r="T17" s="44" t="s">
        <v>141</v>
      </c>
      <c r="U17" s="44" t="s">
        <v>141</v>
      </c>
      <c r="V17" s="44" t="s">
        <v>141</v>
      </c>
      <c r="W17" s="44" t="s">
        <v>141</v>
      </c>
      <c r="X17" s="44" t="s">
        <v>141</v>
      </c>
      <c r="Y17" s="44" t="s">
        <v>141</v>
      </c>
      <c r="Z17" s="44" t="s">
        <v>141</v>
      </c>
      <c r="AA17" s="44" t="s">
        <v>141</v>
      </c>
      <c r="AB17" s="44" t="s">
        <v>141</v>
      </c>
      <c r="AC17" s="44" t="s">
        <v>141</v>
      </c>
      <c r="AD17" s="44" t="s">
        <v>141</v>
      </c>
      <c r="AE17" s="44" t="s">
        <v>141</v>
      </c>
      <c r="AF17" s="44" t="s">
        <v>141</v>
      </c>
      <c r="AG17" s="44" t="s">
        <v>141</v>
      </c>
      <c r="AH17" s="44" t="s">
        <v>141</v>
      </c>
      <c r="AI17" s="44" t="s">
        <v>141</v>
      </c>
      <c r="AJ17" s="44" t="s">
        <v>141</v>
      </c>
      <c r="AK17" s="44" t="s">
        <v>141</v>
      </c>
      <c r="AL17" s="44" t="s">
        <v>141</v>
      </c>
      <c r="AM17" s="44" t="s">
        <v>141</v>
      </c>
      <c r="AN17" s="44" t="s">
        <v>141</v>
      </c>
      <c r="AO17" s="44" t="s">
        <v>141</v>
      </c>
      <c r="AP17" s="44" t="s">
        <v>141</v>
      </c>
      <c r="AQ17" s="44" t="s">
        <v>141</v>
      </c>
      <c r="AR17" s="44" t="s">
        <v>141</v>
      </c>
      <c r="AS17" s="44" t="s">
        <v>141</v>
      </c>
      <c r="AT17" s="44" t="s">
        <v>141</v>
      </c>
      <c r="AU17" s="44" t="s">
        <v>141</v>
      </c>
      <c r="AV17" s="44" t="s">
        <v>141</v>
      </c>
      <c r="AW17" s="44" t="s">
        <v>141</v>
      </c>
      <c r="AX17" s="44" t="s">
        <v>141</v>
      </c>
      <c r="AY17" s="44" t="s">
        <v>141</v>
      </c>
    </row>
    <row r="18" spans="1:51" ht="16">
      <c r="A18" s="2" t="s">
        <v>157</v>
      </c>
      <c r="B18" s="2" t="s">
        <v>71</v>
      </c>
      <c r="C18" s="4" t="s">
        <v>387</v>
      </c>
      <c r="D18" s="4" t="s">
        <v>388</v>
      </c>
      <c r="E18" s="4" t="s">
        <v>375</v>
      </c>
      <c r="G18" s="2" t="s">
        <v>342</v>
      </c>
      <c r="H18" s="2" t="s">
        <v>16</v>
      </c>
      <c r="I18" s="2">
        <v>1</v>
      </c>
      <c r="J18" s="4" t="s">
        <v>389</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141</v>
      </c>
      <c r="Z18" s="2" t="s">
        <v>71</v>
      </c>
      <c r="AA18" s="2" t="s">
        <v>71</v>
      </c>
      <c r="AB18" s="2" t="s">
        <v>71</v>
      </c>
      <c r="AC18" s="2" t="s">
        <v>71</v>
      </c>
      <c r="AD18" s="2" t="s">
        <v>141</v>
      </c>
      <c r="AE18" s="2" t="s">
        <v>141</v>
      </c>
      <c r="AF18" s="2" t="s">
        <v>71</v>
      </c>
      <c r="AG18" s="2" t="s">
        <v>71</v>
      </c>
      <c r="AH18" s="2" t="s">
        <v>71</v>
      </c>
      <c r="AI18" s="2" t="s">
        <v>71</v>
      </c>
      <c r="AJ18" s="2" t="s">
        <v>141</v>
      </c>
      <c r="AK18" s="2" t="s">
        <v>141</v>
      </c>
      <c r="AL18" s="2" t="s">
        <v>141</v>
      </c>
      <c r="AM18" s="2" t="s">
        <v>71</v>
      </c>
      <c r="AN18" s="2" t="s">
        <v>71</v>
      </c>
      <c r="AO18" s="2" t="s">
        <v>71</v>
      </c>
      <c r="AP18" s="2" t="s">
        <v>71</v>
      </c>
      <c r="AQ18" s="2" t="s">
        <v>141</v>
      </c>
      <c r="AR18" s="2" t="s">
        <v>71</v>
      </c>
      <c r="AS18" s="2" t="s">
        <v>141</v>
      </c>
      <c r="AT18" s="2" t="s">
        <v>71</v>
      </c>
      <c r="AU18" s="2" t="s">
        <v>71</v>
      </c>
      <c r="AV18" s="2" t="s">
        <v>71</v>
      </c>
      <c r="AW18" s="2" t="s">
        <v>71</v>
      </c>
      <c r="AX18" s="2" t="s">
        <v>141</v>
      </c>
      <c r="AY18" s="2" t="s">
        <v>71</v>
      </c>
    </row>
    <row r="19" spans="1:51" ht="32">
      <c r="A19" s="180" t="s">
        <v>390</v>
      </c>
      <c r="B19" s="2" t="s">
        <v>71</v>
      </c>
      <c r="C19" s="4" t="s">
        <v>391</v>
      </c>
      <c r="D19" s="4" t="s">
        <v>392</v>
      </c>
      <c r="E19" s="4" t="s">
        <v>375</v>
      </c>
      <c r="F19" s="2" t="s">
        <v>393</v>
      </c>
      <c r="G19" s="2" t="s">
        <v>342</v>
      </c>
      <c r="H19" s="2" t="s">
        <v>16</v>
      </c>
      <c r="I19" s="180" t="s">
        <v>32</v>
      </c>
      <c r="J19" s="4" t="s">
        <v>394</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141</v>
      </c>
      <c r="Z19" s="2" t="s">
        <v>71</v>
      </c>
      <c r="AA19" s="2" t="s">
        <v>71</v>
      </c>
      <c r="AB19" s="2" t="s">
        <v>71</v>
      </c>
      <c r="AC19" s="2" t="s">
        <v>71</v>
      </c>
      <c r="AD19" s="2" t="s">
        <v>141</v>
      </c>
      <c r="AE19" s="2" t="s">
        <v>141</v>
      </c>
      <c r="AF19" s="2" t="s">
        <v>71</v>
      </c>
      <c r="AG19" s="2" t="s">
        <v>71</v>
      </c>
      <c r="AH19" s="2" t="s">
        <v>71</v>
      </c>
      <c r="AI19" s="2" t="s">
        <v>71</v>
      </c>
      <c r="AJ19" s="2" t="s">
        <v>141</v>
      </c>
      <c r="AK19" s="2" t="s">
        <v>141</v>
      </c>
      <c r="AL19" s="2" t="s">
        <v>141</v>
      </c>
      <c r="AM19" s="2" t="s">
        <v>71</v>
      </c>
      <c r="AN19" s="2" t="s">
        <v>71</v>
      </c>
      <c r="AO19" s="2" t="s">
        <v>71</v>
      </c>
      <c r="AP19" s="2" t="s">
        <v>71</v>
      </c>
      <c r="AQ19" s="2" t="s">
        <v>141</v>
      </c>
      <c r="AR19" s="2" t="s">
        <v>71</v>
      </c>
      <c r="AS19" s="2" t="s">
        <v>141</v>
      </c>
      <c r="AT19" s="2" t="s">
        <v>71</v>
      </c>
      <c r="AU19" s="2" t="s">
        <v>71</v>
      </c>
      <c r="AV19" s="2" t="s">
        <v>71</v>
      </c>
      <c r="AW19" s="2" t="s">
        <v>71</v>
      </c>
      <c r="AX19" s="2" t="s">
        <v>141</v>
      </c>
      <c r="AY19" s="2" t="s">
        <v>71</v>
      </c>
    </row>
    <row r="20" spans="1:51" ht="32">
      <c r="A20" s="2" t="s">
        <v>395</v>
      </c>
      <c r="B20" s="2" t="s">
        <v>71</v>
      </c>
      <c r="C20" s="4" t="s">
        <v>396</v>
      </c>
      <c r="D20" s="4" t="s">
        <v>397</v>
      </c>
      <c r="E20" s="4" t="s">
        <v>375</v>
      </c>
      <c r="F20" s="2" t="s">
        <v>398</v>
      </c>
      <c r="G20" s="2" t="s">
        <v>342</v>
      </c>
      <c r="H20" s="2" t="s">
        <v>16</v>
      </c>
      <c r="I20" s="2">
        <v>3</v>
      </c>
      <c r="J20" s="4" t="s">
        <v>399</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141</v>
      </c>
      <c r="Z20" s="2" t="s">
        <v>71</v>
      </c>
      <c r="AA20" s="2" t="s">
        <v>71</v>
      </c>
      <c r="AB20" s="2" t="s">
        <v>71</v>
      </c>
      <c r="AC20" s="2" t="s">
        <v>71</v>
      </c>
      <c r="AD20" s="2" t="s">
        <v>141</v>
      </c>
      <c r="AE20" s="2" t="s">
        <v>141</v>
      </c>
      <c r="AF20" s="2" t="s">
        <v>71</v>
      </c>
      <c r="AG20" s="2" t="s">
        <v>71</v>
      </c>
      <c r="AH20" s="2" t="s">
        <v>71</v>
      </c>
      <c r="AI20" s="2" t="s">
        <v>71</v>
      </c>
      <c r="AJ20" s="2" t="s">
        <v>141</v>
      </c>
      <c r="AK20" s="2" t="s">
        <v>141</v>
      </c>
      <c r="AL20" s="2" t="s">
        <v>141</v>
      </c>
      <c r="AM20" s="2" t="s">
        <v>71</v>
      </c>
      <c r="AN20" s="2" t="s">
        <v>71</v>
      </c>
      <c r="AO20" s="2" t="s">
        <v>71</v>
      </c>
      <c r="AP20" s="2" t="s">
        <v>71</v>
      </c>
      <c r="AQ20" s="2" t="s">
        <v>141</v>
      </c>
      <c r="AR20" s="2" t="s">
        <v>71</v>
      </c>
      <c r="AS20" s="2" t="s">
        <v>141</v>
      </c>
      <c r="AT20" s="2" t="s">
        <v>71</v>
      </c>
      <c r="AU20" s="2" t="s">
        <v>71</v>
      </c>
      <c r="AV20" s="2" t="s">
        <v>71</v>
      </c>
      <c r="AW20" s="2" t="s">
        <v>71</v>
      </c>
      <c r="AX20" s="2" t="s">
        <v>141</v>
      </c>
      <c r="AY20" s="2" t="s">
        <v>71</v>
      </c>
    </row>
    <row r="21" spans="1:51" ht="16" hidden="1" customHeight="1">
      <c r="A21" s="2" t="s">
        <v>400</v>
      </c>
      <c r="B21" s="2" t="s">
        <v>71</v>
      </c>
      <c r="C21" s="4" t="s">
        <v>401</v>
      </c>
      <c r="D21" s="4" t="s">
        <v>402</v>
      </c>
      <c r="E21" s="4" t="s">
        <v>403</v>
      </c>
      <c r="F21" s="2" t="s">
        <v>398</v>
      </c>
      <c r="G21" s="2" t="s">
        <v>342</v>
      </c>
      <c r="H21" s="2" t="s">
        <v>340</v>
      </c>
      <c r="J21" s="4" t="s">
        <v>404</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141</v>
      </c>
      <c r="Z21" s="2" t="s">
        <v>71</v>
      </c>
      <c r="AA21" s="2" t="s">
        <v>71</v>
      </c>
      <c r="AB21" s="2" t="s">
        <v>71</v>
      </c>
      <c r="AC21" s="2" t="s">
        <v>71</v>
      </c>
      <c r="AD21" s="2" t="s">
        <v>141</v>
      </c>
      <c r="AE21" s="2" t="s">
        <v>141</v>
      </c>
      <c r="AF21" s="2" t="s">
        <v>71</v>
      </c>
      <c r="AG21" s="2" t="s">
        <v>71</v>
      </c>
      <c r="AH21" s="2" t="s">
        <v>71</v>
      </c>
      <c r="AI21" s="2" t="s">
        <v>71</v>
      </c>
      <c r="AJ21" s="2" t="s">
        <v>141</v>
      </c>
      <c r="AK21" s="2" t="s">
        <v>141</v>
      </c>
      <c r="AL21" s="2" t="s">
        <v>141</v>
      </c>
      <c r="AM21" s="2" t="s">
        <v>71</v>
      </c>
      <c r="AN21" s="2" t="s">
        <v>71</v>
      </c>
      <c r="AO21" s="2" t="s">
        <v>71</v>
      </c>
      <c r="AP21" s="2" t="s">
        <v>71</v>
      </c>
      <c r="AQ21" s="2" t="s">
        <v>141</v>
      </c>
      <c r="AR21" s="2" t="s">
        <v>71</v>
      </c>
      <c r="AS21" s="2" t="s">
        <v>141</v>
      </c>
      <c r="AT21" s="2" t="s">
        <v>71</v>
      </c>
      <c r="AU21" s="2" t="s">
        <v>71</v>
      </c>
      <c r="AV21" s="2" t="s">
        <v>71</v>
      </c>
      <c r="AW21" s="2" t="s">
        <v>71</v>
      </c>
      <c r="AX21" s="2" t="s">
        <v>141</v>
      </c>
      <c r="AY21" s="2" t="s">
        <v>71</v>
      </c>
    </row>
    <row r="22" spans="1:51" ht="16" hidden="1">
      <c r="A22" s="39" t="s">
        <v>405</v>
      </c>
      <c r="B22" s="39" t="s">
        <v>71</v>
      </c>
      <c r="E22" s="4" t="s">
        <v>406</v>
      </c>
      <c r="J22" s="4" t="s">
        <v>407</v>
      </c>
      <c r="L22" s="2" t="s">
        <v>71</v>
      </c>
      <c r="M22" s="2" t="s">
        <v>71</v>
      </c>
      <c r="N22" s="2" t="s">
        <v>71</v>
      </c>
      <c r="O22" s="2" t="s">
        <v>71</v>
      </c>
      <c r="P22" s="2" t="s">
        <v>71</v>
      </c>
      <c r="Q22" s="2" t="s">
        <v>71</v>
      </c>
      <c r="R22" s="2" t="s">
        <v>71</v>
      </c>
      <c r="S22" s="2" t="s">
        <v>71</v>
      </c>
      <c r="T22" s="2" t="s">
        <v>71</v>
      </c>
      <c r="U22" s="2" t="s">
        <v>71</v>
      </c>
      <c r="V22" s="2" t="s">
        <v>71</v>
      </c>
      <c r="W22" s="2" t="s">
        <v>71</v>
      </c>
      <c r="X22" s="2" t="s">
        <v>71</v>
      </c>
      <c r="Y22" s="2" t="s">
        <v>141</v>
      </c>
      <c r="Z22" s="2" t="s">
        <v>71</v>
      </c>
      <c r="AA22" s="2" t="s">
        <v>71</v>
      </c>
      <c r="AB22" s="2" t="s">
        <v>71</v>
      </c>
      <c r="AC22" s="2" t="s">
        <v>71</v>
      </c>
      <c r="AD22" s="2" t="s">
        <v>141</v>
      </c>
      <c r="AE22" s="2" t="s">
        <v>141</v>
      </c>
      <c r="AF22" s="2" t="s">
        <v>71</v>
      </c>
      <c r="AG22" s="2" t="s">
        <v>71</v>
      </c>
      <c r="AH22" s="2" t="s">
        <v>71</v>
      </c>
      <c r="AI22" s="2" t="s">
        <v>71</v>
      </c>
      <c r="AJ22" s="2" t="s">
        <v>141</v>
      </c>
      <c r="AK22" s="2" t="s">
        <v>141</v>
      </c>
      <c r="AL22" s="2" t="s">
        <v>141</v>
      </c>
      <c r="AM22" s="2" t="s">
        <v>71</v>
      </c>
      <c r="AN22" s="2" t="s">
        <v>71</v>
      </c>
      <c r="AO22" s="2" t="s">
        <v>71</v>
      </c>
      <c r="AP22" s="2" t="s">
        <v>71</v>
      </c>
      <c r="AQ22" s="2" t="s">
        <v>141</v>
      </c>
      <c r="AR22" s="2" t="s">
        <v>71</v>
      </c>
      <c r="AS22" s="2" t="s">
        <v>141</v>
      </c>
      <c r="AT22" s="2" t="s">
        <v>71</v>
      </c>
      <c r="AU22" s="2" t="s">
        <v>71</v>
      </c>
      <c r="AV22" s="2" t="s">
        <v>71</v>
      </c>
      <c r="AW22" s="2" t="s">
        <v>71</v>
      </c>
      <c r="AX22" s="2" t="s">
        <v>141</v>
      </c>
      <c r="AY22" s="2" t="s">
        <v>71</v>
      </c>
    </row>
    <row r="23" spans="1:51" ht="32">
      <c r="A23" s="2" t="s">
        <v>408</v>
      </c>
      <c r="B23" s="2" t="s">
        <v>71</v>
      </c>
      <c r="C23" s="4" t="s">
        <v>409</v>
      </c>
      <c r="D23" s="4" t="s">
        <v>410</v>
      </c>
      <c r="E23" s="4" t="s">
        <v>375</v>
      </c>
      <c r="F23" s="2" t="s">
        <v>411</v>
      </c>
      <c r="G23" s="2" t="s">
        <v>342</v>
      </c>
      <c r="H23" s="2" t="s">
        <v>16</v>
      </c>
      <c r="I23" s="2">
        <v>2</v>
      </c>
      <c r="J23" s="4" t="s">
        <v>412</v>
      </c>
      <c r="K23" s="4" t="s">
        <v>7</v>
      </c>
      <c r="L23" s="2" t="s">
        <v>71</v>
      </c>
      <c r="M23" s="2" t="s">
        <v>71</v>
      </c>
      <c r="N23" s="2" t="s">
        <v>71</v>
      </c>
      <c r="O23" s="2" t="s">
        <v>71</v>
      </c>
      <c r="P23" s="2" t="s">
        <v>141</v>
      </c>
      <c r="Q23" s="2" t="s">
        <v>71</v>
      </c>
      <c r="R23" s="2" t="s">
        <v>141</v>
      </c>
      <c r="S23" s="2" t="s">
        <v>71</v>
      </c>
      <c r="T23" s="2" t="s">
        <v>71</v>
      </c>
      <c r="U23" s="2" t="s">
        <v>71</v>
      </c>
      <c r="V23" s="2" t="s">
        <v>71</v>
      </c>
      <c r="W23" s="2" t="s">
        <v>71</v>
      </c>
      <c r="X23" s="2" t="s">
        <v>71</v>
      </c>
      <c r="Y23" s="2" t="s">
        <v>141</v>
      </c>
      <c r="Z23" s="2" t="s">
        <v>71</v>
      </c>
      <c r="AA23" s="2" t="s">
        <v>71</v>
      </c>
      <c r="AB23" s="2" t="s">
        <v>71</v>
      </c>
      <c r="AC23" s="2" t="s">
        <v>71</v>
      </c>
      <c r="AD23" s="2" t="s">
        <v>141</v>
      </c>
      <c r="AE23" s="2" t="s">
        <v>141</v>
      </c>
      <c r="AF23" s="2" t="s">
        <v>71</v>
      </c>
      <c r="AG23" s="2" t="s">
        <v>71</v>
      </c>
      <c r="AH23" s="2" t="s">
        <v>71</v>
      </c>
      <c r="AI23" s="2" t="s">
        <v>71</v>
      </c>
      <c r="AJ23" s="2" t="s">
        <v>141</v>
      </c>
      <c r="AK23" s="2" t="s">
        <v>141</v>
      </c>
      <c r="AL23" s="2" t="s">
        <v>141</v>
      </c>
      <c r="AM23" s="2" t="s">
        <v>71</v>
      </c>
      <c r="AN23" s="2" t="s">
        <v>71</v>
      </c>
      <c r="AO23" s="2" t="s">
        <v>71</v>
      </c>
      <c r="AP23" s="2" t="s">
        <v>71</v>
      </c>
      <c r="AQ23" s="2" t="s">
        <v>141</v>
      </c>
      <c r="AR23" s="2" t="s">
        <v>141</v>
      </c>
      <c r="AS23" s="2" t="s">
        <v>141</v>
      </c>
      <c r="AT23" s="2" t="s">
        <v>141</v>
      </c>
      <c r="AU23" s="2" t="s">
        <v>71</v>
      </c>
      <c r="AV23" s="2" t="s">
        <v>71</v>
      </c>
      <c r="AW23" s="2" t="s">
        <v>71</v>
      </c>
      <c r="AX23" s="2" t="s">
        <v>141</v>
      </c>
      <c r="AY23" s="2" t="s">
        <v>71</v>
      </c>
    </row>
    <row r="24" spans="1:51" ht="16" hidden="1">
      <c r="A24" s="2" t="s">
        <v>413</v>
      </c>
      <c r="B24" s="2" t="s">
        <v>141</v>
      </c>
      <c r="C24" s="4" t="s">
        <v>414</v>
      </c>
      <c r="D24" s="4" t="s">
        <v>415</v>
      </c>
      <c r="E24" s="4" t="s">
        <v>332</v>
      </c>
      <c r="F24" s="2" t="s">
        <v>104</v>
      </c>
      <c r="J24" s="4" t="s">
        <v>333</v>
      </c>
      <c r="L24" s="2" t="s">
        <v>141</v>
      </c>
      <c r="M24" s="2" t="s">
        <v>141</v>
      </c>
      <c r="N24" s="2" t="s">
        <v>141</v>
      </c>
      <c r="O24" s="2" t="s">
        <v>141</v>
      </c>
      <c r="P24" s="2" t="s">
        <v>141</v>
      </c>
      <c r="Q24" s="2" t="s">
        <v>141</v>
      </c>
      <c r="R24" s="2" t="s">
        <v>141</v>
      </c>
      <c r="S24" s="2" t="s">
        <v>141</v>
      </c>
      <c r="T24" s="2" t="s">
        <v>141</v>
      </c>
      <c r="U24" s="2" t="s">
        <v>141</v>
      </c>
      <c r="V24" s="2" t="s">
        <v>141</v>
      </c>
      <c r="W24" s="2" t="s">
        <v>141</v>
      </c>
      <c r="X24" s="2" t="s">
        <v>141</v>
      </c>
      <c r="Y24" s="2" t="s">
        <v>141</v>
      </c>
      <c r="Z24" s="2" t="s">
        <v>141</v>
      </c>
      <c r="AA24" s="2" t="s">
        <v>141</v>
      </c>
      <c r="AB24" s="2" t="s">
        <v>141</v>
      </c>
      <c r="AC24" s="2" t="s">
        <v>141</v>
      </c>
      <c r="AD24" s="2" t="s">
        <v>141</v>
      </c>
      <c r="AE24" s="2" t="s">
        <v>141</v>
      </c>
      <c r="AF24" s="2" t="s">
        <v>141</v>
      </c>
      <c r="AG24" s="2" t="s">
        <v>141</v>
      </c>
      <c r="AH24" s="2" t="s">
        <v>141</v>
      </c>
      <c r="AI24" s="2" t="s">
        <v>141</v>
      </c>
      <c r="AJ24" s="2" t="s">
        <v>141</v>
      </c>
      <c r="AK24" s="2" t="s">
        <v>141</v>
      </c>
      <c r="AL24" s="2" t="s">
        <v>141</v>
      </c>
      <c r="AM24" s="2" t="s">
        <v>141</v>
      </c>
      <c r="AN24" s="2" t="s">
        <v>141</v>
      </c>
      <c r="AO24" s="2" t="s">
        <v>141</v>
      </c>
      <c r="AP24" s="2" t="s">
        <v>141</v>
      </c>
      <c r="AQ24" s="2" t="s">
        <v>141</v>
      </c>
      <c r="AR24" s="2" t="s">
        <v>141</v>
      </c>
      <c r="AS24" s="2" t="s">
        <v>141</v>
      </c>
      <c r="AT24" s="2" t="s">
        <v>141</v>
      </c>
      <c r="AU24" s="2" t="s">
        <v>141</v>
      </c>
      <c r="AV24" s="2" t="s">
        <v>141</v>
      </c>
      <c r="AW24" s="2" t="s">
        <v>141</v>
      </c>
      <c r="AX24" s="2" t="s">
        <v>141</v>
      </c>
      <c r="AY24" s="2" t="s">
        <v>141</v>
      </c>
    </row>
    <row r="25" spans="1:51" ht="16" hidden="1">
      <c r="A25" s="2" t="s">
        <v>416</v>
      </c>
      <c r="B25" s="2" t="s">
        <v>141</v>
      </c>
      <c r="D25" s="4" t="s">
        <v>344</v>
      </c>
      <c r="E25" s="4" t="s">
        <v>332</v>
      </c>
      <c r="J25" s="4" t="s">
        <v>333</v>
      </c>
      <c r="L25" s="2" t="s">
        <v>71</v>
      </c>
      <c r="M25" s="2" t="s">
        <v>141</v>
      </c>
      <c r="N25" s="2" t="s">
        <v>71</v>
      </c>
      <c r="O25" s="2" t="s">
        <v>71</v>
      </c>
      <c r="P25" s="2" t="s">
        <v>141</v>
      </c>
      <c r="Q25" s="2" t="s">
        <v>71</v>
      </c>
      <c r="R25" s="2" t="s">
        <v>141</v>
      </c>
      <c r="S25" s="2" t="s">
        <v>71</v>
      </c>
      <c r="T25" s="2" t="s">
        <v>71</v>
      </c>
      <c r="U25" s="2" t="s">
        <v>71</v>
      </c>
      <c r="V25" s="2" t="s">
        <v>71</v>
      </c>
      <c r="W25" s="2" t="s">
        <v>71</v>
      </c>
      <c r="X25" s="2" t="s">
        <v>71</v>
      </c>
      <c r="Y25" s="2" t="s">
        <v>141</v>
      </c>
      <c r="Z25" s="2" t="s">
        <v>71</v>
      </c>
      <c r="AA25" s="2" t="s">
        <v>71</v>
      </c>
      <c r="AB25" s="2" t="s">
        <v>71</v>
      </c>
      <c r="AC25" s="2" t="s">
        <v>71</v>
      </c>
      <c r="AD25" s="2" t="s">
        <v>141</v>
      </c>
      <c r="AE25" s="2" t="s">
        <v>141</v>
      </c>
      <c r="AF25" s="2" t="s">
        <v>71</v>
      </c>
      <c r="AG25" s="2" t="s">
        <v>71</v>
      </c>
      <c r="AH25" s="2" t="s">
        <v>71</v>
      </c>
      <c r="AI25" s="2" t="s">
        <v>71</v>
      </c>
      <c r="AJ25" s="2" t="s">
        <v>141</v>
      </c>
      <c r="AK25" s="2" t="s">
        <v>141</v>
      </c>
      <c r="AL25" s="2" t="s">
        <v>141</v>
      </c>
      <c r="AM25" s="2" t="s">
        <v>71</v>
      </c>
      <c r="AN25" s="2" t="s">
        <v>71</v>
      </c>
      <c r="AO25" s="2" t="s">
        <v>71</v>
      </c>
      <c r="AP25" s="2" t="s">
        <v>71</v>
      </c>
      <c r="AQ25" s="2" t="s">
        <v>141</v>
      </c>
      <c r="AR25" s="2" t="s">
        <v>71</v>
      </c>
      <c r="AS25" s="2" t="s">
        <v>141</v>
      </c>
      <c r="AT25" s="2" t="s">
        <v>141</v>
      </c>
      <c r="AU25" s="2" t="s">
        <v>71</v>
      </c>
      <c r="AV25" s="2" t="s">
        <v>71</v>
      </c>
      <c r="AW25" s="2" t="s">
        <v>71</v>
      </c>
      <c r="AX25" s="2" t="s">
        <v>141</v>
      </c>
      <c r="AY25" s="2" t="s">
        <v>71</v>
      </c>
    </row>
    <row r="26" spans="1:51" s="44" customFormat="1" ht="16" hidden="1">
      <c r="A26" s="44" t="s">
        <v>417</v>
      </c>
      <c r="B26" s="44" t="s">
        <v>141</v>
      </c>
      <c r="C26" s="45" t="s">
        <v>418</v>
      </c>
      <c r="D26" s="45" t="s">
        <v>419</v>
      </c>
      <c r="E26" s="45" t="s">
        <v>420</v>
      </c>
      <c r="F26" s="44" t="s">
        <v>421</v>
      </c>
      <c r="G26" s="44" t="s">
        <v>339</v>
      </c>
      <c r="J26" s="45"/>
      <c r="K26" s="45"/>
      <c r="L26" s="44" t="s">
        <v>141</v>
      </c>
      <c r="M26" s="44" t="s">
        <v>141</v>
      </c>
      <c r="N26" s="44" t="s">
        <v>141</v>
      </c>
      <c r="O26" s="44" t="s">
        <v>141</v>
      </c>
      <c r="P26" s="44" t="s">
        <v>141</v>
      </c>
      <c r="Q26" s="44" t="s">
        <v>141</v>
      </c>
      <c r="R26" s="44" t="s">
        <v>141</v>
      </c>
      <c r="S26" s="44" t="s">
        <v>141</v>
      </c>
      <c r="T26" s="44" t="s">
        <v>141</v>
      </c>
      <c r="U26" s="44" t="s">
        <v>141</v>
      </c>
      <c r="V26" s="44" t="s">
        <v>141</v>
      </c>
      <c r="W26" s="44" t="s">
        <v>141</v>
      </c>
      <c r="X26" s="44" t="s">
        <v>71</v>
      </c>
      <c r="Y26" s="44" t="s">
        <v>141</v>
      </c>
      <c r="Z26" s="44" t="s">
        <v>141</v>
      </c>
      <c r="AA26" s="44" t="s">
        <v>141</v>
      </c>
      <c r="AB26" s="44" t="s">
        <v>141</v>
      </c>
      <c r="AC26" s="44" t="s">
        <v>141</v>
      </c>
      <c r="AD26" s="44" t="s">
        <v>141</v>
      </c>
      <c r="AE26" s="44" t="s">
        <v>141</v>
      </c>
      <c r="AF26" s="44" t="s">
        <v>141</v>
      </c>
      <c r="AG26" s="44" t="s">
        <v>141</v>
      </c>
      <c r="AH26" s="44" t="s">
        <v>141</v>
      </c>
      <c r="AI26" s="44" t="s">
        <v>141</v>
      </c>
      <c r="AJ26" s="44" t="s">
        <v>141</v>
      </c>
      <c r="AK26" s="44" t="s">
        <v>141</v>
      </c>
      <c r="AL26" s="44" t="s">
        <v>141</v>
      </c>
      <c r="AM26" s="44" t="s">
        <v>141</v>
      </c>
      <c r="AN26" s="44" t="s">
        <v>141</v>
      </c>
      <c r="AO26" s="44" t="s">
        <v>141</v>
      </c>
      <c r="AP26" s="44" t="s">
        <v>141</v>
      </c>
      <c r="AQ26" s="44" t="s">
        <v>141</v>
      </c>
      <c r="AR26" s="44" t="s">
        <v>141</v>
      </c>
      <c r="AS26" s="44" t="s">
        <v>141</v>
      </c>
      <c r="AT26" s="44" t="s">
        <v>141</v>
      </c>
      <c r="AU26" s="44" t="s">
        <v>141</v>
      </c>
      <c r="AV26" s="44" t="s">
        <v>141</v>
      </c>
      <c r="AW26" s="44" t="s">
        <v>141</v>
      </c>
      <c r="AX26" s="44" t="s">
        <v>141</v>
      </c>
      <c r="AY26" s="44" t="s">
        <v>141</v>
      </c>
    </row>
    <row r="27" spans="1:51" ht="16" hidden="1">
      <c r="A27" s="2" t="s">
        <v>422</v>
      </c>
      <c r="B27" s="2" t="s">
        <v>141</v>
      </c>
      <c r="D27" s="4" t="s">
        <v>344</v>
      </c>
      <c r="E27" s="4" t="s">
        <v>332</v>
      </c>
      <c r="J27" s="4" t="s">
        <v>333</v>
      </c>
      <c r="L27" s="2" t="s">
        <v>71</v>
      </c>
      <c r="M27" s="2" t="s">
        <v>141</v>
      </c>
      <c r="N27" s="2" t="s">
        <v>71</v>
      </c>
      <c r="O27" s="2" t="s">
        <v>71</v>
      </c>
      <c r="P27" s="2" t="s">
        <v>141</v>
      </c>
      <c r="Q27" s="2" t="s">
        <v>71</v>
      </c>
      <c r="R27" s="2" t="s">
        <v>141</v>
      </c>
      <c r="S27" s="2" t="s">
        <v>71</v>
      </c>
      <c r="T27" s="2" t="s">
        <v>71</v>
      </c>
      <c r="U27" s="2" t="s">
        <v>71</v>
      </c>
      <c r="V27" s="2" t="s">
        <v>71</v>
      </c>
      <c r="W27" s="2" t="s">
        <v>71</v>
      </c>
      <c r="X27" s="2" t="s">
        <v>71</v>
      </c>
      <c r="Y27" s="2" t="s">
        <v>141</v>
      </c>
      <c r="Z27" s="2" t="s">
        <v>71</v>
      </c>
      <c r="AA27" s="2" t="s">
        <v>71</v>
      </c>
      <c r="AB27" s="2" t="s">
        <v>71</v>
      </c>
      <c r="AC27" s="2" t="s">
        <v>71</v>
      </c>
      <c r="AD27" s="2" t="s">
        <v>141</v>
      </c>
      <c r="AE27" s="2" t="s">
        <v>141</v>
      </c>
      <c r="AF27" s="2" t="s">
        <v>71</v>
      </c>
      <c r="AG27" s="2" t="s">
        <v>71</v>
      </c>
      <c r="AH27" s="2" t="s">
        <v>71</v>
      </c>
      <c r="AI27" s="2" t="s">
        <v>71</v>
      </c>
      <c r="AJ27" s="2" t="s">
        <v>141</v>
      </c>
      <c r="AK27" s="2" t="s">
        <v>141</v>
      </c>
      <c r="AL27" s="2" t="s">
        <v>141</v>
      </c>
      <c r="AM27" s="2" t="s">
        <v>71</v>
      </c>
      <c r="AN27" s="2" t="s">
        <v>71</v>
      </c>
      <c r="AO27" s="2" t="s">
        <v>71</v>
      </c>
      <c r="AP27" s="2" t="s">
        <v>71</v>
      </c>
      <c r="AQ27" s="2" t="s">
        <v>141</v>
      </c>
      <c r="AR27" s="2" t="s">
        <v>71</v>
      </c>
      <c r="AS27" s="2" t="s">
        <v>141</v>
      </c>
      <c r="AT27" s="2" t="s">
        <v>141</v>
      </c>
      <c r="AU27" s="2" t="s">
        <v>71</v>
      </c>
      <c r="AV27" s="2" t="s">
        <v>71</v>
      </c>
      <c r="AW27" s="2" t="s">
        <v>71</v>
      </c>
      <c r="AX27" s="2" t="s">
        <v>141</v>
      </c>
      <c r="AY27" s="2" t="s">
        <v>71</v>
      </c>
    </row>
    <row r="28" spans="1:51" ht="48" hidden="1">
      <c r="A28" s="11" t="s">
        <v>185</v>
      </c>
      <c r="B28" s="11" t="s">
        <v>71</v>
      </c>
      <c r="C28" s="181" t="s">
        <v>423</v>
      </c>
      <c r="D28" s="181" t="s">
        <v>424</v>
      </c>
      <c r="E28" s="181" t="s">
        <v>375</v>
      </c>
      <c r="F28" s="11" t="s">
        <v>425</v>
      </c>
      <c r="G28" s="11" t="s">
        <v>342</v>
      </c>
      <c r="H28" s="11" t="s">
        <v>96</v>
      </c>
      <c r="J28" s="4" t="s">
        <v>426</v>
      </c>
      <c r="L28" s="2" t="s">
        <v>71</v>
      </c>
      <c r="M28" s="2" t="s">
        <v>71</v>
      </c>
      <c r="N28" s="2" t="s">
        <v>71</v>
      </c>
      <c r="O28" s="2" t="s">
        <v>71</v>
      </c>
      <c r="P28" s="2" t="s">
        <v>71</v>
      </c>
      <c r="Q28" s="2" t="s">
        <v>71</v>
      </c>
      <c r="R28" s="2" t="s">
        <v>71</v>
      </c>
      <c r="S28" s="2" t="s">
        <v>71</v>
      </c>
      <c r="T28" s="2" t="s">
        <v>71</v>
      </c>
      <c r="U28" s="2" t="s">
        <v>71</v>
      </c>
      <c r="V28" s="2" t="s">
        <v>71</v>
      </c>
      <c r="W28" s="2" t="s">
        <v>71</v>
      </c>
      <c r="X28" s="2" t="s">
        <v>71</v>
      </c>
      <c r="Y28" s="2" t="s">
        <v>141</v>
      </c>
      <c r="Z28" s="2" t="s">
        <v>71</v>
      </c>
      <c r="AA28" s="2" t="s">
        <v>71</v>
      </c>
      <c r="AB28" s="2" t="s">
        <v>71</v>
      </c>
      <c r="AC28" s="2" t="s">
        <v>71</v>
      </c>
      <c r="AD28" s="2" t="s">
        <v>141</v>
      </c>
      <c r="AE28" s="2" t="s">
        <v>141</v>
      </c>
      <c r="AF28" s="2" t="s">
        <v>71</v>
      </c>
      <c r="AG28" s="2" t="s">
        <v>71</v>
      </c>
      <c r="AH28" s="2" t="s">
        <v>71</v>
      </c>
      <c r="AI28" s="2" t="s">
        <v>71</v>
      </c>
      <c r="AJ28" s="2" t="s">
        <v>141</v>
      </c>
      <c r="AK28" s="2" t="s">
        <v>141</v>
      </c>
      <c r="AL28" s="2" t="s">
        <v>141</v>
      </c>
      <c r="AM28" s="2" t="s">
        <v>71</v>
      </c>
      <c r="AN28" s="2" t="s">
        <v>71</v>
      </c>
      <c r="AO28" s="2" t="s">
        <v>71</v>
      </c>
      <c r="AP28" s="2" t="s">
        <v>71</v>
      </c>
      <c r="AQ28" s="2" t="s">
        <v>141</v>
      </c>
      <c r="AR28" s="2" t="s">
        <v>71</v>
      </c>
      <c r="AS28" s="2" t="s">
        <v>141</v>
      </c>
      <c r="AT28" s="2" t="s">
        <v>71</v>
      </c>
      <c r="AU28" s="2" t="s">
        <v>71</v>
      </c>
      <c r="AV28" s="2" t="s">
        <v>71</v>
      </c>
      <c r="AW28" s="2" t="s">
        <v>71</v>
      </c>
      <c r="AX28" s="2" t="s">
        <v>141</v>
      </c>
      <c r="AY28" s="2" t="s">
        <v>71</v>
      </c>
    </row>
    <row r="29" spans="1:51" ht="32" hidden="1">
      <c r="A29" s="11" t="s">
        <v>427</v>
      </c>
      <c r="B29" s="11" t="s">
        <v>71</v>
      </c>
      <c r="C29" s="181" t="s">
        <v>428</v>
      </c>
      <c r="D29" s="181" t="s">
        <v>429</v>
      </c>
      <c r="E29" s="181" t="s">
        <v>430</v>
      </c>
      <c r="F29" s="11" t="s">
        <v>338</v>
      </c>
      <c r="G29" s="11" t="s">
        <v>339</v>
      </c>
      <c r="H29" s="11" t="s">
        <v>383</v>
      </c>
      <c r="L29" s="2" t="s">
        <v>71</v>
      </c>
      <c r="M29" s="2" t="s">
        <v>71</v>
      </c>
      <c r="N29" s="2" t="s">
        <v>71</v>
      </c>
      <c r="O29" s="2" t="s">
        <v>71</v>
      </c>
      <c r="P29" s="2" t="s">
        <v>71</v>
      </c>
      <c r="Q29" s="2" t="s">
        <v>71</v>
      </c>
      <c r="R29" s="2" t="s">
        <v>71</v>
      </c>
      <c r="S29" s="2" t="s">
        <v>71</v>
      </c>
      <c r="T29" s="2" t="s">
        <v>71</v>
      </c>
      <c r="U29" s="2" t="s">
        <v>71</v>
      </c>
      <c r="V29" s="2" t="s">
        <v>71</v>
      </c>
      <c r="W29" s="2" t="s">
        <v>71</v>
      </c>
      <c r="X29" s="2" t="s">
        <v>71</v>
      </c>
      <c r="Y29" s="2" t="s">
        <v>141</v>
      </c>
      <c r="Z29" s="2" t="s">
        <v>71</v>
      </c>
      <c r="AA29" s="2" t="s">
        <v>71</v>
      </c>
      <c r="AB29" s="2" t="s">
        <v>71</v>
      </c>
      <c r="AC29" s="2" t="s">
        <v>71</v>
      </c>
      <c r="AD29" s="2" t="s">
        <v>141</v>
      </c>
      <c r="AE29" s="2" t="s">
        <v>141</v>
      </c>
      <c r="AF29" s="2" t="s">
        <v>71</v>
      </c>
      <c r="AG29" s="2" t="s">
        <v>71</v>
      </c>
      <c r="AH29" s="2" t="s">
        <v>71</v>
      </c>
      <c r="AI29" s="2" t="s">
        <v>71</v>
      </c>
      <c r="AJ29" s="2" t="s">
        <v>141</v>
      </c>
      <c r="AK29" s="2" t="s">
        <v>141</v>
      </c>
      <c r="AL29" s="2" t="s">
        <v>141</v>
      </c>
      <c r="AM29" s="2" t="s">
        <v>71</v>
      </c>
      <c r="AN29" s="2" t="s">
        <v>71</v>
      </c>
      <c r="AO29" s="2" t="s">
        <v>71</v>
      </c>
      <c r="AP29" s="2" t="s">
        <v>71</v>
      </c>
      <c r="AQ29" s="2" t="s">
        <v>141</v>
      </c>
      <c r="AR29" s="2" t="s">
        <v>71</v>
      </c>
      <c r="AS29" s="2" t="s">
        <v>141</v>
      </c>
      <c r="AT29" s="2" t="s">
        <v>71</v>
      </c>
      <c r="AU29" s="2" t="s">
        <v>71</v>
      </c>
      <c r="AV29" s="2" t="s">
        <v>71</v>
      </c>
      <c r="AW29" s="2" t="s">
        <v>71</v>
      </c>
      <c r="AX29" s="2" t="s">
        <v>141</v>
      </c>
      <c r="AY29" s="2" t="s">
        <v>71</v>
      </c>
    </row>
    <row r="30" spans="1:51" ht="32" hidden="1">
      <c r="A30" s="11" t="s">
        <v>431</v>
      </c>
      <c r="B30" s="11" t="s">
        <v>71</v>
      </c>
      <c r="C30" s="181" t="s">
        <v>432</v>
      </c>
      <c r="D30" s="181" t="s">
        <v>433</v>
      </c>
      <c r="E30" s="181" t="s">
        <v>434</v>
      </c>
      <c r="F30" s="11" t="s">
        <v>338</v>
      </c>
      <c r="G30" s="11" t="s">
        <v>339</v>
      </c>
      <c r="H30" s="11" t="s">
        <v>383</v>
      </c>
      <c r="L30" s="2" t="s">
        <v>71</v>
      </c>
      <c r="M30" s="2" t="s">
        <v>71</v>
      </c>
      <c r="N30" s="2" t="s">
        <v>71</v>
      </c>
      <c r="O30" s="2" t="s">
        <v>71</v>
      </c>
      <c r="P30" s="2" t="s">
        <v>71</v>
      </c>
      <c r="Q30" s="2" t="s">
        <v>71</v>
      </c>
      <c r="R30" s="2" t="s">
        <v>71</v>
      </c>
      <c r="S30" s="2" t="s">
        <v>71</v>
      </c>
      <c r="T30" s="2" t="s">
        <v>71</v>
      </c>
      <c r="U30" s="2" t="s">
        <v>71</v>
      </c>
      <c r="V30" s="2" t="s">
        <v>71</v>
      </c>
      <c r="W30" s="2" t="s">
        <v>71</v>
      </c>
      <c r="X30" s="2" t="s">
        <v>71</v>
      </c>
      <c r="Y30" s="2" t="s">
        <v>141</v>
      </c>
      <c r="Z30" s="2" t="s">
        <v>71</v>
      </c>
      <c r="AA30" s="2" t="s">
        <v>71</v>
      </c>
      <c r="AB30" s="2" t="s">
        <v>71</v>
      </c>
      <c r="AC30" s="2" t="s">
        <v>71</v>
      </c>
      <c r="AD30" s="2" t="s">
        <v>141</v>
      </c>
      <c r="AE30" s="2" t="s">
        <v>141</v>
      </c>
      <c r="AF30" s="2" t="s">
        <v>71</v>
      </c>
      <c r="AG30" s="2" t="s">
        <v>71</v>
      </c>
      <c r="AH30" s="2" t="s">
        <v>71</v>
      </c>
      <c r="AI30" s="2" t="s">
        <v>71</v>
      </c>
      <c r="AJ30" s="2" t="s">
        <v>141</v>
      </c>
      <c r="AK30" s="2" t="s">
        <v>141</v>
      </c>
      <c r="AL30" s="2" t="s">
        <v>141</v>
      </c>
      <c r="AM30" s="2" t="s">
        <v>71</v>
      </c>
      <c r="AN30" s="2" t="s">
        <v>71</v>
      </c>
      <c r="AO30" s="2" t="s">
        <v>71</v>
      </c>
      <c r="AP30" s="2" t="s">
        <v>71</v>
      </c>
      <c r="AQ30" s="2" t="s">
        <v>141</v>
      </c>
      <c r="AR30" s="2" t="s">
        <v>71</v>
      </c>
      <c r="AS30" s="2" t="s">
        <v>141</v>
      </c>
      <c r="AT30" s="2" t="s">
        <v>71</v>
      </c>
      <c r="AU30" s="2" t="s">
        <v>71</v>
      </c>
      <c r="AV30" s="2" t="s">
        <v>71</v>
      </c>
      <c r="AW30" s="2" t="s">
        <v>71</v>
      </c>
      <c r="AX30" s="2" t="s">
        <v>141</v>
      </c>
      <c r="AY30" s="2" t="s">
        <v>71</v>
      </c>
    </row>
    <row r="31" spans="1:51" ht="16" hidden="1">
      <c r="A31" s="2" t="s">
        <v>358</v>
      </c>
      <c r="B31" s="2" t="s">
        <v>141</v>
      </c>
      <c r="D31" s="4" t="s">
        <v>344</v>
      </c>
      <c r="E31" s="5">
        <v>0.6875</v>
      </c>
      <c r="J31" s="4" t="s">
        <v>435</v>
      </c>
      <c r="L31" s="2" t="s">
        <v>71</v>
      </c>
      <c r="M31" s="2" t="s">
        <v>71</v>
      </c>
      <c r="N31" s="2" t="s">
        <v>71</v>
      </c>
      <c r="O31" s="2" t="s">
        <v>71</v>
      </c>
      <c r="P31" s="2" t="s">
        <v>71</v>
      </c>
      <c r="Q31" s="2" t="s">
        <v>71</v>
      </c>
      <c r="R31" s="2" t="s">
        <v>71</v>
      </c>
      <c r="S31" s="2" t="s">
        <v>71</v>
      </c>
      <c r="T31" s="2" t="s">
        <v>71</v>
      </c>
      <c r="U31" s="2" t="s">
        <v>71</v>
      </c>
      <c r="V31" s="2" t="s">
        <v>71</v>
      </c>
      <c r="W31" s="2" t="s">
        <v>71</v>
      </c>
      <c r="X31" s="2" t="s">
        <v>71</v>
      </c>
      <c r="Y31" s="2" t="s">
        <v>141</v>
      </c>
      <c r="Z31" s="2" t="s">
        <v>71</v>
      </c>
      <c r="AA31" s="2" t="s">
        <v>71</v>
      </c>
      <c r="AB31" s="2" t="s">
        <v>71</v>
      </c>
      <c r="AC31" s="2" t="s">
        <v>71</v>
      </c>
      <c r="AD31" s="2" t="s">
        <v>141</v>
      </c>
      <c r="AE31" s="2" t="s">
        <v>141</v>
      </c>
      <c r="AF31" s="2" t="s">
        <v>71</v>
      </c>
      <c r="AG31" s="2" t="s">
        <v>71</v>
      </c>
      <c r="AH31" s="2" t="s">
        <v>71</v>
      </c>
      <c r="AI31" s="2" t="s">
        <v>71</v>
      </c>
      <c r="AJ31" s="2" t="s">
        <v>141</v>
      </c>
      <c r="AK31" s="2" t="s">
        <v>141</v>
      </c>
      <c r="AL31" s="2" t="s">
        <v>141</v>
      </c>
      <c r="AM31" s="2" t="s">
        <v>71</v>
      </c>
      <c r="AN31" s="2" t="s">
        <v>71</v>
      </c>
      <c r="AO31" s="2" t="s">
        <v>71</v>
      </c>
      <c r="AP31" s="2" t="s">
        <v>71</v>
      </c>
      <c r="AQ31" s="2" t="s">
        <v>141</v>
      </c>
      <c r="AR31" s="2" t="s">
        <v>71</v>
      </c>
      <c r="AS31" s="2" t="s">
        <v>141</v>
      </c>
      <c r="AT31" s="2" t="s">
        <v>71</v>
      </c>
      <c r="AU31" s="2" t="s">
        <v>71</v>
      </c>
      <c r="AV31" s="2" t="s">
        <v>71</v>
      </c>
      <c r="AW31" s="2" t="s">
        <v>71</v>
      </c>
      <c r="AX31" s="2" t="s">
        <v>141</v>
      </c>
      <c r="AY31" s="2" t="s">
        <v>71</v>
      </c>
    </row>
    <row r="32" spans="1:51" ht="16" hidden="1">
      <c r="A32" s="44" t="s">
        <v>436</v>
      </c>
      <c r="B32" s="44" t="s">
        <v>71</v>
      </c>
      <c r="C32" s="45" t="s">
        <v>437</v>
      </c>
      <c r="D32" s="45" t="s">
        <v>438</v>
      </c>
      <c r="E32" s="45" t="s">
        <v>439</v>
      </c>
      <c r="F32" s="44" t="s">
        <v>393</v>
      </c>
      <c r="G32" s="44" t="s">
        <v>339</v>
      </c>
      <c r="H32" s="44" t="s">
        <v>96</v>
      </c>
      <c r="L32" s="2" t="s">
        <v>71</v>
      </c>
      <c r="M32" s="2" t="s">
        <v>71</v>
      </c>
      <c r="N32" s="2" t="s">
        <v>71</v>
      </c>
      <c r="O32" s="2" t="s">
        <v>71</v>
      </c>
      <c r="P32" s="2" t="s">
        <v>71</v>
      </c>
      <c r="Q32" s="2" t="s">
        <v>71</v>
      </c>
      <c r="R32" s="2" t="s">
        <v>71</v>
      </c>
      <c r="S32" s="2" t="s">
        <v>71</v>
      </c>
      <c r="T32" s="2" t="s">
        <v>71</v>
      </c>
      <c r="U32" s="2" t="s">
        <v>71</v>
      </c>
      <c r="V32" s="2" t="s">
        <v>71</v>
      </c>
      <c r="W32" s="2" t="s">
        <v>71</v>
      </c>
      <c r="X32" s="2" t="s">
        <v>71</v>
      </c>
      <c r="Y32" s="2" t="s">
        <v>141</v>
      </c>
      <c r="Z32" s="2" t="s">
        <v>71</v>
      </c>
      <c r="AA32" s="2" t="s">
        <v>71</v>
      </c>
      <c r="AB32" s="2" t="s">
        <v>71</v>
      </c>
      <c r="AC32" s="2" t="s">
        <v>71</v>
      </c>
      <c r="AD32" s="2" t="s">
        <v>141</v>
      </c>
      <c r="AE32" s="2" t="s">
        <v>141</v>
      </c>
      <c r="AF32" s="2" t="s">
        <v>71</v>
      </c>
      <c r="AG32" s="2" t="s">
        <v>71</v>
      </c>
      <c r="AH32" s="2" t="s">
        <v>71</v>
      </c>
      <c r="AI32" s="2" t="s">
        <v>71</v>
      </c>
      <c r="AJ32" s="2" t="s">
        <v>141</v>
      </c>
      <c r="AK32" s="2" t="s">
        <v>141</v>
      </c>
      <c r="AL32" s="2" t="s">
        <v>141</v>
      </c>
      <c r="AM32" s="2" t="s">
        <v>71</v>
      </c>
      <c r="AN32" s="2" t="s">
        <v>71</v>
      </c>
      <c r="AO32" s="2" t="s">
        <v>71</v>
      </c>
      <c r="AP32" s="2" t="s">
        <v>71</v>
      </c>
      <c r="AQ32" s="2" t="s">
        <v>141</v>
      </c>
      <c r="AR32" s="2" t="s">
        <v>71</v>
      </c>
      <c r="AS32" s="2" t="s">
        <v>141</v>
      </c>
      <c r="AT32" s="2" t="s">
        <v>71</v>
      </c>
      <c r="AU32" s="2" t="s">
        <v>71</v>
      </c>
      <c r="AV32" s="2" t="s">
        <v>71</v>
      </c>
      <c r="AW32" s="2" t="s">
        <v>71</v>
      </c>
      <c r="AX32" s="2" t="s">
        <v>141</v>
      </c>
      <c r="AY32" s="2" t="s">
        <v>71</v>
      </c>
    </row>
    <row r="33" spans="1:51" ht="16" hidden="1">
      <c r="A33" s="2" t="s">
        <v>440</v>
      </c>
      <c r="B33" s="2" t="s">
        <v>141</v>
      </c>
      <c r="D33" s="4" t="s">
        <v>344</v>
      </c>
      <c r="E33" s="4" t="s">
        <v>441</v>
      </c>
      <c r="J33" s="4" t="s">
        <v>435</v>
      </c>
      <c r="L33" s="2" t="s">
        <v>71</v>
      </c>
      <c r="M33" s="2" t="s">
        <v>71</v>
      </c>
      <c r="N33" s="2" t="s">
        <v>71</v>
      </c>
      <c r="O33" s="2" t="s">
        <v>71</v>
      </c>
      <c r="P33" s="2" t="s">
        <v>71</v>
      </c>
      <c r="Q33" s="2" t="s">
        <v>71</v>
      </c>
      <c r="R33" s="2" t="s">
        <v>71</v>
      </c>
      <c r="S33" s="2" t="s">
        <v>71</v>
      </c>
      <c r="T33" s="2" t="s">
        <v>71</v>
      </c>
      <c r="U33" s="2" t="s">
        <v>71</v>
      </c>
      <c r="V33" s="2" t="s">
        <v>71</v>
      </c>
      <c r="W33" s="2" t="s">
        <v>71</v>
      </c>
      <c r="X33" s="2" t="s">
        <v>71</v>
      </c>
      <c r="Y33" s="2" t="s">
        <v>141</v>
      </c>
      <c r="Z33" s="2" t="s">
        <v>71</v>
      </c>
      <c r="AA33" s="2" t="s">
        <v>71</v>
      </c>
      <c r="AB33" s="2" t="s">
        <v>71</v>
      </c>
      <c r="AC33" s="2" t="s">
        <v>71</v>
      </c>
      <c r="AD33" s="2" t="s">
        <v>141</v>
      </c>
      <c r="AE33" s="2" t="s">
        <v>141</v>
      </c>
      <c r="AF33" s="2" t="s">
        <v>71</v>
      </c>
      <c r="AG33" s="2" t="s">
        <v>71</v>
      </c>
      <c r="AH33" s="2" t="s">
        <v>71</v>
      </c>
      <c r="AI33" s="2" t="s">
        <v>71</v>
      </c>
      <c r="AJ33" s="2" t="s">
        <v>141</v>
      </c>
      <c r="AK33" s="2" t="s">
        <v>141</v>
      </c>
      <c r="AL33" s="2" t="s">
        <v>141</v>
      </c>
      <c r="AM33" s="2" t="s">
        <v>71</v>
      </c>
      <c r="AN33" s="2" t="s">
        <v>71</v>
      </c>
      <c r="AO33" s="2" t="s">
        <v>71</v>
      </c>
      <c r="AP33" s="2" t="s">
        <v>71</v>
      </c>
      <c r="AQ33" s="2" t="s">
        <v>141</v>
      </c>
      <c r="AR33" s="2" t="s">
        <v>71</v>
      </c>
      <c r="AS33" s="2" t="s">
        <v>141</v>
      </c>
      <c r="AT33" s="2" t="s">
        <v>71</v>
      </c>
      <c r="AU33" s="2" t="s">
        <v>71</v>
      </c>
      <c r="AV33" s="2" t="s">
        <v>71</v>
      </c>
      <c r="AW33" s="2" t="s">
        <v>71</v>
      </c>
      <c r="AX33" s="2" t="s">
        <v>141</v>
      </c>
      <c r="AY33" s="2" t="s">
        <v>71</v>
      </c>
    </row>
    <row r="34" spans="1:51" ht="16" hidden="1">
      <c r="A34" s="2" t="s">
        <v>440</v>
      </c>
      <c r="B34" s="2" t="s">
        <v>141</v>
      </c>
      <c r="D34" s="4" t="s">
        <v>344</v>
      </c>
      <c r="E34" s="4" t="s">
        <v>442</v>
      </c>
      <c r="J34" s="4" t="s">
        <v>435</v>
      </c>
      <c r="L34" s="2" t="s">
        <v>71</v>
      </c>
      <c r="M34" s="2" t="s">
        <v>71</v>
      </c>
      <c r="N34" s="2" t="s">
        <v>71</v>
      </c>
      <c r="O34" s="2" t="s">
        <v>71</v>
      </c>
      <c r="P34" s="2" t="s">
        <v>71</v>
      </c>
      <c r="Q34" s="2" t="s">
        <v>71</v>
      </c>
      <c r="R34" s="2" t="s">
        <v>71</v>
      </c>
      <c r="S34" s="2" t="s">
        <v>71</v>
      </c>
      <c r="T34" s="2" t="s">
        <v>71</v>
      </c>
      <c r="U34" s="2" t="s">
        <v>71</v>
      </c>
      <c r="V34" s="2" t="s">
        <v>71</v>
      </c>
      <c r="W34" s="2" t="s">
        <v>71</v>
      </c>
      <c r="X34" s="2" t="s">
        <v>71</v>
      </c>
      <c r="Y34" s="2" t="s">
        <v>141</v>
      </c>
      <c r="Z34" s="2" t="s">
        <v>71</v>
      </c>
      <c r="AA34" s="2" t="s">
        <v>71</v>
      </c>
      <c r="AB34" s="2" t="s">
        <v>71</v>
      </c>
      <c r="AC34" s="2" t="s">
        <v>71</v>
      </c>
      <c r="AD34" s="2" t="s">
        <v>141</v>
      </c>
      <c r="AE34" s="2" t="s">
        <v>141</v>
      </c>
      <c r="AF34" s="2" t="s">
        <v>71</v>
      </c>
      <c r="AG34" s="2" t="s">
        <v>71</v>
      </c>
      <c r="AH34" s="2" t="s">
        <v>71</v>
      </c>
      <c r="AI34" s="2" t="s">
        <v>71</v>
      </c>
      <c r="AJ34" s="2" t="s">
        <v>141</v>
      </c>
      <c r="AK34" s="2" t="s">
        <v>141</v>
      </c>
      <c r="AL34" s="2" t="s">
        <v>141</v>
      </c>
      <c r="AM34" s="2" t="s">
        <v>71</v>
      </c>
      <c r="AN34" s="2" t="s">
        <v>71</v>
      </c>
      <c r="AO34" s="2" t="s">
        <v>71</v>
      </c>
      <c r="AP34" s="2" t="s">
        <v>71</v>
      </c>
      <c r="AQ34" s="2" t="s">
        <v>141</v>
      </c>
      <c r="AR34" s="2" t="s">
        <v>71</v>
      </c>
      <c r="AS34" s="2" t="s">
        <v>141</v>
      </c>
      <c r="AT34" s="2" t="s">
        <v>71</v>
      </c>
      <c r="AU34" s="2" t="s">
        <v>71</v>
      </c>
      <c r="AV34" s="2" t="s">
        <v>71</v>
      </c>
      <c r="AW34" s="2" t="s">
        <v>71</v>
      </c>
      <c r="AX34" s="2" t="s">
        <v>141</v>
      </c>
      <c r="AY34" s="2" t="s">
        <v>71</v>
      </c>
    </row>
    <row r="35" spans="1:51" ht="16" hidden="1">
      <c r="A35" s="2" t="s">
        <v>440</v>
      </c>
      <c r="B35" s="2" t="s">
        <v>141</v>
      </c>
      <c r="D35" s="4" t="s">
        <v>344</v>
      </c>
      <c r="E35" s="4" t="s">
        <v>443</v>
      </c>
      <c r="J35" s="4" t="s">
        <v>435</v>
      </c>
      <c r="L35" s="2" t="s">
        <v>71</v>
      </c>
      <c r="M35" s="2" t="s">
        <v>71</v>
      </c>
      <c r="N35" s="2" t="s">
        <v>71</v>
      </c>
      <c r="O35" s="2" t="s">
        <v>71</v>
      </c>
      <c r="P35" s="2" t="s">
        <v>71</v>
      </c>
      <c r="Q35" s="2" t="s">
        <v>71</v>
      </c>
      <c r="R35" s="2" t="s">
        <v>71</v>
      </c>
      <c r="S35" s="2" t="s">
        <v>71</v>
      </c>
      <c r="T35" s="2" t="s">
        <v>71</v>
      </c>
      <c r="U35" s="2" t="s">
        <v>71</v>
      </c>
      <c r="V35" s="2" t="s">
        <v>71</v>
      </c>
      <c r="W35" s="2" t="s">
        <v>71</v>
      </c>
      <c r="X35" s="2" t="s">
        <v>71</v>
      </c>
      <c r="Y35" s="2" t="s">
        <v>141</v>
      </c>
      <c r="Z35" s="2" t="s">
        <v>71</v>
      </c>
      <c r="AA35" s="2" t="s">
        <v>71</v>
      </c>
      <c r="AB35" s="2" t="s">
        <v>71</v>
      </c>
      <c r="AC35" s="2" t="s">
        <v>71</v>
      </c>
      <c r="AD35" s="2" t="s">
        <v>141</v>
      </c>
      <c r="AE35" s="2" t="s">
        <v>141</v>
      </c>
      <c r="AF35" s="2" t="s">
        <v>71</v>
      </c>
      <c r="AG35" s="2" t="s">
        <v>71</v>
      </c>
      <c r="AH35" s="2" t="s">
        <v>71</v>
      </c>
      <c r="AI35" s="2" t="s">
        <v>71</v>
      </c>
      <c r="AJ35" s="2" t="s">
        <v>141</v>
      </c>
      <c r="AK35" s="2" t="s">
        <v>141</v>
      </c>
      <c r="AL35" s="2" t="s">
        <v>141</v>
      </c>
      <c r="AM35" s="2" t="s">
        <v>71</v>
      </c>
      <c r="AN35" s="2" t="s">
        <v>71</v>
      </c>
      <c r="AO35" s="2" t="s">
        <v>71</v>
      </c>
      <c r="AP35" s="2" t="s">
        <v>71</v>
      </c>
      <c r="AQ35" s="2" t="s">
        <v>141</v>
      </c>
      <c r="AR35" s="2" t="s">
        <v>71</v>
      </c>
      <c r="AS35" s="2" t="s">
        <v>141</v>
      </c>
      <c r="AT35" s="2" t="s">
        <v>71</v>
      </c>
      <c r="AU35" s="2" t="s">
        <v>71</v>
      </c>
      <c r="AV35" s="2" t="s">
        <v>71</v>
      </c>
      <c r="AW35" s="2" t="s">
        <v>71</v>
      </c>
      <c r="AX35" s="2" t="s">
        <v>141</v>
      </c>
      <c r="AY35" s="2" t="s">
        <v>71</v>
      </c>
    </row>
    <row r="36" spans="1:51" s="44" customFormat="1" ht="48" hidden="1">
      <c r="A36" s="44" t="s">
        <v>444</v>
      </c>
      <c r="B36" s="44" t="s">
        <v>141</v>
      </c>
      <c r="C36" s="45" t="s">
        <v>445</v>
      </c>
      <c r="D36" s="45" t="s">
        <v>446</v>
      </c>
      <c r="E36" s="45" t="s">
        <v>447</v>
      </c>
      <c r="F36" s="44" t="s">
        <v>246</v>
      </c>
      <c r="G36" s="44" t="s">
        <v>339</v>
      </c>
      <c r="J36" s="45" t="s">
        <v>448</v>
      </c>
      <c r="K36" s="45"/>
      <c r="L36" s="44" t="s">
        <v>141</v>
      </c>
      <c r="M36" s="44" t="s">
        <v>141</v>
      </c>
      <c r="N36" s="44" t="s">
        <v>141</v>
      </c>
      <c r="O36" s="44" t="s">
        <v>141</v>
      </c>
      <c r="P36" s="44" t="s">
        <v>71</v>
      </c>
      <c r="Q36" s="44" t="s">
        <v>141</v>
      </c>
      <c r="R36" s="44" t="s">
        <v>71</v>
      </c>
      <c r="S36" s="44" t="s">
        <v>141</v>
      </c>
      <c r="T36" s="44" t="s">
        <v>141</v>
      </c>
      <c r="U36" s="44" t="s">
        <v>141</v>
      </c>
      <c r="V36" s="44" t="s">
        <v>141</v>
      </c>
      <c r="W36" s="44" t="s">
        <v>141</v>
      </c>
      <c r="X36" s="44" t="s">
        <v>141</v>
      </c>
      <c r="Y36" s="44" t="s">
        <v>141</v>
      </c>
      <c r="Z36" s="44" t="s">
        <v>141</v>
      </c>
      <c r="AA36" s="44" t="s">
        <v>141</v>
      </c>
      <c r="AB36" s="44" t="s">
        <v>141</v>
      </c>
      <c r="AC36" s="44" t="s">
        <v>141</v>
      </c>
      <c r="AD36" s="44" t="s">
        <v>141</v>
      </c>
      <c r="AE36" s="44" t="s">
        <v>141</v>
      </c>
      <c r="AF36" s="44" t="s">
        <v>141</v>
      </c>
      <c r="AG36" s="44" t="s">
        <v>141</v>
      </c>
      <c r="AH36" s="44" t="s">
        <v>141</v>
      </c>
      <c r="AI36" s="44" t="s">
        <v>141</v>
      </c>
      <c r="AJ36" s="44" t="s">
        <v>141</v>
      </c>
      <c r="AK36" s="44" t="s">
        <v>141</v>
      </c>
      <c r="AL36" s="44" t="s">
        <v>141</v>
      </c>
      <c r="AM36" s="44" t="s">
        <v>141</v>
      </c>
      <c r="AN36" s="44" t="s">
        <v>141</v>
      </c>
      <c r="AO36" s="44" t="s">
        <v>141</v>
      </c>
      <c r="AP36" s="44" t="s">
        <v>141</v>
      </c>
      <c r="AQ36" s="44" t="s">
        <v>141</v>
      </c>
      <c r="AR36" s="44" t="s">
        <v>71</v>
      </c>
      <c r="AS36" s="44" t="s">
        <v>141</v>
      </c>
      <c r="AT36" s="44" t="s">
        <v>71</v>
      </c>
      <c r="AU36" s="44" t="s">
        <v>141</v>
      </c>
      <c r="AV36" s="44" t="s">
        <v>141</v>
      </c>
      <c r="AW36" s="44" t="s">
        <v>141</v>
      </c>
      <c r="AX36" s="44" t="s">
        <v>141</v>
      </c>
      <c r="AY36" s="44" t="s">
        <v>141</v>
      </c>
    </row>
    <row r="37" spans="1:51" ht="16" hidden="1">
      <c r="A37" s="2" t="s">
        <v>449</v>
      </c>
      <c r="B37" s="2" t="s">
        <v>141</v>
      </c>
      <c r="D37" s="4" t="s">
        <v>344</v>
      </c>
      <c r="E37" s="4" t="s">
        <v>332</v>
      </c>
      <c r="J37" s="4" t="s">
        <v>333</v>
      </c>
      <c r="L37" s="2" t="s">
        <v>141</v>
      </c>
      <c r="M37" s="2" t="s">
        <v>141</v>
      </c>
      <c r="N37" s="2" t="s">
        <v>141</v>
      </c>
      <c r="O37" s="2" t="s">
        <v>141</v>
      </c>
      <c r="P37" s="2" t="s">
        <v>141</v>
      </c>
      <c r="Q37" s="2" t="s">
        <v>141</v>
      </c>
      <c r="R37" s="2" t="s">
        <v>141</v>
      </c>
      <c r="S37" s="2" t="s">
        <v>141</v>
      </c>
      <c r="T37" s="2" t="s">
        <v>141</v>
      </c>
      <c r="U37" s="2" t="s">
        <v>141</v>
      </c>
      <c r="V37" s="2" t="s">
        <v>141</v>
      </c>
      <c r="W37" s="2" t="s">
        <v>141</v>
      </c>
      <c r="X37" s="2" t="s">
        <v>141</v>
      </c>
      <c r="Y37" s="2" t="s">
        <v>141</v>
      </c>
      <c r="Z37" s="2" t="s">
        <v>141</v>
      </c>
      <c r="AA37" s="2" t="s">
        <v>141</v>
      </c>
      <c r="AB37" s="2" t="s">
        <v>141</v>
      </c>
      <c r="AC37" s="2" t="s">
        <v>141</v>
      </c>
      <c r="AD37" s="2" t="s">
        <v>141</v>
      </c>
      <c r="AE37" s="2" t="s">
        <v>141</v>
      </c>
      <c r="AF37" s="2" t="s">
        <v>141</v>
      </c>
      <c r="AG37" s="2" t="s">
        <v>141</v>
      </c>
      <c r="AH37" s="2" t="s">
        <v>141</v>
      </c>
      <c r="AI37" s="2" t="s">
        <v>141</v>
      </c>
      <c r="AJ37" s="2" t="s">
        <v>141</v>
      </c>
      <c r="AK37" s="2" t="s">
        <v>141</v>
      </c>
      <c r="AL37" s="2" t="s">
        <v>141</v>
      </c>
      <c r="AM37" s="2" t="s">
        <v>141</v>
      </c>
      <c r="AN37" s="2" t="s">
        <v>141</v>
      </c>
      <c r="AO37" s="2" t="s">
        <v>141</v>
      </c>
      <c r="AP37" s="2" t="s">
        <v>141</v>
      </c>
      <c r="AQ37" s="2" t="s">
        <v>141</v>
      </c>
      <c r="AR37" s="2" t="s">
        <v>141</v>
      </c>
      <c r="AS37" s="2" t="s">
        <v>141</v>
      </c>
      <c r="AT37" s="2" t="s">
        <v>141</v>
      </c>
      <c r="AU37" s="2" t="s">
        <v>141</v>
      </c>
      <c r="AV37" s="2" t="s">
        <v>141</v>
      </c>
      <c r="AW37" s="2" t="s">
        <v>141</v>
      </c>
      <c r="AX37" s="2" t="s">
        <v>141</v>
      </c>
      <c r="AY37" s="2" t="s">
        <v>141</v>
      </c>
    </row>
    <row r="38" spans="1:51" ht="16" hidden="1">
      <c r="A38" s="2" t="s">
        <v>450</v>
      </c>
      <c r="B38" s="2" t="s">
        <v>141</v>
      </c>
      <c r="D38" s="4" t="s">
        <v>344</v>
      </c>
      <c r="E38" s="4" t="s">
        <v>332</v>
      </c>
      <c r="J38" s="4" t="s">
        <v>333</v>
      </c>
      <c r="L38" s="2" t="s">
        <v>141</v>
      </c>
      <c r="M38" s="2" t="s">
        <v>141</v>
      </c>
      <c r="N38" s="2" t="s">
        <v>141</v>
      </c>
      <c r="O38" s="2" t="s">
        <v>141</v>
      </c>
      <c r="P38" s="2" t="s">
        <v>141</v>
      </c>
      <c r="Q38" s="2" t="s">
        <v>141</v>
      </c>
      <c r="R38" s="2" t="s">
        <v>141</v>
      </c>
      <c r="S38" s="2" t="s">
        <v>141</v>
      </c>
      <c r="T38" s="2" t="s">
        <v>141</v>
      </c>
      <c r="U38" s="2" t="s">
        <v>141</v>
      </c>
      <c r="V38" s="2" t="s">
        <v>141</v>
      </c>
      <c r="W38" s="2" t="s">
        <v>141</v>
      </c>
      <c r="X38" s="2" t="s">
        <v>141</v>
      </c>
      <c r="Y38" s="2" t="s">
        <v>141</v>
      </c>
      <c r="Z38" s="2" t="s">
        <v>141</v>
      </c>
      <c r="AA38" s="2" t="s">
        <v>141</v>
      </c>
      <c r="AB38" s="2" t="s">
        <v>141</v>
      </c>
      <c r="AC38" s="2" t="s">
        <v>141</v>
      </c>
      <c r="AD38" s="2" t="s">
        <v>141</v>
      </c>
      <c r="AE38" s="2" t="s">
        <v>141</v>
      </c>
      <c r="AF38" s="2" t="s">
        <v>141</v>
      </c>
      <c r="AG38" s="2" t="s">
        <v>141</v>
      </c>
      <c r="AH38" s="2" t="s">
        <v>141</v>
      </c>
      <c r="AI38" s="2" t="s">
        <v>141</v>
      </c>
      <c r="AJ38" s="2" t="s">
        <v>141</v>
      </c>
      <c r="AK38" s="2" t="s">
        <v>141</v>
      </c>
      <c r="AL38" s="2" t="s">
        <v>141</v>
      </c>
      <c r="AM38" s="2" t="s">
        <v>141</v>
      </c>
      <c r="AN38" s="2" t="s">
        <v>141</v>
      </c>
      <c r="AO38" s="2" t="s">
        <v>141</v>
      </c>
      <c r="AP38" s="2" t="s">
        <v>141</v>
      </c>
      <c r="AQ38" s="2" t="s">
        <v>141</v>
      </c>
      <c r="AR38" s="2" t="s">
        <v>141</v>
      </c>
      <c r="AS38" s="2" t="s">
        <v>141</v>
      </c>
      <c r="AT38" s="2" t="s">
        <v>141</v>
      </c>
      <c r="AU38" s="2" t="s">
        <v>141</v>
      </c>
      <c r="AV38" s="2" t="s">
        <v>141</v>
      </c>
      <c r="AW38" s="2" t="s">
        <v>141</v>
      </c>
      <c r="AX38" s="2" t="s">
        <v>141</v>
      </c>
      <c r="AY38" s="2" t="s">
        <v>141</v>
      </c>
    </row>
    <row r="39" spans="1:51" ht="16" hidden="1">
      <c r="A39" s="2" t="s">
        <v>451</v>
      </c>
      <c r="B39" s="2" t="s">
        <v>141</v>
      </c>
      <c r="D39" s="4" t="s">
        <v>344</v>
      </c>
      <c r="E39" s="4" t="s">
        <v>332</v>
      </c>
      <c r="J39" s="4" t="s">
        <v>333</v>
      </c>
      <c r="L39" s="2" t="s">
        <v>71</v>
      </c>
      <c r="M39" s="2" t="s">
        <v>141</v>
      </c>
      <c r="N39" s="2" t="s">
        <v>71</v>
      </c>
      <c r="O39" s="2" t="s">
        <v>71</v>
      </c>
      <c r="P39" s="2" t="s">
        <v>141</v>
      </c>
      <c r="Q39" s="2" t="s">
        <v>71</v>
      </c>
      <c r="R39" s="2" t="s">
        <v>141</v>
      </c>
      <c r="S39" s="2" t="s">
        <v>71</v>
      </c>
      <c r="T39" s="2" t="s">
        <v>71</v>
      </c>
      <c r="U39" s="2" t="s">
        <v>71</v>
      </c>
      <c r="V39" s="2" t="s">
        <v>71</v>
      </c>
      <c r="W39" s="2" t="s">
        <v>71</v>
      </c>
      <c r="X39" s="2" t="s">
        <v>71</v>
      </c>
      <c r="Y39" s="2" t="s">
        <v>141</v>
      </c>
      <c r="Z39" s="2" t="s">
        <v>71</v>
      </c>
      <c r="AA39" s="2" t="s">
        <v>71</v>
      </c>
      <c r="AB39" s="2" t="s">
        <v>71</v>
      </c>
      <c r="AC39" s="2" t="s">
        <v>71</v>
      </c>
      <c r="AD39" s="2" t="s">
        <v>141</v>
      </c>
      <c r="AE39" s="2" t="s">
        <v>141</v>
      </c>
      <c r="AF39" s="2" t="s">
        <v>71</v>
      </c>
      <c r="AG39" s="2" t="s">
        <v>71</v>
      </c>
      <c r="AH39" s="2" t="s">
        <v>71</v>
      </c>
      <c r="AI39" s="2" t="s">
        <v>71</v>
      </c>
      <c r="AJ39" s="2" t="s">
        <v>141</v>
      </c>
      <c r="AK39" s="2" t="s">
        <v>141</v>
      </c>
      <c r="AL39" s="2" t="s">
        <v>141</v>
      </c>
      <c r="AM39" s="2" t="s">
        <v>71</v>
      </c>
      <c r="AN39" s="2" t="s">
        <v>71</v>
      </c>
      <c r="AO39" s="2" t="s">
        <v>71</v>
      </c>
      <c r="AP39" s="2" t="s">
        <v>71</v>
      </c>
      <c r="AQ39" s="2" t="s">
        <v>141</v>
      </c>
      <c r="AR39" s="2" t="s">
        <v>71</v>
      </c>
      <c r="AS39" s="2" t="s">
        <v>141</v>
      </c>
      <c r="AT39" s="2" t="s">
        <v>141</v>
      </c>
      <c r="AU39" s="2" t="s">
        <v>71</v>
      </c>
      <c r="AV39" s="2" t="s">
        <v>71</v>
      </c>
      <c r="AW39" s="2" t="s">
        <v>71</v>
      </c>
      <c r="AX39" s="2" t="s">
        <v>141</v>
      </c>
      <c r="AY39" s="2" t="s">
        <v>71</v>
      </c>
    </row>
    <row r="40" spans="1:51" ht="16" hidden="1">
      <c r="A40" s="2" t="s">
        <v>452</v>
      </c>
      <c r="B40" s="2" t="s">
        <v>141</v>
      </c>
      <c r="D40" s="4" t="s">
        <v>344</v>
      </c>
      <c r="E40" s="4" t="s">
        <v>332</v>
      </c>
      <c r="J40" s="4" t="s">
        <v>333</v>
      </c>
      <c r="L40" s="2" t="s">
        <v>71</v>
      </c>
      <c r="M40" s="2" t="s">
        <v>141</v>
      </c>
      <c r="N40" s="2" t="s">
        <v>71</v>
      </c>
      <c r="O40" s="2" t="s">
        <v>71</v>
      </c>
      <c r="P40" s="2" t="s">
        <v>141</v>
      </c>
      <c r="Q40" s="2" t="s">
        <v>71</v>
      </c>
      <c r="R40" s="2" t="s">
        <v>141</v>
      </c>
      <c r="S40" s="2" t="s">
        <v>71</v>
      </c>
      <c r="T40" s="2" t="s">
        <v>71</v>
      </c>
      <c r="U40" s="2" t="s">
        <v>71</v>
      </c>
      <c r="V40" s="2" t="s">
        <v>71</v>
      </c>
      <c r="W40" s="2" t="s">
        <v>71</v>
      </c>
      <c r="X40" s="2" t="s">
        <v>71</v>
      </c>
      <c r="Y40" s="2" t="s">
        <v>141</v>
      </c>
      <c r="Z40" s="2" t="s">
        <v>71</v>
      </c>
      <c r="AA40" s="2" t="s">
        <v>71</v>
      </c>
      <c r="AB40" s="2" t="s">
        <v>71</v>
      </c>
      <c r="AC40" s="2" t="s">
        <v>71</v>
      </c>
      <c r="AD40" s="2" t="s">
        <v>141</v>
      </c>
      <c r="AE40" s="2" t="s">
        <v>141</v>
      </c>
      <c r="AF40" s="2" t="s">
        <v>71</v>
      </c>
      <c r="AG40" s="2" t="s">
        <v>71</v>
      </c>
      <c r="AH40" s="2" t="s">
        <v>71</v>
      </c>
      <c r="AI40" s="2" t="s">
        <v>71</v>
      </c>
      <c r="AJ40" s="2" t="s">
        <v>141</v>
      </c>
      <c r="AK40" s="2" t="s">
        <v>141</v>
      </c>
      <c r="AL40" s="2" t="s">
        <v>141</v>
      </c>
      <c r="AM40" s="2" t="s">
        <v>71</v>
      </c>
      <c r="AN40" s="2" t="s">
        <v>71</v>
      </c>
      <c r="AO40" s="2" t="s">
        <v>71</v>
      </c>
      <c r="AP40" s="2" t="s">
        <v>71</v>
      </c>
      <c r="AQ40" s="2" t="s">
        <v>141</v>
      </c>
      <c r="AR40" s="2" t="s">
        <v>71</v>
      </c>
      <c r="AS40" s="2" t="s">
        <v>141</v>
      </c>
      <c r="AT40" s="2" t="s">
        <v>141</v>
      </c>
      <c r="AU40" s="2" t="s">
        <v>71</v>
      </c>
      <c r="AV40" s="2" t="s">
        <v>71</v>
      </c>
      <c r="AW40" s="2" t="s">
        <v>71</v>
      </c>
      <c r="AX40" s="2" t="s">
        <v>141</v>
      </c>
      <c r="AY40" s="2" t="s">
        <v>71</v>
      </c>
    </row>
    <row r="41" spans="1:51" ht="32" hidden="1">
      <c r="A41" s="44" t="s">
        <v>453</v>
      </c>
      <c r="B41" s="44" t="s">
        <v>71</v>
      </c>
      <c r="C41" s="45" t="s">
        <v>454</v>
      </c>
      <c r="D41" s="45" t="s">
        <v>455</v>
      </c>
      <c r="E41" s="45" t="s">
        <v>361</v>
      </c>
      <c r="F41" s="44" t="s">
        <v>393</v>
      </c>
      <c r="G41" s="44" t="s">
        <v>339</v>
      </c>
      <c r="H41" s="44" t="s">
        <v>96</v>
      </c>
      <c r="L41" s="2" t="s">
        <v>71</v>
      </c>
      <c r="M41" s="2" t="s">
        <v>71</v>
      </c>
      <c r="N41" s="2" t="s">
        <v>71</v>
      </c>
      <c r="O41" s="2" t="s">
        <v>71</v>
      </c>
      <c r="P41" s="2" t="s">
        <v>71</v>
      </c>
      <c r="Q41" s="2" t="s">
        <v>71</v>
      </c>
      <c r="R41" s="2" t="s">
        <v>71</v>
      </c>
      <c r="S41" s="2" t="s">
        <v>71</v>
      </c>
      <c r="T41" s="2" t="s">
        <v>71</v>
      </c>
      <c r="U41" s="2" t="s">
        <v>71</v>
      </c>
      <c r="V41" s="2" t="s">
        <v>71</v>
      </c>
      <c r="W41" s="2" t="s">
        <v>71</v>
      </c>
      <c r="X41" s="2" t="s">
        <v>71</v>
      </c>
      <c r="Y41" s="2" t="s">
        <v>141</v>
      </c>
      <c r="Z41" s="2" t="s">
        <v>71</v>
      </c>
      <c r="AA41" s="2" t="s">
        <v>71</v>
      </c>
      <c r="AB41" s="2" t="s">
        <v>71</v>
      </c>
      <c r="AC41" s="2" t="s">
        <v>71</v>
      </c>
      <c r="AD41" s="2" t="s">
        <v>141</v>
      </c>
      <c r="AE41" s="2" t="s">
        <v>141</v>
      </c>
      <c r="AF41" s="2" t="s">
        <v>71</v>
      </c>
      <c r="AG41" s="2" t="s">
        <v>71</v>
      </c>
      <c r="AH41" s="2" t="s">
        <v>71</v>
      </c>
      <c r="AI41" s="2" t="s">
        <v>71</v>
      </c>
      <c r="AJ41" s="2" t="s">
        <v>141</v>
      </c>
      <c r="AK41" s="2" t="s">
        <v>141</v>
      </c>
      <c r="AL41" s="2" t="s">
        <v>141</v>
      </c>
      <c r="AM41" s="2" t="s">
        <v>71</v>
      </c>
      <c r="AN41" s="2" t="s">
        <v>71</v>
      </c>
      <c r="AO41" s="2" t="s">
        <v>71</v>
      </c>
      <c r="AP41" s="2" t="s">
        <v>71</v>
      </c>
      <c r="AQ41" s="2" t="s">
        <v>141</v>
      </c>
      <c r="AR41" s="2" t="s">
        <v>71</v>
      </c>
      <c r="AS41" s="2" t="s">
        <v>141</v>
      </c>
      <c r="AT41" s="2" t="s">
        <v>71</v>
      </c>
      <c r="AU41" s="2" t="s">
        <v>71</v>
      </c>
      <c r="AV41" s="2" t="s">
        <v>71</v>
      </c>
      <c r="AW41" s="2" t="s">
        <v>71</v>
      </c>
      <c r="AX41" s="2" t="s">
        <v>141</v>
      </c>
      <c r="AY41" s="2" t="s">
        <v>71</v>
      </c>
    </row>
    <row r="42" spans="1:51" ht="16" hidden="1">
      <c r="A42" s="2" t="s">
        <v>456</v>
      </c>
      <c r="B42" s="2" t="s">
        <v>141</v>
      </c>
      <c r="D42" s="4" t="s">
        <v>344</v>
      </c>
      <c r="E42" s="4" t="s">
        <v>332</v>
      </c>
      <c r="J42" s="4" t="s">
        <v>333</v>
      </c>
      <c r="L42" s="2" t="s">
        <v>141</v>
      </c>
      <c r="M42" s="2" t="s">
        <v>141</v>
      </c>
      <c r="N42" s="2" t="s">
        <v>141</v>
      </c>
      <c r="O42" s="2" t="s">
        <v>141</v>
      </c>
      <c r="P42" s="2" t="s">
        <v>141</v>
      </c>
      <c r="Q42" s="2" t="s">
        <v>141</v>
      </c>
      <c r="R42" s="2" t="s">
        <v>141</v>
      </c>
      <c r="S42" s="2" t="s">
        <v>141</v>
      </c>
      <c r="T42" s="2" t="s">
        <v>141</v>
      </c>
      <c r="U42" s="2" t="s">
        <v>141</v>
      </c>
      <c r="V42" s="2" t="s">
        <v>141</v>
      </c>
      <c r="W42" s="2" t="s">
        <v>141</v>
      </c>
      <c r="X42" s="2" t="s">
        <v>141</v>
      </c>
      <c r="Y42" s="2" t="s">
        <v>141</v>
      </c>
      <c r="Z42" s="2" t="s">
        <v>141</v>
      </c>
      <c r="AA42" s="2" t="s">
        <v>141</v>
      </c>
      <c r="AB42" s="2" t="s">
        <v>141</v>
      </c>
      <c r="AC42" s="2" t="s">
        <v>141</v>
      </c>
      <c r="AD42" s="2" t="s">
        <v>141</v>
      </c>
      <c r="AE42" s="2" t="s">
        <v>141</v>
      </c>
      <c r="AF42" s="2" t="s">
        <v>141</v>
      </c>
      <c r="AG42" s="2" t="s">
        <v>141</v>
      </c>
      <c r="AH42" s="2" t="s">
        <v>141</v>
      </c>
      <c r="AI42" s="2" t="s">
        <v>141</v>
      </c>
      <c r="AJ42" s="2" t="s">
        <v>141</v>
      </c>
      <c r="AK42" s="2" t="s">
        <v>141</v>
      </c>
      <c r="AL42" s="2" t="s">
        <v>141</v>
      </c>
      <c r="AM42" s="2" t="s">
        <v>141</v>
      </c>
      <c r="AN42" s="2" t="s">
        <v>141</v>
      </c>
      <c r="AO42" s="2" t="s">
        <v>141</v>
      </c>
      <c r="AP42" s="2" t="s">
        <v>141</v>
      </c>
      <c r="AQ42" s="2" t="s">
        <v>141</v>
      </c>
      <c r="AR42" s="2" t="s">
        <v>141</v>
      </c>
      <c r="AS42" s="2" t="s">
        <v>141</v>
      </c>
      <c r="AT42" s="2" t="s">
        <v>141</v>
      </c>
      <c r="AU42" s="2" t="s">
        <v>141</v>
      </c>
      <c r="AV42" s="2" t="s">
        <v>141</v>
      </c>
      <c r="AW42" s="2" t="s">
        <v>141</v>
      </c>
      <c r="AX42" s="2" t="s">
        <v>141</v>
      </c>
      <c r="AY42" s="2" t="s">
        <v>141</v>
      </c>
    </row>
    <row r="43" spans="1:51" ht="16" hidden="1" customHeight="1">
      <c r="A43" s="2" t="s">
        <v>457</v>
      </c>
      <c r="B43" s="2" t="s">
        <v>71</v>
      </c>
      <c r="C43" s="4" t="s">
        <v>458</v>
      </c>
      <c r="D43" s="4" t="s">
        <v>459</v>
      </c>
      <c r="E43" s="4" t="s">
        <v>403</v>
      </c>
      <c r="F43" s="2" t="s">
        <v>338</v>
      </c>
      <c r="G43" s="2" t="s">
        <v>342</v>
      </c>
      <c r="H43" s="2" t="s">
        <v>340</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141</v>
      </c>
      <c r="Z43" s="2" t="s">
        <v>71</v>
      </c>
      <c r="AA43" s="2" t="s">
        <v>71</v>
      </c>
      <c r="AB43" s="2" t="s">
        <v>71</v>
      </c>
      <c r="AC43" s="2" t="s">
        <v>71</v>
      </c>
      <c r="AD43" s="2" t="s">
        <v>141</v>
      </c>
      <c r="AE43" s="2" t="s">
        <v>141</v>
      </c>
      <c r="AF43" s="2" t="s">
        <v>71</v>
      </c>
      <c r="AG43" s="2" t="s">
        <v>71</v>
      </c>
      <c r="AH43" s="2" t="s">
        <v>71</v>
      </c>
      <c r="AI43" s="2" t="s">
        <v>71</v>
      </c>
      <c r="AJ43" s="2" t="s">
        <v>141</v>
      </c>
      <c r="AK43" s="2" t="s">
        <v>141</v>
      </c>
      <c r="AL43" s="2" t="s">
        <v>141</v>
      </c>
      <c r="AM43" s="2" t="s">
        <v>71</v>
      </c>
      <c r="AN43" s="2" t="s">
        <v>71</v>
      </c>
      <c r="AO43" s="2" t="s">
        <v>71</v>
      </c>
      <c r="AP43" s="2" t="s">
        <v>71</v>
      </c>
      <c r="AQ43" s="2" t="s">
        <v>141</v>
      </c>
      <c r="AR43" s="2" t="s">
        <v>71</v>
      </c>
      <c r="AS43" s="2" t="s">
        <v>141</v>
      </c>
      <c r="AT43" s="2" t="s">
        <v>71</v>
      </c>
      <c r="AU43" s="2" t="s">
        <v>71</v>
      </c>
      <c r="AV43" s="2" t="s">
        <v>71</v>
      </c>
      <c r="AW43" s="2" t="s">
        <v>71</v>
      </c>
      <c r="AX43" s="2" t="s">
        <v>141</v>
      </c>
      <c r="AY43" s="2" t="s">
        <v>71</v>
      </c>
    </row>
    <row r="44" spans="1:51" ht="16" hidden="1">
      <c r="A44" s="2" t="s">
        <v>460</v>
      </c>
      <c r="B44" s="2" t="s">
        <v>141</v>
      </c>
      <c r="D44" s="4" t="s">
        <v>461</v>
      </c>
      <c r="E44" s="4" t="s">
        <v>434</v>
      </c>
      <c r="J44" s="4" t="s">
        <v>462</v>
      </c>
      <c r="L44" s="2" t="s">
        <v>141</v>
      </c>
      <c r="M44" s="2" t="s">
        <v>141</v>
      </c>
      <c r="N44" s="2" t="s">
        <v>141</v>
      </c>
      <c r="O44" s="2" t="s">
        <v>141</v>
      </c>
      <c r="P44" s="2" t="s">
        <v>141</v>
      </c>
      <c r="Q44" s="2" t="s">
        <v>141</v>
      </c>
      <c r="R44" s="2" t="s">
        <v>141</v>
      </c>
      <c r="S44" s="2" t="s">
        <v>141</v>
      </c>
      <c r="T44" s="2" t="s">
        <v>141</v>
      </c>
      <c r="U44" s="2" t="s">
        <v>71</v>
      </c>
      <c r="V44" s="2" t="s">
        <v>141</v>
      </c>
      <c r="W44" s="2" t="s">
        <v>141</v>
      </c>
      <c r="X44" s="2" t="s">
        <v>141</v>
      </c>
      <c r="Y44" s="2" t="s">
        <v>141</v>
      </c>
      <c r="Z44" s="2" t="s">
        <v>141</v>
      </c>
      <c r="AA44" s="2" t="s">
        <v>141</v>
      </c>
      <c r="AB44" s="2" t="s">
        <v>141</v>
      </c>
      <c r="AC44" s="2" t="s">
        <v>141</v>
      </c>
      <c r="AD44" s="2" t="s">
        <v>141</v>
      </c>
      <c r="AE44" s="2" t="s">
        <v>141</v>
      </c>
      <c r="AF44" s="2" t="s">
        <v>141</v>
      </c>
      <c r="AG44" s="2" t="s">
        <v>141</v>
      </c>
      <c r="AH44" s="2" t="s">
        <v>141</v>
      </c>
      <c r="AI44" s="2" t="s">
        <v>141</v>
      </c>
      <c r="AJ44" s="2" t="s">
        <v>141</v>
      </c>
      <c r="AK44" s="2" t="s">
        <v>141</v>
      </c>
      <c r="AL44" s="2" t="s">
        <v>141</v>
      </c>
      <c r="AM44" s="2" t="s">
        <v>141</v>
      </c>
      <c r="AN44" s="2" t="s">
        <v>141</v>
      </c>
      <c r="AO44" s="2" t="s">
        <v>141</v>
      </c>
      <c r="AP44" s="2" t="s">
        <v>141</v>
      </c>
      <c r="AQ44" s="2" t="s">
        <v>141</v>
      </c>
      <c r="AR44" s="2" t="s">
        <v>141</v>
      </c>
      <c r="AS44" s="2" t="s">
        <v>141</v>
      </c>
      <c r="AT44" s="2" t="s">
        <v>141</v>
      </c>
      <c r="AU44" s="2" t="s">
        <v>141</v>
      </c>
      <c r="AV44" s="2" t="s">
        <v>141</v>
      </c>
      <c r="AW44" s="2" t="s">
        <v>141</v>
      </c>
      <c r="AX44" s="2" t="s">
        <v>141</v>
      </c>
      <c r="AY44" s="2" t="s">
        <v>141</v>
      </c>
    </row>
    <row r="45" spans="1:51" ht="16" hidden="1" customHeight="1">
      <c r="A45" s="2" t="s">
        <v>463</v>
      </c>
      <c r="B45" s="2" t="s">
        <v>71</v>
      </c>
      <c r="C45" s="4" t="s">
        <v>464</v>
      </c>
      <c r="D45" s="4" t="s">
        <v>465</v>
      </c>
      <c r="E45" s="4" t="s">
        <v>466</v>
      </c>
      <c r="F45" s="2" t="s">
        <v>338</v>
      </c>
      <c r="G45" s="2" t="s">
        <v>342</v>
      </c>
      <c r="H45" s="2" t="s">
        <v>340</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141</v>
      </c>
      <c r="Z45" s="2" t="s">
        <v>71</v>
      </c>
      <c r="AA45" s="2" t="s">
        <v>71</v>
      </c>
      <c r="AB45" s="2" t="s">
        <v>71</v>
      </c>
      <c r="AC45" s="2" t="s">
        <v>71</v>
      </c>
      <c r="AD45" s="2" t="s">
        <v>141</v>
      </c>
      <c r="AE45" s="2" t="s">
        <v>141</v>
      </c>
      <c r="AF45" s="2" t="s">
        <v>71</v>
      </c>
      <c r="AG45" s="2" t="s">
        <v>71</v>
      </c>
      <c r="AH45" s="2" t="s">
        <v>71</v>
      </c>
      <c r="AI45" s="2" t="s">
        <v>71</v>
      </c>
      <c r="AJ45" s="2" t="s">
        <v>141</v>
      </c>
      <c r="AK45" s="2" t="s">
        <v>141</v>
      </c>
      <c r="AL45" s="2" t="s">
        <v>141</v>
      </c>
      <c r="AM45" s="2" t="s">
        <v>71</v>
      </c>
      <c r="AN45" s="2" t="s">
        <v>71</v>
      </c>
      <c r="AO45" s="2" t="s">
        <v>71</v>
      </c>
      <c r="AP45" s="2" t="s">
        <v>71</v>
      </c>
      <c r="AQ45" s="2" t="s">
        <v>141</v>
      </c>
      <c r="AR45" s="2" t="s">
        <v>71</v>
      </c>
      <c r="AS45" s="2" t="s">
        <v>141</v>
      </c>
      <c r="AT45" s="2" t="s">
        <v>71</v>
      </c>
      <c r="AU45" s="2" t="s">
        <v>71</v>
      </c>
      <c r="AV45" s="2" t="s">
        <v>71</v>
      </c>
      <c r="AW45" s="2" t="s">
        <v>71</v>
      </c>
      <c r="AX45" s="2" t="s">
        <v>141</v>
      </c>
      <c r="AY45" s="2" t="s">
        <v>71</v>
      </c>
    </row>
    <row r="46" spans="1:51" ht="16" hidden="1" customHeight="1">
      <c r="A46" s="2" t="s">
        <v>463</v>
      </c>
      <c r="B46" s="2" t="s">
        <v>71</v>
      </c>
      <c r="C46" s="4" t="s">
        <v>464</v>
      </c>
      <c r="D46" s="4" t="s">
        <v>465</v>
      </c>
      <c r="E46" s="4" t="s">
        <v>467</v>
      </c>
      <c r="F46" s="2" t="s">
        <v>468</v>
      </c>
      <c r="G46" s="2" t="s">
        <v>342</v>
      </c>
      <c r="H46" s="2" t="s">
        <v>340</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141</v>
      </c>
      <c r="Z46" s="2" t="s">
        <v>71</v>
      </c>
      <c r="AA46" s="2" t="s">
        <v>71</v>
      </c>
      <c r="AB46" s="2" t="s">
        <v>71</v>
      </c>
      <c r="AC46" s="2" t="s">
        <v>71</v>
      </c>
      <c r="AD46" s="2" t="s">
        <v>141</v>
      </c>
      <c r="AE46" s="2" t="s">
        <v>141</v>
      </c>
      <c r="AF46" s="2" t="s">
        <v>71</v>
      </c>
      <c r="AG46" s="2" t="s">
        <v>71</v>
      </c>
      <c r="AH46" s="2" t="s">
        <v>71</v>
      </c>
      <c r="AI46" s="2" t="s">
        <v>71</v>
      </c>
      <c r="AJ46" s="2" t="s">
        <v>141</v>
      </c>
      <c r="AK46" s="2" t="s">
        <v>141</v>
      </c>
      <c r="AL46" s="2" t="s">
        <v>141</v>
      </c>
      <c r="AM46" s="2" t="s">
        <v>71</v>
      </c>
      <c r="AN46" s="2" t="s">
        <v>71</v>
      </c>
      <c r="AO46" s="2" t="s">
        <v>71</v>
      </c>
      <c r="AP46" s="2" t="s">
        <v>71</v>
      </c>
      <c r="AQ46" s="2" t="s">
        <v>141</v>
      </c>
      <c r="AR46" s="2" t="s">
        <v>71</v>
      </c>
      <c r="AS46" s="2" t="s">
        <v>141</v>
      </c>
      <c r="AT46" s="2" t="s">
        <v>71</v>
      </c>
      <c r="AU46" s="2" t="s">
        <v>71</v>
      </c>
      <c r="AV46" s="2" t="s">
        <v>71</v>
      </c>
      <c r="AW46" s="2" t="s">
        <v>71</v>
      </c>
      <c r="AX46" s="2" t="s">
        <v>141</v>
      </c>
      <c r="AY46" s="2" t="s">
        <v>71</v>
      </c>
    </row>
    <row r="47" spans="1:51" ht="32">
      <c r="A47" s="2" t="s">
        <v>469</v>
      </c>
      <c r="B47" s="2" t="s">
        <v>71</v>
      </c>
      <c r="C47" s="4" t="s">
        <v>470</v>
      </c>
      <c r="D47" s="4" t="s">
        <v>471</v>
      </c>
      <c r="E47" s="4" t="s">
        <v>375</v>
      </c>
      <c r="F47" s="2" t="s">
        <v>472</v>
      </c>
      <c r="G47" s="2" t="s">
        <v>342</v>
      </c>
      <c r="H47" s="2" t="s">
        <v>16</v>
      </c>
      <c r="I47" s="2">
        <v>6</v>
      </c>
      <c r="J47" s="4" t="s">
        <v>473</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141</v>
      </c>
      <c r="Z47" s="2" t="s">
        <v>71</v>
      </c>
      <c r="AA47" s="2" t="s">
        <v>71</v>
      </c>
      <c r="AB47" s="2" t="s">
        <v>71</v>
      </c>
      <c r="AC47" s="2" t="s">
        <v>71</v>
      </c>
      <c r="AD47" s="2" t="s">
        <v>141</v>
      </c>
      <c r="AE47" s="2" t="s">
        <v>141</v>
      </c>
      <c r="AF47" s="2" t="s">
        <v>71</v>
      </c>
      <c r="AG47" s="2" t="s">
        <v>71</v>
      </c>
      <c r="AH47" s="2" t="s">
        <v>71</v>
      </c>
      <c r="AI47" s="2" t="s">
        <v>71</v>
      </c>
      <c r="AJ47" s="2" t="s">
        <v>141</v>
      </c>
      <c r="AK47" s="2" t="s">
        <v>141</v>
      </c>
      <c r="AL47" s="2" t="s">
        <v>141</v>
      </c>
      <c r="AM47" s="2" t="s">
        <v>71</v>
      </c>
      <c r="AN47" s="2" t="s">
        <v>71</v>
      </c>
      <c r="AO47" s="2" t="s">
        <v>71</v>
      </c>
      <c r="AP47" s="2" t="s">
        <v>71</v>
      </c>
      <c r="AQ47" s="2" t="s">
        <v>141</v>
      </c>
      <c r="AR47" s="2" t="s">
        <v>71</v>
      </c>
      <c r="AS47" s="2" t="s">
        <v>141</v>
      </c>
      <c r="AT47" s="2" t="s">
        <v>71</v>
      </c>
      <c r="AU47" s="2" t="s">
        <v>71</v>
      </c>
      <c r="AV47" s="2" t="s">
        <v>71</v>
      </c>
      <c r="AW47" s="2" t="s">
        <v>71</v>
      </c>
      <c r="AX47" s="2" t="s">
        <v>141</v>
      </c>
      <c r="AY47" s="2" t="s">
        <v>71</v>
      </c>
    </row>
    <row r="48" spans="1:51" ht="32">
      <c r="A48" s="2" t="s">
        <v>474</v>
      </c>
      <c r="B48" s="2" t="s">
        <v>71</v>
      </c>
      <c r="C48" s="4" t="s">
        <v>475</v>
      </c>
      <c r="D48" s="4" t="s">
        <v>476</v>
      </c>
      <c r="E48" s="4" t="s">
        <v>375</v>
      </c>
      <c r="F48" s="2" t="s">
        <v>472</v>
      </c>
      <c r="G48" s="2" t="s">
        <v>342</v>
      </c>
      <c r="H48" s="2" t="s">
        <v>16</v>
      </c>
      <c r="I48" s="2">
        <v>7</v>
      </c>
      <c r="J48" s="4" t="s">
        <v>477</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141</v>
      </c>
      <c r="Z48" s="2" t="s">
        <v>71</v>
      </c>
      <c r="AA48" s="2" t="s">
        <v>71</v>
      </c>
      <c r="AB48" s="2" t="s">
        <v>71</v>
      </c>
      <c r="AC48" s="2" t="s">
        <v>71</v>
      </c>
      <c r="AD48" s="2" t="s">
        <v>141</v>
      </c>
      <c r="AE48" s="2" t="s">
        <v>141</v>
      </c>
      <c r="AF48" s="2" t="s">
        <v>71</v>
      </c>
      <c r="AG48" s="2" t="s">
        <v>71</v>
      </c>
      <c r="AH48" s="2" t="s">
        <v>71</v>
      </c>
      <c r="AI48" s="2" t="s">
        <v>71</v>
      </c>
      <c r="AJ48" s="2" t="s">
        <v>141</v>
      </c>
      <c r="AK48" s="2" t="s">
        <v>141</v>
      </c>
      <c r="AL48" s="2" t="s">
        <v>141</v>
      </c>
      <c r="AM48" s="2" t="s">
        <v>71</v>
      </c>
      <c r="AN48" s="2" t="s">
        <v>71</v>
      </c>
      <c r="AO48" s="2" t="s">
        <v>71</v>
      </c>
      <c r="AP48" s="2" t="s">
        <v>71</v>
      </c>
      <c r="AQ48" s="2" t="s">
        <v>141</v>
      </c>
      <c r="AR48" s="2" t="s">
        <v>71</v>
      </c>
      <c r="AS48" s="2" t="s">
        <v>141</v>
      </c>
      <c r="AT48" s="2" t="s">
        <v>71</v>
      </c>
      <c r="AU48" s="2" t="s">
        <v>71</v>
      </c>
      <c r="AV48" s="2" t="s">
        <v>71</v>
      </c>
      <c r="AW48" s="2" t="s">
        <v>71</v>
      </c>
      <c r="AX48" s="2" t="s">
        <v>141</v>
      </c>
      <c r="AY48" s="2" t="s">
        <v>71</v>
      </c>
    </row>
    <row r="49" spans="1:51" ht="16" hidden="1">
      <c r="A49" s="2" t="s">
        <v>478</v>
      </c>
      <c r="B49" s="2" t="s">
        <v>141</v>
      </c>
      <c r="D49" s="4" t="s">
        <v>344</v>
      </c>
      <c r="E49" s="4" t="s">
        <v>332</v>
      </c>
      <c r="L49" s="2" t="s">
        <v>71</v>
      </c>
      <c r="M49" s="2" t="s">
        <v>141</v>
      </c>
      <c r="N49" s="2" t="s">
        <v>71</v>
      </c>
      <c r="O49" s="2" t="s">
        <v>71</v>
      </c>
      <c r="P49" s="2" t="s">
        <v>141</v>
      </c>
      <c r="Q49" s="2" t="s">
        <v>71</v>
      </c>
      <c r="R49" s="2" t="s">
        <v>141</v>
      </c>
      <c r="S49" s="2" t="s">
        <v>71</v>
      </c>
      <c r="T49" s="2" t="s">
        <v>71</v>
      </c>
      <c r="U49" s="2" t="s">
        <v>71</v>
      </c>
      <c r="V49" s="2" t="s">
        <v>71</v>
      </c>
      <c r="W49" s="2" t="s">
        <v>71</v>
      </c>
      <c r="X49" s="2" t="s">
        <v>71</v>
      </c>
      <c r="Y49" s="2" t="s">
        <v>141</v>
      </c>
      <c r="Z49" s="2" t="s">
        <v>71</v>
      </c>
      <c r="AA49" s="2" t="s">
        <v>71</v>
      </c>
      <c r="AB49" s="2" t="s">
        <v>71</v>
      </c>
      <c r="AC49" s="2" t="s">
        <v>71</v>
      </c>
      <c r="AD49" s="2" t="s">
        <v>141</v>
      </c>
      <c r="AE49" s="2" t="s">
        <v>141</v>
      </c>
      <c r="AF49" s="2" t="s">
        <v>71</v>
      </c>
      <c r="AG49" s="2" t="s">
        <v>71</v>
      </c>
      <c r="AH49" s="2" t="s">
        <v>71</v>
      </c>
      <c r="AI49" s="2" t="s">
        <v>71</v>
      </c>
      <c r="AJ49" s="2" t="s">
        <v>141</v>
      </c>
      <c r="AK49" s="2" t="s">
        <v>141</v>
      </c>
      <c r="AL49" s="2" t="s">
        <v>141</v>
      </c>
      <c r="AM49" s="2" t="s">
        <v>71</v>
      </c>
      <c r="AN49" s="2" t="s">
        <v>71</v>
      </c>
      <c r="AO49" s="2" t="s">
        <v>71</v>
      </c>
      <c r="AP49" s="2" t="s">
        <v>71</v>
      </c>
      <c r="AQ49" s="2" t="s">
        <v>141</v>
      </c>
      <c r="AR49" s="2" t="s">
        <v>71</v>
      </c>
      <c r="AS49" s="2" t="s">
        <v>141</v>
      </c>
      <c r="AT49" s="2" t="s">
        <v>141</v>
      </c>
      <c r="AU49" s="2" t="s">
        <v>71</v>
      </c>
      <c r="AV49" s="2" t="s">
        <v>71</v>
      </c>
      <c r="AW49" s="2" t="s">
        <v>71</v>
      </c>
      <c r="AX49" s="2" t="s">
        <v>141</v>
      </c>
      <c r="AY49" s="2" t="s">
        <v>71</v>
      </c>
    </row>
    <row r="50" spans="1:51" ht="16" hidden="1">
      <c r="A50" s="2" t="s">
        <v>479</v>
      </c>
      <c r="B50" s="2" t="s">
        <v>141</v>
      </c>
      <c r="D50" s="4" t="s">
        <v>344</v>
      </c>
      <c r="E50" s="4" t="s">
        <v>332</v>
      </c>
      <c r="L50" s="2" t="s">
        <v>71</v>
      </c>
      <c r="M50" s="2" t="s">
        <v>141</v>
      </c>
      <c r="N50" s="2" t="s">
        <v>71</v>
      </c>
      <c r="O50" s="2" t="s">
        <v>71</v>
      </c>
      <c r="P50" s="2" t="s">
        <v>141</v>
      </c>
      <c r="Q50" s="2" t="s">
        <v>71</v>
      </c>
      <c r="R50" s="2" t="s">
        <v>141</v>
      </c>
      <c r="S50" s="2" t="s">
        <v>71</v>
      </c>
      <c r="T50" s="2" t="s">
        <v>71</v>
      </c>
      <c r="U50" s="2" t="s">
        <v>71</v>
      </c>
      <c r="V50" s="2" t="s">
        <v>71</v>
      </c>
      <c r="W50" s="2" t="s">
        <v>71</v>
      </c>
      <c r="X50" s="2" t="s">
        <v>71</v>
      </c>
      <c r="Y50" s="2" t="s">
        <v>141</v>
      </c>
      <c r="Z50" s="2" t="s">
        <v>71</v>
      </c>
      <c r="AA50" s="2" t="s">
        <v>71</v>
      </c>
      <c r="AB50" s="2" t="s">
        <v>71</v>
      </c>
      <c r="AC50" s="2" t="s">
        <v>71</v>
      </c>
      <c r="AD50" s="2" t="s">
        <v>141</v>
      </c>
      <c r="AE50" s="2" t="s">
        <v>141</v>
      </c>
      <c r="AF50" s="2" t="s">
        <v>71</v>
      </c>
      <c r="AG50" s="2" t="s">
        <v>71</v>
      </c>
      <c r="AH50" s="2" t="s">
        <v>71</v>
      </c>
      <c r="AI50" s="2" t="s">
        <v>71</v>
      </c>
      <c r="AJ50" s="2" t="s">
        <v>141</v>
      </c>
      <c r="AK50" s="2" t="s">
        <v>141</v>
      </c>
      <c r="AL50" s="2" t="s">
        <v>141</v>
      </c>
      <c r="AM50" s="2" t="s">
        <v>71</v>
      </c>
      <c r="AN50" s="2" t="s">
        <v>71</v>
      </c>
      <c r="AO50" s="2" t="s">
        <v>71</v>
      </c>
      <c r="AP50" s="2" t="s">
        <v>71</v>
      </c>
      <c r="AQ50" s="2" t="s">
        <v>141</v>
      </c>
      <c r="AR50" s="2" t="s">
        <v>71</v>
      </c>
      <c r="AS50" s="2" t="s">
        <v>141</v>
      </c>
      <c r="AT50" s="2" t="s">
        <v>141</v>
      </c>
      <c r="AU50" s="2" t="s">
        <v>71</v>
      </c>
      <c r="AV50" s="2" t="s">
        <v>71</v>
      </c>
      <c r="AW50" s="2" t="s">
        <v>71</v>
      </c>
      <c r="AX50" s="2" t="s">
        <v>141</v>
      </c>
      <c r="AY50" s="2" t="s">
        <v>71</v>
      </c>
    </row>
    <row r="51" spans="1:51" s="42" customFormat="1" ht="16" hidden="1">
      <c r="A51" s="42" t="s">
        <v>480</v>
      </c>
      <c r="B51" s="42" t="s">
        <v>71</v>
      </c>
      <c r="C51" s="43" t="s">
        <v>481</v>
      </c>
      <c r="D51" s="43" t="s">
        <v>482</v>
      </c>
      <c r="E51" s="43" t="s">
        <v>375</v>
      </c>
      <c r="F51" s="42" t="s">
        <v>483</v>
      </c>
      <c r="G51" s="42" t="s">
        <v>342</v>
      </c>
      <c r="J51" s="43" t="s">
        <v>484</v>
      </c>
      <c r="K51" s="43"/>
      <c r="L51" s="42" t="s">
        <v>71</v>
      </c>
      <c r="M51" s="42" t="s">
        <v>71</v>
      </c>
      <c r="N51" s="42" t="s">
        <v>71</v>
      </c>
      <c r="O51" s="42" t="s">
        <v>71</v>
      </c>
      <c r="P51" s="42" t="s">
        <v>141</v>
      </c>
      <c r="Q51" s="42" t="s">
        <v>71</v>
      </c>
      <c r="R51" s="42" t="s">
        <v>141</v>
      </c>
      <c r="S51" s="42" t="s">
        <v>71</v>
      </c>
      <c r="T51" s="42" t="s">
        <v>71</v>
      </c>
      <c r="U51" s="42" t="s">
        <v>71</v>
      </c>
      <c r="V51" s="42" t="s">
        <v>71</v>
      </c>
      <c r="W51" s="42" t="s">
        <v>71</v>
      </c>
      <c r="X51" s="42" t="s">
        <v>71</v>
      </c>
      <c r="Y51" s="42" t="s">
        <v>141</v>
      </c>
      <c r="Z51" s="42" t="s">
        <v>71</v>
      </c>
      <c r="AA51" s="42" t="s">
        <v>71</v>
      </c>
      <c r="AB51" s="42" t="s">
        <v>71</v>
      </c>
      <c r="AC51" s="42" t="s">
        <v>71</v>
      </c>
      <c r="AD51" s="42" t="s">
        <v>141</v>
      </c>
      <c r="AE51" s="42" t="s">
        <v>141</v>
      </c>
      <c r="AF51" s="42" t="s">
        <v>71</v>
      </c>
      <c r="AG51" s="42" t="s">
        <v>71</v>
      </c>
      <c r="AH51" s="42" t="s">
        <v>71</v>
      </c>
      <c r="AI51" s="42" t="s">
        <v>71</v>
      </c>
      <c r="AJ51" s="42" t="s">
        <v>141</v>
      </c>
      <c r="AK51" s="42" t="s">
        <v>141</v>
      </c>
      <c r="AL51" s="42" t="s">
        <v>141</v>
      </c>
      <c r="AM51" s="42" t="s">
        <v>71</v>
      </c>
      <c r="AN51" s="42" t="s">
        <v>71</v>
      </c>
      <c r="AO51" s="42" t="s">
        <v>71</v>
      </c>
      <c r="AP51" s="42" t="s">
        <v>71</v>
      </c>
      <c r="AQ51" s="42" t="s">
        <v>141</v>
      </c>
      <c r="AR51" s="42" t="s">
        <v>141</v>
      </c>
      <c r="AS51" s="42" t="s">
        <v>141</v>
      </c>
      <c r="AT51" s="42" t="s">
        <v>141</v>
      </c>
      <c r="AU51" s="42" t="s">
        <v>71</v>
      </c>
      <c r="AV51" s="42" t="s">
        <v>71</v>
      </c>
      <c r="AW51" s="42" t="s">
        <v>71</v>
      </c>
      <c r="AX51" s="42" t="s">
        <v>141</v>
      </c>
      <c r="AY51" s="42" t="s">
        <v>71</v>
      </c>
    </row>
    <row r="52" spans="1:51" ht="16" hidden="1">
      <c r="A52" s="2" t="s">
        <v>485</v>
      </c>
      <c r="B52" s="2" t="s">
        <v>71</v>
      </c>
      <c r="C52" s="4" t="s">
        <v>486</v>
      </c>
      <c r="D52" s="4" t="s">
        <v>487</v>
      </c>
      <c r="E52" s="4" t="s">
        <v>488</v>
      </c>
      <c r="F52" s="2" t="s">
        <v>104</v>
      </c>
      <c r="G52" s="2" t="s">
        <v>342</v>
      </c>
      <c r="H52" s="2" t="s">
        <v>489</v>
      </c>
      <c r="L52" s="2" t="s">
        <v>71</v>
      </c>
      <c r="M52" s="2" t="s">
        <v>71</v>
      </c>
      <c r="N52" s="2" t="s">
        <v>71</v>
      </c>
      <c r="O52" s="2" t="s">
        <v>71</v>
      </c>
      <c r="P52" s="2" t="s">
        <v>71</v>
      </c>
      <c r="Q52" s="2" t="s">
        <v>71</v>
      </c>
      <c r="R52" s="2" t="s">
        <v>71</v>
      </c>
      <c r="S52" s="2" t="s">
        <v>71</v>
      </c>
      <c r="T52" s="2" t="s">
        <v>71</v>
      </c>
      <c r="U52" s="2" t="s">
        <v>71</v>
      </c>
      <c r="V52" s="2" t="s">
        <v>71</v>
      </c>
      <c r="W52" s="2" t="s">
        <v>71</v>
      </c>
      <c r="X52" s="2" t="s">
        <v>71</v>
      </c>
      <c r="Y52" s="2" t="s">
        <v>141</v>
      </c>
      <c r="Z52" s="2" t="s">
        <v>71</v>
      </c>
      <c r="AA52" s="2" t="s">
        <v>71</v>
      </c>
      <c r="AB52" s="2" t="s">
        <v>71</v>
      </c>
      <c r="AC52" s="2" t="s">
        <v>71</v>
      </c>
      <c r="AD52" s="2" t="s">
        <v>141</v>
      </c>
      <c r="AE52" s="2" t="s">
        <v>141</v>
      </c>
      <c r="AF52" s="2" t="s">
        <v>71</v>
      </c>
      <c r="AG52" s="2" t="s">
        <v>71</v>
      </c>
      <c r="AH52" s="2" t="s">
        <v>71</v>
      </c>
      <c r="AI52" s="2" t="s">
        <v>71</v>
      </c>
      <c r="AJ52" s="2" t="s">
        <v>141</v>
      </c>
      <c r="AK52" s="2" t="s">
        <v>141</v>
      </c>
      <c r="AL52" s="2" t="s">
        <v>141</v>
      </c>
      <c r="AM52" s="2" t="s">
        <v>71</v>
      </c>
      <c r="AN52" s="2" t="s">
        <v>71</v>
      </c>
      <c r="AO52" s="2" t="s">
        <v>71</v>
      </c>
      <c r="AP52" s="2" t="s">
        <v>71</v>
      </c>
      <c r="AQ52" s="2" t="s">
        <v>141</v>
      </c>
      <c r="AR52" s="2" t="s">
        <v>71</v>
      </c>
      <c r="AS52" s="2" t="s">
        <v>141</v>
      </c>
      <c r="AT52" s="2" t="s">
        <v>71</v>
      </c>
      <c r="AU52" s="2" t="s">
        <v>71</v>
      </c>
      <c r="AV52" s="2" t="s">
        <v>71</v>
      </c>
      <c r="AW52" s="2" t="s">
        <v>71</v>
      </c>
      <c r="AX52" s="2" t="s">
        <v>141</v>
      </c>
      <c r="AY52" s="2" t="s">
        <v>71</v>
      </c>
    </row>
    <row r="53" spans="1:51" ht="16" hidden="1">
      <c r="A53" s="2" t="s">
        <v>490</v>
      </c>
      <c r="B53" s="2" t="s">
        <v>141</v>
      </c>
      <c r="D53" s="4" t="s">
        <v>344</v>
      </c>
      <c r="E53" s="4" t="s">
        <v>332</v>
      </c>
      <c r="J53" s="4" t="s">
        <v>333</v>
      </c>
      <c r="L53" s="2" t="s">
        <v>71</v>
      </c>
      <c r="M53" s="2" t="s">
        <v>141</v>
      </c>
      <c r="N53" s="2" t="s">
        <v>71</v>
      </c>
      <c r="O53" s="2" t="s">
        <v>71</v>
      </c>
      <c r="P53" s="2" t="s">
        <v>141</v>
      </c>
      <c r="Q53" s="2" t="s">
        <v>71</v>
      </c>
      <c r="R53" s="2" t="s">
        <v>141</v>
      </c>
      <c r="S53" s="2" t="s">
        <v>71</v>
      </c>
      <c r="T53" s="2" t="s">
        <v>71</v>
      </c>
      <c r="U53" s="2" t="s">
        <v>71</v>
      </c>
      <c r="V53" s="2" t="s">
        <v>71</v>
      </c>
      <c r="W53" s="2" t="s">
        <v>71</v>
      </c>
      <c r="X53" s="2" t="s">
        <v>71</v>
      </c>
      <c r="Y53" s="2" t="s">
        <v>141</v>
      </c>
      <c r="Z53" s="2" t="s">
        <v>71</v>
      </c>
      <c r="AA53" s="2" t="s">
        <v>71</v>
      </c>
      <c r="AB53" s="2" t="s">
        <v>71</v>
      </c>
      <c r="AC53" s="2" t="s">
        <v>71</v>
      </c>
      <c r="AD53" s="2" t="s">
        <v>141</v>
      </c>
      <c r="AE53" s="2" t="s">
        <v>141</v>
      </c>
      <c r="AF53" s="2" t="s">
        <v>71</v>
      </c>
      <c r="AG53" s="2" t="s">
        <v>71</v>
      </c>
      <c r="AH53" s="2" t="s">
        <v>71</v>
      </c>
      <c r="AI53" s="2" t="s">
        <v>71</v>
      </c>
      <c r="AJ53" s="2" t="s">
        <v>141</v>
      </c>
      <c r="AK53" s="2" t="s">
        <v>141</v>
      </c>
      <c r="AL53" s="2" t="s">
        <v>141</v>
      </c>
      <c r="AM53" s="2" t="s">
        <v>71</v>
      </c>
      <c r="AN53" s="2" t="s">
        <v>71</v>
      </c>
      <c r="AO53" s="2" t="s">
        <v>71</v>
      </c>
      <c r="AP53" s="2" t="s">
        <v>71</v>
      </c>
      <c r="AQ53" s="2" t="s">
        <v>141</v>
      </c>
      <c r="AR53" s="2" t="s">
        <v>71</v>
      </c>
      <c r="AS53" s="2" t="s">
        <v>141</v>
      </c>
      <c r="AT53" s="2" t="s">
        <v>141</v>
      </c>
      <c r="AU53" s="2" t="s">
        <v>71</v>
      </c>
      <c r="AV53" s="2" t="s">
        <v>71</v>
      </c>
      <c r="AW53" s="2" t="s">
        <v>71</v>
      </c>
      <c r="AX53" s="2" t="s">
        <v>141</v>
      </c>
      <c r="AY53" s="2" t="s">
        <v>71</v>
      </c>
    </row>
    <row r="54" spans="1:51" ht="32">
      <c r="A54" s="2" t="s">
        <v>491</v>
      </c>
      <c r="B54" s="2" t="s">
        <v>71</v>
      </c>
      <c r="C54" s="4" t="s">
        <v>492</v>
      </c>
      <c r="D54" s="4" t="s">
        <v>493</v>
      </c>
      <c r="E54" s="4" t="s">
        <v>375</v>
      </c>
      <c r="F54" s="2" t="s">
        <v>494</v>
      </c>
      <c r="G54" s="2" t="s">
        <v>342</v>
      </c>
      <c r="H54" s="2" t="s">
        <v>16</v>
      </c>
      <c r="I54" s="2">
        <v>8</v>
      </c>
      <c r="J54" s="4" t="s">
        <v>495</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141</v>
      </c>
      <c r="Z54" s="2" t="s">
        <v>71</v>
      </c>
      <c r="AA54" s="2" t="s">
        <v>71</v>
      </c>
      <c r="AB54" s="2" t="s">
        <v>71</v>
      </c>
      <c r="AC54" s="2" t="s">
        <v>71</v>
      </c>
      <c r="AD54" s="2" t="s">
        <v>141</v>
      </c>
      <c r="AE54" s="2" t="s">
        <v>141</v>
      </c>
      <c r="AF54" s="2" t="s">
        <v>71</v>
      </c>
      <c r="AG54" s="2" t="s">
        <v>71</v>
      </c>
      <c r="AH54" s="2" t="s">
        <v>71</v>
      </c>
      <c r="AI54" s="2" t="s">
        <v>71</v>
      </c>
      <c r="AJ54" s="2" t="s">
        <v>141</v>
      </c>
      <c r="AK54" s="2" t="s">
        <v>141</v>
      </c>
      <c r="AL54" s="2" t="s">
        <v>141</v>
      </c>
      <c r="AM54" s="2" t="s">
        <v>71</v>
      </c>
      <c r="AN54" s="2" t="s">
        <v>71</v>
      </c>
      <c r="AO54" s="2" t="s">
        <v>71</v>
      </c>
      <c r="AP54" s="2" t="s">
        <v>71</v>
      </c>
      <c r="AQ54" s="2" t="s">
        <v>141</v>
      </c>
      <c r="AR54" s="2" t="s">
        <v>71</v>
      </c>
      <c r="AS54" s="2" t="s">
        <v>141</v>
      </c>
      <c r="AT54" s="2" t="s">
        <v>71</v>
      </c>
      <c r="AU54" s="2" t="s">
        <v>71</v>
      </c>
      <c r="AV54" s="2" t="s">
        <v>71</v>
      </c>
      <c r="AW54" s="2" t="s">
        <v>71</v>
      </c>
      <c r="AX54" s="2" t="s">
        <v>141</v>
      </c>
      <c r="AY54" s="2" t="s">
        <v>71</v>
      </c>
    </row>
    <row r="55" spans="1:51" ht="32" hidden="1">
      <c r="A55" s="44" t="s">
        <v>496</v>
      </c>
      <c r="B55" s="44" t="s">
        <v>71</v>
      </c>
      <c r="C55" s="45" t="s">
        <v>497</v>
      </c>
      <c r="D55" s="45" t="s">
        <v>498</v>
      </c>
      <c r="E55" s="45" t="s">
        <v>381</v>
      </c>
      <c r="F55" s="44" t="s">
        <v>104</v>
      </c>
      <c r="G55" s="44" t="s">
        <v>339</v>
      </c>
      <c r="H55" s="44" t="s">
        <v>383</v>
      </c>
      <c r="J55" s="4" t="s">
        <v>499</v>
      </c>
      <c r="L55" s="2" t="s">
        <v>141</v>
      </c>
      <c r="M55" s="2" t="s">
        <v>141</v>
      </c>
      <c r="N55" s="2" t="s">
        <v>141</v>
      </c>
      <c r="O55" s="2" t="s">
        <v>141</v>
      </c>
      <c r="P55" s="2" t="s">
        <v>141</v>
      </c>
      <c r="Q55" s="2" t="s">
        <v>141</v>
      </c>
      <c r="R55" s="2" t="s">
        <v>141</v>
      </c>
      <c r="S55" s="2" t="s">
        <v>141</v>
      </c>
      <c r="T55" s="2" t="s">
        <v>141</v>
      </c>
      <c r="U55" s="2" t="s">
        <v>141</v>
      </c>
      <c r="V55" s="2" t="s">
        <v>141</v>
      </c>
      <c r="W55" s="2" t="s">
        <v>71</v>
      </c>
      <c r="X55" s="2" t="s">
        <v>141</v>
      </c>
      <c r="Y55" s="2" t="s">
        <v>141</v>
      </c>
      <c r="Z55" s="2" t="s">
        <v>141</v>
      </c>
      <c r="AA55" s="2" t="s">
        <v>141</v>
      </c>
      <c r="AB55" s="2" t="s">
        <v>141</v>
      </c>
      <c r="AC55" s="2" t="s">
        <v>141</v>
      </c>
      <c r="AD55" s="2" t="s">
        <v>141</v>
      </c>
      <c r="AE55" s="2" t="s">
        <v>141</v>
      </c>
      <c r="AF55" s="2" t="s">
        <v>141</v>
      </c>
      <c r="AG55" s="2" t="s">
        <v>141</v>
      </c>
      <c r="AH55" s="2" t="s">
        <v>141</v>
      </c>
      <c r="AI55" s="2" t="s">
        <v>141</v>
      </c>
      <c r="AJ55" s="2" t="s">
        <v>141</v>
      </c>
      <c r="AK55" s="2" t="s">
        <v>141</v>
      </c>
      <c r="AL55" s="2" t="s">
        <v>141</v>
      </c>
      <c r="AM55" s="2" t="s">
        <v>141</v>
      </c>
      <c r="AN55" s="2" t="s">
        <v>141</v>
      </c>
      <c r="AO55" s="2" t="s">
        <v>141</v>
      </c>
      <c r="AP55" s="2" t="s">
        <v>141</v>
      </c>
      <c r="AQ55" s="2" t="s">
        <v>141</v>
      </c>
      <c r="AR55" s="2" t="s">
        <v>141</v>
      </c>
      <c r="AS55" s="2" t="s">
        <v>141</v>
      </c>
      <c r="AT55" s="2" t="s">
        <v>141</v>
      </c>
      <c r="AU55" s="2" t="s">
        <v>141</v>
      </c>
      <c r="AV55" s="2" t="s">
        <v>141</v>
      </c>
      <c r="AW55" s="2" t="s">
        <v>141</v>
      </c>
      <c r="AX55" s="2" t="s">
        <v>141</v>
      </c>
      <c r="AY55" s="2" t="s">
        <v>141</v>
      </c>
    </row>
    <row r="56" spans="1:51" ht="16" hidden="1" customHeight="1">
      <c r="A56" s="2" t="s">
        <v>500</v>
      </c>
      <c r="B56" s="2" t="s">
        <v>141</v>
      </c>
      <c r="C56" s="4" t="s">
        <v>501</v>
      </c>
      <c r="D56" s="4" t="s">
        <v>502</v>
      </c>
      <c r="E56" s="4" t="s">
        <v>503</v>
      </c>
      <c r="F56" s="2" t="s">
        <v>104</v>
      </c>
      <c r="G56" s="2" t="s">
        <v>342</v>
      </c>
      <c r="H56" s="2" t="s">
        <v>340</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6" hidden="1" customHeight="1">
      <c r="A57" s="179" t="s">
        <v>232</v>
      </c>
      <c r="B57" s="7" t="s">
        <v>71</v>
      </c>
      <c r="C57" s="179" t="s">
        <v>504</v>
      </c>
      <c r="D57" s="179"/>
      <c r="E57" s="179"/>
      <c r="G57" s="7" t="s">
        <v>342</v>
      </c>
      <c r="H57" s="7" t="s">
        <v>340</v>
      </c>
      <c r="J57" s="179"/>
      <c r="K57" s="179"/>
    </row>
    <row r="58" spans="1:51" s="7" customFormat="1" ht="16" customHeight="1">
      <c r="A58" s="179" t="s">
        <v>166</v>
      </c>
      <c r="B58" s="7" t="s">
        <v>71</v>
      </c>
      <c r="C58" s="179"/>
      <c r="D58" s="179" t="s">
        <v>505</v>
      </c>
      <c r="E58" s="179"/>
      <c r="G58" s="7" t="s">
        <v>342</v>
      </c>
      <c r="H58" s="7" t="s">
        <v>16</v>
      </c>
      <c r="I58" s="7">
        <v>9</v>
      </c>
      <c r="J58" s="179" t="s">
        <v>506</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3" priority="1" operator="containsText" text="No">
      <formula>NOT(ISERROR(SEARCH("No",L1)))</formula>
    </cfRule>
    <cfRule type="containsText" dxfId="2"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election activeCell="B1" sqref="B1:B1048576"/>
    </sheetView>
    <sheetView workbookViewId="1"/>
  </sheetViews>
  <sheetFormatPr baseColWidth="10" defaultColWidth="8.83203125" defaultRowHeight="14" customHeight="1"/>
  <cols>
    <col min="1" max="1" width="7.5" customWidth="1"/>
    <col min="2" max="2" width="58.33203125" style="38" customWidth="1"/>
    <col min="3" max="3" width="77.6640625" style="38" customWidth="1"/>
    <col min="4" max="4" width="61" style="38" customWidth="1"/>
    <col min="5" max="5" width="10.6640625" customWidth="1"/>
    <col min="6" max="6" width="6.6640625" customWidth="1"/>
    <col min="7" max="7" width="11.5" customWidth="1"/>
    <col min="8" max="8" width="13.5" style="38" customWidth="1"/>
  </cols>
  <sheetData>
    <row r="1" spans="1:9" ht="14" customHeight="1">
      <c r="A1" t="s">
        <v>507</v>
      </c>
      <c r="B1" s="38" t="s">
        <v>508</v>
      </c>
      <c r="C1" s="38" t="s">
        <v>509</v>
      </c>
      <c r="D1" s="38" t="s">
        <v>510</v>
      </c>
      <c r="E1" t="s">
        <v>511</v>
      </c>
      <c r="F1" t="s">
        <v>512</v>
      </c>
      <c r="G1" t="s">
        <v>513</v>
      </c>
      <c r="H1" s="38" t="s">
        <v>514</v>
      </c>
      <c r="I1" t="s">
        <v>515</v>
      </c>
    </row>
    <row r="2" spans="1:9" ht="14" customHeight="1">
      <c r="A2" t="s">
        <v>516</v>
      </c>
      <c r="B2" s="38" t="s">
        <v>517</v>
      </c>
      <c r="C2" s="38" t="s">
        <v>518</v>
      </c>
      <c r="D2" s="38" t="s">
        <v>519</v>
      </c>
      <c r="E2" t="s">
        <v>509</v>
      </c>
      <c r="F2" t="s">
        <v>520</v>
      </c>
      <c r="H2" s="38" t="s">
        <v>521</v>
      </c>
      <c r="I2" t="s">
        <v>522</v>
      </c>
    </row>
    <row r="3" spans="1:9" ht="14" customHeight="1">
      <c r="A3" t="s">
        <v>516</v>
      </c>
      <c r="B3" s="38" t="s">
        <v>523</v>
      </c>
      <c r="C3" s="38" t="s">
        <v>255</v>
      </c>
      <c r="D3" s="38" t="s">
        <v>524</v>
      </c>
      <c r="E3" t="s">
        <v>509</v>
      </c>
      <c r="F3" t="s">
        <v>520</v>
      </c>
      <c r="H3" s="38" t="s">
        <v>525</v>
      </c>
      <c r="I3" t="s">
        <v>522</v>
      </c>
    </row>
    <row r="4" spans="1:9" ht="14" customHeight="1">
      <c r="A4" t="s">
        <v>516</v>
      </c>
      <c r="B4" s="38" t="s">
        <v>526</v>
      </c>
      <c r="C4" s="38" t="s">
        <v>527</v>
      </c>
      <c r="D4" s="38" t="s">
        <v>526</v>
      </c>
      <c r="E4" t="s">
        <v>509</v>
      </c>
      <c r="F4" t="s">
        <v>520</v>
      </c>
      <c r="H4" s="38" t="s">
        <v>528</v>
      </c>
      <c r="I4" t="s">
        <v>529</v>
      </c>
    </row>
    <row r="5" spans="1:9" ht="14" customHeight="1">
      <c r="A5" s="40" t="s">
        <v>516</v>
      </c>
      <c r="B5" s="41" t="s">
        <v>530</v>
      </c>
      <c r="C5" s="41" t="s">
        <v>531</v>
      </c>
      <c r="D5" s="41" t="s">
        <v>530</v>
      </c>
      <c r="E5" s="40" t="s">
        <v>509</v>
      </c>
      <c r="F5" s="40" t="s">
        <v>520</v>
      </c>
      <c r="G5" s="40"/>
      <c r="H5" s="41" t="s">
        <v>532</v>
      </c>
      <c r="I5" s="40" t="s">
        <v>533</v>
      </c>
    </row>
    <row r="6" spans="1:9" ht="14" customHeight="1">
      <c r="A6" t="s">
        <v>516</v>
      </c>
      <c r="B6" s="38" t="s">
        <v>534</v>
      </c>
      <c r="C6" s="38" t="s">
        <v>535</v>
      </c>
      <c r="D6" s="38" t="s">
        <v>534</v>
      </c>
      <c r="E6" t="s">
        <v>509</v>
      </c>
      <c r="F6" t="s">
        <v>520</v>
      </c>
      <c r="H6" s="38" t="s">
        <v>536</v>
      </c>
      <c r="I6" t="s">
        <v>533</v>
      </c>
    </row>
    <row r="7" spans="1:9" ht="14" customHeight="1">
      <c r="A7" t="s">
        <v>516</v>
      </c>
      <c r="B7" s="38" t="s">
        <v>537</v>
      </c>
      <c r="C7" s="38" t="s">
        <v>538</v>
      </c>
      <c r="D7" s="38" t="s">
        <v>537</v>
      </c>
      <c r="E7" t="s">
        <v>509</v>
      </c>
      <c r="F7" t="s">
        <v>520</v>
      </c>
      <c r="H7" s="38" t="s">
        <v>539</v>
      </c>
      <c r="I7" t="s">
        <v>533</v>
      </c>
    </row>
    <row r="8" spans="1:9" ht="14" customHeight="1">
      <c r="A8" t="s">
        <v>516</v>
      </c>
      <c r="B8" s="38" t="s">
        <v>540</v>
      </c>
      <c r="C8" s="38" t="s">
        <v>541</v>
      </c>
      <c r="D8" s="38" t="s">
        <v>540</v>
      </c>
      <c r="E8" t="s">
        <v>509</v>
      </c>
      <c r="F8" t="s">
        <v>520</v>
      </c>
      <c r="H8" s="38" t="s">
        <v>542</v>
      </c>
      <c r="I8" t="s">
        <v>533</v>
      </c>
    </row>
    <row r="9" spans="1:9" ht="14" customHeight="1">
      <c r="A9" t="s">
        <v>516</v>
      </c>
      <c r="B9" s="38" t="s">
        <v>95</v>
      </c>
      <c r="C9" s="38" t="s">
        <v>543</v>
      </c>
      <c r="E9" t="s">
        <v>509</v>
      </c>
      <c r="F9" t="s">
        <v>520</v>
      </c>
      <c r="H9" s="38" t="s">
        <v>544</v>
      </c>
      <c r="I9" t="s">
        <v>533</v>
      </c>
    </row>
    <row r="10" spans="1:9" ht="14" customHeight="1">
      <c r="A10" t="s">
        <v>516</v>
      </c>
      <c r="B10" s="38" t="s">
        <v>545</v>
      </c>
      <c r="C10" s="38" t="s">
        <v>546</v>
      </c>
      <c r="D10" s="38" t="s">
        <v>545</v>
      </c>
      <c r="E10" t="s">
        <v>509</v>
      </c>
      <c r="F10" t="s">
        <v>520</v>
      </c>
      <c r="H10" s="38" t="s">
        <v>547</v>
      </c>
      <c r="I10" t="s">
        <v>533</v>
      </c>
    </row>
    <row r="11" spans="1:9" ht="14" customHeight="1">
      <c r="A11" t="s">
        <v>516</v>
      </c>
      <c r="B11" s="38" t="s">
        <v>548</v>
      </c>
      <c r="C11" s="38" t="s">
        <v>527</v>
      </c>
      <c r="D11" s="38" t="s">
        <v>548</v>
      </c>
      <c r="E11" t="s">
        <v>509</v>
      </c>
      <c r="F11" t="s">
        <v>520</v>
      </c>
      <c r="H11" s="38" t="s">
        <v>549</v>
      </c>
      <c r="I11" t="s">
        <v>529</v>
      </c>
    </row>
    <row r="12" spans="1:9" ht="14" customHeight="1">
      <c r="A12" t="s">
        <v>516</v>
      </c>
      <c r="B12" s="38" t="s">
        <v>550</v>
      </c>
      <c r="C12" s="38" t="s">
        <v>551</v>
      </c>
      <c r="D12" s="38" t="s">
        <v>552</v>
      </c>
      <c r="E12" t="s">
        <v>509</v>
      </c>
      <c r="F12" t="s">
        <v>520</v>
      </c>
      <c r="H12" s="38" t="s">
        <v>553</v>
      </c>
      <c r="I12" t="s">
        <v>533</v>
      </c>
    </row>
    <row r="13" spans="1:9" ht="14" customHeight="1">
      <c r="A13" t="s">
        <v>516</v>
      </c>
      <c r="B13" s="38" t="s">
        <v>554</v>
      </c>
      <c r="C13" s="38" t="s">
        <v>555</v>
      </c>
      <c r="D13" s="38" t="s">
        <v>556</v>
      </c>
      <c r="E13" t="s">
        <v>509</v>
      </c>
      <c r="F13" t="s">
        <v>520</v>
      </c>
      <c r="H13" s="38" t="s">
        <v>557</v>
      </c>
      <c r="I13" t="s">
        <v>529</v>
      </c>
    </row>
    <row r="14" spans="1:9" ht="14" customHeight="1">
      <c r="A14" t="s">
        <v>516</v>
      </c>
      <c r="B14" s="38" t="s">
        <v>558</v>
      </c>
      <c r="C14" s="38" t="s">
        <v>559</v>
      </c>
      <c r="D14" s="38" t="s">
        <v>560</v>
      </c>
      <c r="E14" t="s">
        <v>509</v>
      </c>
      <c r="F14" t="s">
        <v>520</v>
      </c>
      <c r="H14" s="38" t="s">
        <v>561</v>
      </c>
      <c r="I14" t="s">
        <v>522</v>
      </c>
    </row>
    <row r="15" spans="1:9" ht="14" customHeight="1">
      <c r="A15" t="s">
        <v>516</v>
      </c>
      <c r="B15" s="38" t="s">
        <v>562</v>
      </c>
      <c r="C15" s="38" t="s">
        <v>563</v>
      </c>
      <c r="D15" s="38" t="s">
        <v>562</v>
      </c>
      <c r="E15" t="s">
        <v>509</v>
      </c>
      <c r="F15" t="s">
        <v>520</v>
      </c>
      <c r="H15" s="38" t="s">
        <v>564</v>
      </c>
      <c r="I15" t="s">
        <v>533</v>
      </c>
    </row>
    <row r="16" spans="1:9" ht="14" customHeight="1">
      <c r="A16" t="s">
        <v>516</v>
      </c>
      <c r="B16" s="38" t="s">
        <v>565</v>
      </c>
      <c r="C16" s="38" t="s">
        <v>566</v>
      </c>
      <c r="D16" s="38" t="s">
        <v>565</v>
      </c>
      <c r="E16" t="s">
        <v>509</v>
      </c>
      <c r="F16" t="s">
        <v>520</v>
      </c>
      <c r="H16" s="38" t="s">
        <v>567</v>
      </c>
      <c r="I16" t="s">
        <v>533</v>
      </c>
    </row>
    <row r="17" spans="1:9" ht="14" customHeight="1">
      <c r="A17" t="s">
        <v>516</v>
      </c>
      <c r="B17" s="38" t="s">
        <v>568</v>
      </c>
      <c r="C17" s="38" t="s">
        <v>569</v>
      </c>
      <c r="D17" s="38" t="s">
        <v>568</v>
      </c>
      <c r="E17" t="s">
        <v>509</v>
      </c>
      <c r="F17" t="s">
        <v>520</v>
      </c>
      <c r="H17" s="38" t="s">
        <v>570</v>
      </c>
      <c r="I17" t="s">
        <v>533</v>
      </c>
    </row>
    <row r="18" spans="1:9" ht="14" customHeight="1">
      <c r="A18" t="s">
        <v>516</v>
      </c>
      <c r="B18" s="38" t="s">
        <v>571</v>
      </c>
      <c r="C18" s="38" t="s">
        <v>572</v>
      </c>
      <c r="D18" s="38" t="s">
        <v>573</v>
      </c>
      <c r="E18" t="s">
        <v>509</v>
      </c>
      <c r="F18" t="s">
        <v>520</v>
      </c>
      <c r="H18" s="38" t="s">
        <v>574</v>
      </c>
      <c r="I18" t="s">
        <v>522</v>
      </c>
    </row>
    <row r="19" spans="1:9" ht="14" customHeight="1">
      <c r="A19" t="s">
        <v>516</v>
      </c>
      <c r="B19" s="38" t="s">
        <v>560</v>
      </c>
      <c r="C19" s="38" t="s">
        <v>559</v>
      </c>
      <c r="D19" s="38" t="s">
        <v>560</v>
      </c>
      <c r="E19" t="s">
        <v>509</v>
      </c>
      <c r="F19" t="s">
        <v>520</v>
      </c>
      <c r="H19" s="38" t="s">
        <v>575</v>
      </c>
      <c r="I19" t="s">
        <v>522</v>
      </c>
    </row>
    <row r="20" spans="1:9" ht="14" customHeight="1">
      <c r="A20" t="s">
        <v>516</v>
      </c>
      <c r="B20" s="38" t="s">
        <v>576</v>
      </c>
      <c r="C20" s="38" t="s">
        <v>572</v>
      </c>
      <c r="D20" s="38" t="s">
        <v>577</v>
      </c>
      <c r="E20" t="s">
        <v>509</v>
      </c>
      <c r="F20" t="s">
        <v>520</v>
      </c>
      <c r="H20" s="38" t="s">
        <v>578</v>
      </c>
      <c r="I20" t="s">
        <v>522</v>
      </c>
    </row>
    <row r="21" spans="1:9" ht="14" customHeight="1">
      <c r="A21" t="s">
        <v>516</v>
      </c>
      <c r="B21" s="38" t="s">
        <v>579</v>
      </c>
      <c r="C21" s="38" t="s">
        <v>580</v>
      </c>
      <c r="D21" s="38" t="s">
        <v>579</v>
      </c>
      <c r="E21" t="s">
        <v>509</v>
      </c>
      <c r="F21" t="s">
        <v>520</v>
      </c>
      <c r="H21" s="38" t="s">
        <v>581</v>
      </c>
      <c r="I21" t="s">
        <v>533</v>
      </c>
    </row>
    <row r="22" spans="1:9" ht="14" customHeight="1">
      <c r="A22" t="s">
        <v>516</v>
      </c>
      <c r="B22" s="38" t="s">
        <v>582</v>
      </c>
      <c r="C22" s="38" t="s">
        <v>583</v>
      </c>
      <c r="E22" t="s">
        <v>509</v>
      </c>
      <c r="F22" t="s">
        <v>584</v>
      </c>
      <c r="H22" s="38" t="s">
        <v>585</v>
      </c>
      <c r="I22" t="s">
        <v>586</v>
      </c>
    </row>
    <row r="23" spans="1:9" ht="14" customHeight="1">
      <c r="A23" t="s">
        <v>516</v>
      </c>
      <c r="B23" s="38" t="s">
        <v>587</v>
      </c>
      <c r="C23" s="38" t="s">
        <v>588</v>
      </c>
      <c r="D23" s="38" t="s">
        <v>589</v>
      </c>
      <c r="E23" t="s">
        <v>509</v>
      </c>
      <c r="F23" t="s">
        <v>584</v>
      </c>
      <c r="H23" s="38" t="s">
        <v>590</v>
      </c>
      <c r="I23" t="s">
        <v>586</v>
      </c>
    </row>
    <row r="24" spans="1:9" ht="14" customHeight="1">
      <c r="A24" t="s">
        <v>516</v>
      </c>
      <c r="B24" s="38" t="s">
        <v>591</v>
      </c>
      <c r="C24" s="38" t="s">
        <v>592</v>
      </c>
      <c r="E24" t="s">
        <v>509</v>
      </c>
      <c r="F24" t="s">
        <v>520</v>
      </c>
      <c r="H24" s="38" t="s">
        <v>593</v>
      </c>
      <c r="I24" t="s">
        <v>586</v>
      </c>
    </row>
    <row r="25" spans="1:9" ht="14" customHeight="1">
      <c r="A25" t="s">
        <v>516</v>
      </c>
      <c r="B25" s="38" t="s">
        <v>594</v>
      </c>
      <c r="C25" s="38" t="s">
        <v>595</v>
      </c>
      <c r="E25" t="s">
        <v>509</v>
      </c>
      <c r="F25" t="s">
        <v>520</v>
      </c>
      <c r="H25" s="38" t="s">
        <v>596</v>
      </c>
      <c r="I25" t="s">
        <v>586</v>
      </c>
    </row>
    <row r="26" spans="1:9" ht="14" customHeight="1">
      <c r="A26" t="s">
        <v>516</v>
      </c>
      <c r="B26" s="38" t="s">
        <v>597</v>
      </c>
      <c r="C26" s="38" t="s">
        <v>598</v>
      </c>
      <c r="D26" s="38" t="s">
        <v>599</v>
      </c>
      <c r="E26" t="s">
        <v>509</v>
      </c>
      <c r="F26" t="s">
        <v>520</v>
      </c>
      <c r="H26" s="38" t="s">
        <v>600</v>
      </c>
      <c r="I26" t="s">
        <v>522</v>
      </c>
    </row>
    <row r="27" spans="1:9" ht="14" customHeight="1">
      <c r="A27" t="s">
        <v>516</v>
      </c>
      <c r="B27" s="38" t="s">
        <v>601</v>
      </c>
      <c r="C27" s="38" t="s">
        <v>602</v>
      </c>
      <c r="D27" s="38" t="s">
        <v>603</v>
      </c>
      <c r="E27" t="s">
        <v>509</v>
      </c>
      <c r="F27" t="s">
        <v>520</v>
      </c>
      <c r="H27" s="38" t="s">
        <v>604</v>
      </c>
      <c r="I27" t="s">
        <v>522</v>
      </c>
    </row>
    <row r="28" spans="1:9" ht="14" customHeight="1">
      <c r="A28" t="s">
        <v>516</v>
      </c>
      <c r="B28" s="38" t="s">
        <v>605</v>
      </c>
      <c r="C28" s="38" t="s">
        <v>602</v>
      </c>
      <c r="D28" s="38" t="s">
        <v>605</v>
      </c>
      <c r="E28" t="s">
        <v>509</v>
      </c>
      <c r="F28" t="s">
        <v>520</v>
      </c>
      <c r="H28" s="38" t="s">
        <v>606</v>
      </c>
      <c r="I28" t="s">
        <v>522</v>
      </c>
    </row>
    <row r="29" spans="1:9" ht="14" customHeight="1">
      <c r="A29" t="s">
        <v>516</v>
      </c>
      <c r="B29" s="38" t="s">
        <v>607</v>
      </c>
      <c r="C29" s="38" t="s">
        <v>598</v>
      </c>
      <c r="D29" s="38" t="s">
        <v>599</v>
      </c>
      <c r="E29" t="s">
        <v>509</v>
      </c>
      <c r="F29" t="s">
        <v>520</v>
      </c>
      <c r="H29" s="38" t="s">
        <v>608</v>
      </c>
      <c r="I29" t="s">
        <v>522</v>
      </c>
    </row>
    <row r="30" spans="1:9" ht="14" customHeight="1">
      <c r="A30" t="s">
        <v>516</v>
      </c>
      <c r="B30" s="38" t="s">
        <v>609</v>
      </c>
      <c r="C30" s="38" t="s">
        <v>610</v>
      </c>
      <c r="E30" t="s">
        <v>509</v>
      </c>
      <c r="F30" t="s">
        <v>520</v>
      </c>
      <c r="H30" s="38" t="s">
        <v>611</v>
      </c>
      <c r="I30" t="s">
        <v>533</v>
      </c>
    </row>
    <row r="31" spans="1:9" ht="14" customHeight="1">
      <c r="A31" t="s">
        <v>516</v>
      </c>
      <c r="B31" s="38" t="s">
        <v>612</v>
      </c>
      <c r="C31" s="38" t="s">
        <v>613</v>
      </c>
      <c r="D31" s="38" t="s">
        <v>612</v>
      </c>
      <c r="E31" t="s">
        <v>509</v>
      </c>
      <c r="F31" t="s">
        <v>520</v>
      </c>
      <c r="H31" s="38" t="s">
        <v>614</v>
      </c>
      <c r="I31" t="s">
        <v>529</v>
      </c>
    </row>
    <row r="32" spans="1:9" ht="14" customHeight="1">
      <c r="A32" t="s">
        <v>516</v>
      </c>
      <c r="B32" s="38" t="s">
        <v>615</v>
      </c>
      <c r="C32" s="38" t="s">
        <v>616</v>
      </c>
      <c r="E32" t="s">
        <v>509</v>
      </c>
      <c r="F32" t="s">
        <v>520</v>
      </c>
      <c r="H32" s="38" t="s">
        <v>617</v>
      </c>
      <c r="I32" t="s">
        <v>529</v>
      </c>
    </row>
    <row r="33" spans="1:9" ht="14" customHeight="1">
      <c r="A33" t="s">
        <v>516</v>
      </c>
      <c r="B33" s="38" t="s">
        <v>618</v>
      </c>
      <c r="C33" s="38" t="s">
        <v>619</v>
      </c>
      <c r="E33" t="s">
        <v>509</v>
      </c>
      <c r="F33" t="s">
        <v>520</v>
      </c>
      <c r="H33" s="38" t="s">
        <v>620</v>
      </c>
      <c r="I33" t="s">
        <v>533</v>
      </c>
    </row>
    <row r="34" spans="1:9" ht="14" customHeight="1">
      <c r="A34" t="s">
        <v>516</v>
      </c>
      <c r="B34" s="38" t="s">
        <v>621</v>
      </c>
      <c r="C34" s="38" t="s">
        <v>622</v>
      </c>
      <c r="D34" s="38" t="s">
        <v>623</v>
      </c>
      <c r="E34" t="s">
        <v>509</v>
      </c>
      <c r="F34" t="s">
        <v>520</v>
      </c>
      <c r="H34" s="38" t="s">
        <v>624</v>
      </c>
      <c r="I34" t="s">
        <v>533</v>
      </c>
    </row>
    <row r="35" spans="1:9" ht="34.25" customHeight="1">
      <c r="A35" t="s">
        <v>516</v>
      </c>
      <c r="B35" s="38" t="s">
        <v>625</v>
      </c>
      <c r="C35" s="38" t="s">
        <v>626</v>
      </c>
      <c r="E35" t="s">
        <v>509</v>
      </c>
      <c r="F35" t="s">
        <v>520</v>
      </c>
      <c r="H35" s="38" t="s">
        <v>627</v>
      </c>
      <c r="I35" t="s">
        <v>533</v>
      </c>
    </row>
    <row r="36" spans="1:9" ht="14" customHeight="1">
      <c r="A36" t="s">
        <v>516</v>
      </c>
      <c r="B36" s="38" t="s">
        <v>628</v>
      </c>
      <c r="C36" s="38" t="s">
        <v>268</v>
      </c>
      <c r="E36" t="s">
        <v>509</v>
      </c>
      <c r="F36" t="s">
        <v>520</v>
      </c>
      <c r="H36" s="38" t="s">
        <v>629</v>
      </c>
      <c r="I36" t="s">
        <v>533</v>
      </c>
    </row>
    <row r="37" spans="1:9" ht="14" customHeight="1">
      <c r="A37" t="s">
        <v>516</v>
      </c>
      <c r="B37" s="38" t="s">
        <v>630</v>
      </c>
      <c r="C37" s="38" t="s">
        <v>270</v>
      </c>
      <c r="D37" s="38" t="s">
        <v>630</v>
      </c>
      <c r="E37" t="s">
        <v>509</v>
      </c>
      <c r="F37" t="s">
        <v>520</v>
      </c>
      <c r="H37" s="38" t="s">
        <v>631</v>
      </c>
      <c r="I37" t="s">
        <v>533</v>
      </c>
    </row>
    <row r="38" spans="1:9" ht="14" customHeight="1">
      <c r="A38" t="s">
        <v>516</v>
      </c>
      <c r="B38" s="38" t="s">
        <v>632</v>
      </c>
      <c r="C38" s="38" t="s">
        <v>633</v>
      </c>
      <c r="E38" t="s">
        <v>509</v>
      </c>
      <c r="F38" t="s">
        <v>520</v>
      </c>
      <c r="H38" s="38" t="s">
        <v>634</v>
      </c>
      <c r="I38" t="s">
        <v>533</v>
      </c>
    </row>
    <row r="39" spans="1:9" ht="14" customHeight="1">
      <c r="A39" t="s">
        <v>516</v>
      </c>
      <c r="B39" s="38" t="s">
        <v>635</v>
      </c>
      <c r="C39" s="38" t="s">
        <v>636</v>
      </c>
      <c r="D39" s="38" t="s">
        <v>635</v>
      </c>
      <c r="E39" t="s">
        <v>509</v>
      </c>
      <c r="F39" t="s">
        <v>520</v>
      </c>
      <c r="H39" s="38" t="s">
        <v>637</v>
      </c>
      <c r="I39" t="s">
        <v>533</v>
      </c>
    </row>
    <row r="40" spans="1:9" ht="14" customHeight="1">
      <c r="A40" t="s">
        <v>516</v>
      </c>
      <c r="B40" s="38" t="s">
        <v>638</v>
      </c>
      <c r="C40" s="38" t="s">
        <v>639</v>
      </c>
      <c r="E40" t="s">
        <v>509</v>
      </c>
      <c r="F40" t="s">
        <v>520</v>
      </c>
      <c r="H40" s="38" t="s">
        <v>640</v>
      </c>
      <c r="I40" t="s">
        <v>533</v>
      </c>
    </row>
    <row r="41" spans="1:9" ht="14" customHeight="1">
      <c r="A41" t="s">
        <v>516</v>
      </c>
      <c r="B41" s="38" t="s">
        <v>641</v>
      </c>
      <c r="C41" s="38" t="s">
        <v>642</v>
      </c>
      <c r="D41" s="38" t="s">
        <v>641</v>
      </c>
      <c r="E41" t="s">
        <v>509</v>
      </c>
      <c r="F41" t="s">
        <v>520</v>
      </c>
      <c r="H41" s="38" t="s">
        <v>643</v>
      </c>
      <c r="I41" t="s">
        <v>533</v>
      </c>
    </row>
    <row r="42" spans="1:9" ht="14" customHeight="1">
      <c r="A42" t="s">
        <v>516</v>
      </c>
      <c r="B42" s="38" t="s">
        <v>644</v>
      </c>
      <c r="C42" s="38" t="s">
        <v>616</v>
      </c>
      <c r="E42" t="s">
        <v>509</v>
      </c>
      <c r="F42" t="s">
        <v>520</v>
      </c>
      <c r="H42" s="38" t="s">
        <v>645</v>
      </c>
      <c r="I42" t="s">
        <v>529</v>
      </c>
    </row>
    <row r="43" spans="1:9" ht="14" customHeight="1">
      <c r="A43" t="s">
        <v>516</v>
      </c>
      <c r="B43" s="38" t="s">
        <v>646</v>
      </c>
      <c r="C43" s="38" t="s">
        <v>647</v>
      </c>
      <c r="E43" t="s">
        <v>509</v>
      </c>
      <c r="F43" t="s">
        <v>520</v>
      </c>
      <c r="H43" s="38" t="s">
        <v>648</v>
      </c>
      <c r="I43" t="s">
        <v>533</v>
      </c>
    </row>
    <row r="44" spans="1:9" ht="83.5" customHeight="1">
      <c r="A44" t="s">
        <v>516</v>
      </c>
      <c r="B44" s="38" t="s">
        <v>649</v>
      </c>
      <c r="C44" s="38" t="s">
        <v>650</v>
      </c>
      <c r="E44" t="s">
        <v>509</v>
      </c>
      <c r="F44" t="s">
        <v>520</v>
      </c>
      <c r="H44" s="38" t="s">
        <v>651</v>
      </c>
      <c r="I44" t="s">
        <v>586</v>
      </c>
    </row>
    <row r="45" spans="1:9" ht="14" customHeight="1">
      <c r="A45" t="s">
        <v>516</v>
      </c>
      <c r="B45" s="38" t="s">
        <v>652</v>
      </c>
      <c r="C45" s="38" t="s">
        <v>653</v>
      </c>
      <c r="D45" s="38" t="s">
        <v>652</v>
      </c>
      <c r="E45" t="s">
        <v>509</v>
      </c>
      <c r="F45" t="s">
        <v>520</v>
      </c>
      <c r="H45" s="38" t="s">
        <v>654</v>
      </c>
      <c r="I45" t="s">
        <v>533</v>
      </c>
    </row>
    <row r="46" spans="1:9" ht="14" customHeight="1">
      <c r="A46" t="s">
        <v>516</v>
      </c>
      <c r="B46" s="38" t="s">
        <v>655</v>
      </c>
      <c r="C46" s="38" t="s">
        <v>656</v>
      </c>
      <c r="D46" s="38" t="s">
        <v>657</v>
      </c>
      <c r="E46" t="s">
        <v>509</v>
      </c>
      <c r="F46" t="s">
        <v>520</v>
      </c>
      <c r="H46" s="38" t="s">
        <v>658</v>
      </c>
      <c r="I46" t="s">
        <v>529</v>
      </c>
    </row>
    <row r="47" spans="1:9" ht="14" customHeight="1">
      <c r="A47" t="s">
        <v>516</v>
      </c>
      <c r="B47" s="38" t="s">
        <v>659</v>
      </c>
      <c r="C47" s="38" t="s">
        <v>660</v>
      </c>
      <c r="D47" s="38" t="s">
        <v>661</v>
      </c>
      <c r="E47" t="s">
        <v>509</v>
      </c>
      <c r="F47" t="s">
        <v>520</v>
      </c>
      <c r="H47" s="38" t="s">
        <v>662</v>
      </c>
      <c r="I47" t="s">
        <v>522</v>
      </c>
    </row>
    <row r="48" spans="1:9" ht="14" customHeight="1">
      <c r="A48" t="s">
        <v>516</v>
      </c>
      <c r="B48" s="38" t="s">
        <v>663</v>
      </c>
      <c r="C48" s="38" t="s">
        <v>664</v>
      </c>
      <c r="D48" s="38" t="s">
        <v>665</v>
      </c>
      <c r="E48" t="s">
        <v>509</v>
      </c>
      <c r="F48" t="s">
        <v>520</v>
      </c>
      <c r="H48" s="38" t="s">
        <v>666</v>
      </c>
      <c r="I48" t="s">
        <v>522</v>
      </c>
    </row>
    <row r="49" spans="1:9" ht="14" customHeight="1">
      <c r="A49" t="s">
        <v>516</v>
      </c>
      <c r="B49" s="38" t="s">
        <v>661</v>
      </c>
      <c r="C49" s="38" t="s">
        <v>660</v>
      </c>
      <c r="D49" s="38" t="s">
        <v>661</v>
      </c>
      <c r="E49" t="s">
        <v>509</v>
      </c>
      <c r="F49" t="s">
        <v>520</v>
      </c>
      <c r="H49" s="38" t="s">
        <v>667</v>
      </c>
      <c r="I49" t="s">
        <v>522</v>
      </c>
    </row>
    <row r="50" spans="1:9" ht="14" customHeight="1">
      <c r="A50" t="s">
        <v>516</v>
      </c>
      <c r="B50" s="38" t="s">
        <v>668</v>
      </c>
      <c r="C50" s="38" t="s">
        <v>664</v>
      </c>
      <c r="D50" s="38" t="s">
        <v>665</v>
      </c>
      <c r="E50" t="s">
        <v>509</v>
      </c>
      <c r="F50" t="s">
        <v>520</v>
      </c>
      <c r="H50" s="38" t="s">
        <v>669</v>
      </c>
      <c r="I50" t="s">
        <v>522</v>
      </c>
    </row>
    <row r="51" spans="1:9" ht="14" customHeight="1">
      <c r="A51" t="s">
        <v>516</v>
      </c>
      <c r="B51" s="38" t="s">
        <v>670</v>
      </c>
      <c r="C51" s="38" t="s">
        <v>671</v>
      </c>
      <c r="E51" t="s">
        <v>509</v>
      </c>
      <c r="F51" t="s">
        <v>584</v>
      </c>
      <c r="H51" s="38" t="s">
        <v>672</v>
      </c>
      <c r="I51" t="s">
        <v>586</v>
      </c>
    </row>
    <row r="52" spans="1:9" ht="14" customHeight="1">
      <c r="A52" t="s">
        <v>516</v>
      </c>
      <c r="B52" s="38" t="s">
        <v>673</v>
      </c>
      <c r="C52" s="38" t="s">
        <v>671</v>
      </c>
      <c r="E52" t="s">
        <v>509</v>
      </c>
      <c r="F52" t="s">
        <v>520</v>
      </c>
      <c r="H52" s="38" t="s">
        <v>674</v>
      </c>
      <c r="I52" t="s">
        <v>586</v>
      </c>
    </row>
    <row r="53" spans="1:9" ht="14" customHeight="1">
      <c r="A53" t="s">
        <v>516</v>
      </c>
      <c r="B53" s="38" t="s">
        <v>675</v>
      </c>
      <c r="C53" s="38" t="s">
        <v>676</v>
      </c>
      <c r="E53" t="s">
        <v>509</v>
      </c>
      <c r="F53" t="s">
        <v>584</v>
      </c>
      <c r="H53" s="38" t="s">
        <v>677</v>
      </c>
      <c r="I53" t="s">
        <v>586</v>
      </c>
    </row>
    <row r="54" spans="1:9" ht="14" customHeight="1">
      <c r="A54" t="s">
        <v>516</v>
      </c>
      <c r="B54" s="38" t="s">
        <v>678</v>
      </c>
      <c r="C54" s="38" t="s">
        <v>679</v>
      </c>
      <c r="D54" s="38" t="s">
        <v>678</v>
      </c>
      <c r="E54" t="s">
        <v>509</v>
      </c>
      <c r="F54" t="s">
        <v>520</v>
      </c>
      <c r="H54" s="38" t="s">
        <v>680</v>
      </c>
    </row>
    <row r="55" spans="1:9" ht="14" customHeight="1">
      <c r="A55" t="s">
        <v>516</v>
      </c>
      <c r="B55" s="38" t="s">
        <v>681</v>
      </c>
      <c r="C55" s="38" t="s">
        <v>682</v>
      </c>
      <c r="D55" s="38" t="s">
        <v>681</v>
      </c>
      <c r="E55" t="s">
        <v>509</v>
      </c>
      <c r="F55" t="s">
        <v>520</v>
      </c>
      <c r="H55" s="38" t="s">
        <v>683</v>
      </c>
      <c r="I55" t="s">
        <v>529</v>
      </c>
    </row>
    <row r="56" spans="1:9" ht="14" customHeight="1">
      <c r="A56" t="s">
        <v>516</v>
      </c>
      <c r="B56" s="38" t="s">
        <v>684</v>
      </c>
      <c r="C56" s="38" t="s">
        <v>685</v>
      </c>
      <c r="D56" s="38" t="s">
        <v>684</v>
      </c>
      <c r="E56" t="s">
        <v>509</v>
      </c>
      <c r="F56" t="s">
        <v>520</v>
      </c>
      <c r="H56" s="38" t="s">
        <v>686</v>
      </c>
      <c r="I56" t="s">
        <v>529</v>
      </c>
    </row>
    <row r="57" spans="1:9" ht="14" customHeight="1">
      <c r="A57" t="s">
        <v>516</v>
      </c>
      <c r="B57" s="38" t="s">
        <v>687</v>
      </c>
      <c r="C57" s="38" t="s">
        <v>688</v>
      </c>
      <c r="D57" s="38" t="s">
        <v>687</v>
      </c>
      <c r="E57" t="s">
        <v>509</v>
      </c>
      <c r="F57" t="s">
        <v>520</v>
      </c>
      <c r="H57" s="38" t="s">
        <v>689</v>
      </c>
      <c r="I57" t="s">
        <v>529</v>
      </c>
    </row>
    <row r="58" spans="1:9" ht="14" customHeight="1">
      <c r="A58" t="s">
        <v>516</v>
      </c>
      <c r="B58" s="38" t="s">
        <v>690</v>
      </c>
      <c r="C58" s="38" t="s">
        <v>688</v>
      </c>
      <c r="D58" s="38" t="s">
        <v>690</v>
      </c>
      <c r="E58" t="s">
        <v>509</v>
      </c>
      <c r="F58" t="s">
        <v>520</v>
      </c>
      <c r="H58" s="38" t="s">
        <v>691</v>
      </c>
      <c r="I58" t="s">
        <v>529</v>
      </c>
    </row>
    <row r="59" spans="1:9" ht="14" customHeight="1">
      <c r="A59" t="s">
        <v>516</v>
      </c>
      <c r="B59" s="38" t="s">
        <v>692</v>
      </c>
      <c r="C59" s="38" t="s">
        <v>693</v>
      </c>
      <c r="D59" s="38" t="s">
        <v>692</v>
      </c>
      <c r="E59" t="s">
        <v>509</v>
      </c>
      <c r="F59" t="s">
        <v>520</v>
      </c>
      <c r="H59" s="38" t="s">
        <v>694</v>
      </c>
      <c r="I59" t="s">
        <v>529</v>
      </c>
    </row>
    <row r="60" spans="1:9" ht="14" customHeight="1">
      <c r="A60" t="s">
        <v>516</v>
      </c>
      <c r="B60" s="38" t="s">
        <v>695</v>
      </c>
      <c r="C60" s="38" t="s">
        <v>696</v>
      </c>
      <c r="D60" s="38" t="s">
        <v>695</v>
      </c>
      <c r="E60" t="s">
        <v>509</v>
      </c>
      <c r="F60" t="s">
        <v>520</v>
      </c>
      <c r="H60" s="38" t="s">
        <v>697</v>
      </c>
      <c r="I60" t="s">
        <v>529</v>
      </c>
    </row>
    <row r="61" spans="1:9" ht="14" customHeight="1">
      <c r="A61" t="s">
        <v>516</v>
      </c>
      <c r="B61" s="38" t="s">
        <v>698</v>
      </c>
      <c r="C61" s="38" t="s">
        <v>699</v>
      </c>
      <c r="D61" s="38" t="s">
        <v>698</v>
      </c>
      <c r="E61" t="s">
        <v>509</v>
      </c>
      <c r="F61" t="s">
        <v>520</v>
      </c>
      <c r="H61" s="38" t="s">
        <v>700</v>
      </c>
      <c r="I61" t="s">
        <v>529</v>
      </c>
    </row>
    <row r="62" spans="1:9" ht="14" customHeight="1">
      <c r="A62" t="s">
        <v>516</v>
      </c>
      <c r="B62" s="38" t="s">
        <v>701</v>
      </c>
      <c r="C62" s="38" t="s">
        <v>702</v>
      </c>
      <c r="D62" s="38" t="s">
        <v>701</v>
      </c>
      <c r="E62" t="s">
        <v>509</v>
      </c>
      <c r="F62" t="s">
        <v>520</v>
      </c>
      <c r="H62" s="38" t="s">
        <v>703</v>
      </c>
      <c r="I62" t="s">
        <v>529</v>
      </c>
    </row>
    <row r="63" spans="1:9" ht="14" customHeight="1">
      <c r="A63" t="s">
        <v>516</v>
      </c>
      <c r="B63" s="38" t="s">
        <v>704</v>
      </c>
      <c r="C63" s="38" t="s">
        <v>705</v>
      </c>
      <c r="D63" s="38" t="s">
        <v>706</v>
      </c>
      <c r="E63" t="s">
        <v>509</v>
      </c>
      <c r="F63" t="s">
        <v>520</v>
      </c>
      <c r="H63" s="38" t="s">
        <v>707</v>
      </c>
      <c r="I63" t="s">
        <v>529</v>
      </c>
    </row>
    <row r="64" spans="1:9" ht="14" customHeight="1">
      <c r="A64" t="s">
        <v>516</v>
      </c>
      <c r="B64" s="38" t="s">
        <v>708</v>
      </c>
      <c r="C64" s="38" t="s">
        <v>709</v>
      </c>
      <c r="D64" s="38" t="s">
        <v>708</v>
      </c>
      <c r="E64" t="s">
        <v>509</v>
      </c>
      <c r="F64" t="s">
        <v>520</v>
      </c>
      <c r="H64" s="38" t="s">
        <v>710</v>
      </c>
      <c r="I64" t="s">
        <v>529</v>
      </c>
    </row>
    <row r="65" spans="1:9" ht="14" customHeight="1">
      <c r="A65" t="s">
        <v>516</v>
      </c>
      <c r="B65" s="38" t="s">
        <v>711</v>
      </c>
      <c r="C65" s="38" t="s">
        <v>712</v>
      </c>
      <c r="D65" s="38" t="s">
        <v>713</v>
      </c>
      <c r="E65" t="s">
        <v>509</v>
      </c>
      <c r="F65" t="s">
        <v>520</v>
      </c>
      <c r="H65" s="38" t="s">
        <v>714</v>
      </c>
      <c r="I65" t="s">
        <v>529</v>
      </c>
    </row>
    <row r="66" spans="1:9" ht="14" customHeight="1">
      <c r="A66" t="s">
        <v>516</v>
      </c>
      <c r="B66" s="38" t="s">
        <v>715</v>
      </c>
      <c r="C66" s="38" t="s">
        <v>716</v>
      </c>
      <c r="D66" s="38" t="s">
        <v>715</v>
      </c>
      <c r="E66" t="s">
        <v>509</v>
      </c>
      <c r="F66" t="s">
        <v>520</v>
      </c>
      <c r="H66" s="38" t="s">
        <v>717</v>
      </c>
      <c r="I66" t="s">
        <v>529</v>
      </c>
    </row>
    <row r="67" spans="1:9" ht="14" customHeight="1">
      <c r="A67" t="s">
        <v>516</v>
      </c>
      <c r="B67" s="38" t="s">
        <v>718</v>
      </c>
      <c r="C67" s="38" t="s">
        <v>719</v>
      </c>
      <c r="D67" s="38" t="s">
        <v>718</v>
      </c>
      <c r="E67" t="s">
        <v>509</v>
      </c>
      <c r="F67" t="s">
        <v>520</v>
      </c>
      <c r="H67" s="38" t="s">
        <v>720</v>
      </c>
      <c r="I67" t="s">
        <v>529</v>
      </c>
    </row>
    <row r="68" spans="1:9" ht="14" customHeight="1">
      <c r="A68" t="s">
        <v>516</v>
      </c>
      <c r="B68" s="38" t="s">
        <v>721</v>
      </c>
      <c r="C68" s="38" t="s">
        <v>722</v>
      </c>
      <c r="D68" s="38" t="s">
        <v>721</v>
      </c>
      <c r="E68" t="s">
        <v>509</v>
      </c>
      <c r="F68" t="s">
        <v>520</v>
      </c>
      <c r="H68" s="38" t="s">
        <v>723</v>
      </c>
      <c r="I68" t="s">
        <v>529</v>
      </c>
    </row>
    <row r="69" spans="1:9" ht="14" customHeight="1">
      <c r="A69" t="s">
        <v>516</v>
      </c>
      <c r="B69" s="38" t="s">
        <v>724</v>
      </c>
      <c r="C69" s="38" t="s">
        <v>725</v>
      </c>
      <c r="D69" s="38" t="s">
        <v>724</v>
      </c>
      <c r="E69" t="s">
        <v>509</v>
      </c>
      <c r="F69" t="s">
        <v>520</v>
      </c>
      <c r="H69" s="38" t="s">
        <v>726</v>
      </c>
      <c r="I69" t="s">
        <v>529</v>
      </c>
    </row>
    <row r="70" spans="1:9" ht="14" customHeight="1">
      <c r="A70" t="s">
        <v>516</v>
      </c>
      <c r="B70" s="38" t="s">
        <v>727</v>
      </c>
      <c r="C70" s="38" t="s">
        <v>728</v>
      </c>
      <c r="D70" s="38" t="s">
        <v>727</v>
      </c>
      <c r="E70" t="s">
        <v>509</v>
      </c>
      <c r="F70" t="s">
        <v>520</v>
      </c>
      <c r="H70" s="38" t="s">
        <v>729</v>
      </c>
      <c r="I70" t="s">
        <v>529</v>
      </c>
    </row>
    <row r="71" spans="1:9" ht="14" customHeight="1">
      <c r="A71" t="s">
        <v>516</v>
      </c>
      <c r="B71" s="38" t="s">
        <v>730</v>
      </c>
      <c r="C71" s="38" t="s">
        <v>731</v>
      </c>
      <c r="E71" t="s">
        <v>509</v>
      </c>
      <c r="F71" t="s">
        <v>520</v>
      </c>
      <c r="H71" s="38" t="s">
        <v>732</v>
      </c>
      <c r="I71" t="s">
        <v>529</v>
      </c>
    </row>
    <row r="72" spans="1:9" ht="14" customHeight="1">
      <c r="A72" t="s">
        <v>516</v>
      </c>
      <c r="B72" s="38" t="s">
        <v>733</v>
      </c>
      <c r="C72" s="38" t="s">
        <v>734</v>
      </c>
      <c r="D72" s="38" t="s">
        <v>735</v>
      </c>
      <c r="E72" t="s">
        <v>509</v>
      </c>
      <c r="F72" t="s">
        <v>520</v>
      </c>
      <c r="H72" s="38" t="s">
        <v>736</v>
      </c>
      <c r="I72" t="s">
        <v>529</v>
      </c>
    </row>
    <row r="73" spans="1:9" ht="14" customHeight="1">
      <c r="A73" t="s">
        <v>516</v>
      </c>
      <c r="B73" s="38" t="s">
        <v>737</v>
      </c>
      <c r="C73" s="38" t="s">
        <v>738</v>
      </c>
      <c r="E73" t="s">
        <v>509</v>
      </c>
      <c r="F73" t="s">
        <v>584</v>
      </c>
      <c r="H73" s="38" t="s">
        <v>739</v>
      </c>
      <c r="I73" t="s">
        <v>529</v>
      </c>
    </row>
    <row r="74" spans="1:9" ht="14" customHeight="1">
      <c r="A74" t="s">
        <v>516</v>
      </c>
      <c r="B74" s="38" t="s">
        <v>740</v>
      </c>
      <c r="C74" s="38" t="s">
        <v>741</v>
      </c>
      <c r="E74" t="s">
        <v>509</v>
      </c>
      <c r="F74" t="s">
        <v>584</v>
      </c>
      <c r="H74" s="38" t="s">
        <v>742</v>
      </c>
      <c r="I74" t="s">
        <v>586</v>
      </c>
    </row>
    <row r="75" spans="1:9" ht="14" customHeight="1">
      <c r="A75" t="s">
        <v>516</v>
      </c>
      <c r="B75" s="38" t="s">
        <v>743</v>
      </c>
      <c r="C75" s="38" t="s">
        <v>744</v>
      </c>
      <c r="E75" t="s">
        <v>509</v>
      </c>
      <c r="F75" t="s">
        <v>520</v>
      </c>
      <c r="H75" s="38" t="s">
        <v>745</v>
      </c>
      <c r="I75" t="s">
        <v>529</v>
      </c>
    </row>
    <row r="76" spans="1:9" ht="14" customHeight="1">
      <c r="A76" t="s">
        <v>516</v>
      </c>
      <c r="B76" s="38" t="s">
        <v>746</v>
      </c>
      <c r="C76" s="38" t="s">
        <v>747</v>
      </c>
      <c r="D76" s="38" t="s">
        <v>746</v>
      </c>
      <c r="E76" t="s">
        <v>509</v>
      </c>
      <c r="F76" t="s">
        <v>520</v>
      </c>
      <c r="H76" s="38" t="s">
        <v>748</v>
      </c>
      <c r="I76" t="s">
        <v>586</v>
      </c>
    </row>
    <row r="77" spans="1:9" ht="14" customHeight="1">
      <c r="A77" t="s">
        <v>516</v>
      </c>
      <c r="B77" s="38" t="s">
        <v>749</v>
      </c>
      <c r="C77" s="38" t="s">
        <v>750</v>
      </c>
      <c r="D77" s="38" t="s">
        <v>749</v>
      </c>
      <c r="E77" t="s">
        <v>509</v>
      </c>
      <c r="F77" t="s">
        <v>520</v>
      </c>
      <c r="H77" s="38" t="s">
        <v>751</v>
      </c>
      <c r="I77" t="s">
        <v>586</v>
      </c>
    </row>
    <row r="78" spans="1:9" ht="14" customHeight="1">
      <c r="A78" t="s">
        <v>516</v>
      </c>
      <c r="B78" s="38" t="s">
        <v>752</v>
      </c>
      <c r="C78" s="38" t="s">
        <v>753</v>
      </c>
      <c r="D78" s="38" t="s">
        <v>752</v>
      </c>
      <c r="E78" t="s">
        <v>509</v>
      </c>
      <c r="F78" t="s">
        <v>520</v>
      </c>
      <c r="H78" s="38" t="s">
        <v>754</v>
      </c>
      <c r="I78" t="s">
        <v>586</v>
      </c>
    </row>
    <row r="79" spans="1:9" ht="14" customHeight="1">
      <c r="A79" t="s">
        <v>516</v>
      </c>
      <c r="B79" s="38" t="s">
        <v>755</v>
      </c>
      <c r="C79" s="38" t="s">
        <v>756</v>
      </c>
      <c r="E79" t="s">
        <v>509</v>
      </c>
      <c r="F79" t="s">
        <v>520</v>
      </c>
      <c r="H79" s="38" t="s">
        <v>757</v>
      </c>
      <c r="I79" t="s">
        <v>529</v>
      </c>
    </row>
    <row r="80" spans="1:9" ht="224">
      <c r="A80" t="s">
        <v>516</v>
      </c>
      <c r="B80" s="38" t="s">
        <v>758</v>
      </c>
      <c r="C80" s="38" t="s">
        <v>759</v>
      </c>
      <c r="D80" s="38" t="s">
        <v>760</v>
      </c>
      <c r="E80" t="s">
        <v>509</v>
      </c>
      <c r="F80" t="s">
        <v>520</v>
      </c>
      <c r="H80" s="38" t="s">
        <v>761</v>
      </c>
      <c r="I80" t="s">
        <v>529</v>
      </c>
    </row>
    <row r="81" spans="1:9" ht="48">
      <c r="A81" t="s">
        <v>762</v>
      </c>
      <c r="B81" s="38" t="s">
        <v>763</v>
      </c>
      <c r="C81" s="38" t="s">
        <v>764</v>
      </c>
      <c r="E81" t="s">
        <v>509</v>
      </c>
      <c r="F81" t="s">
        <v>765</v>
      </c>
      <c r="H81" s="38" t="s">
        <v>766</v>
      </c>
      <c r="I81" t="s">
        <v>529</v>
      </c>
    </row>
    <row r="82" spans="1:9" ht="48">
      <c r="A82" t="s">
        <v>762</v>
      </c>
      <c r="B82" s="38" t="s">
        <v>767</v>
      </c>
      <c r="C82" s="38" t="s">
        <v>764</v>
      </c>
      <c r="E82" t="s">
        <v>509</v>
      </c>
      <c r="F82" t="s">
        <v>765</v>
      </c>
      <c r="H82" s="38" t="s">
        <v>768</v>
      </c>
      <c r="I82" t="s">
        <v>529</v>
      </c>
    </row>
    <row r="83" spans="1:9" ht="48">
      <c r="A83" t="s">
        <v>762</v>
      </c>
      <c r="B83" s="38" t="s">
        <v>769</v>
      </c>
      <c r="C83" s="38" t="s">
        <v>770</v>
      </c>
      <c r="D83" s="38" t="s">
        <v>771</v>
      </c>
      <c r="E83" t="s">
        <v>509</v>
      </c>
      <c r="F83" t="s">
        <v>765</v>
      </c>
      <c r="H83" s="38" t="s">
        <v>772</v>
      </c>
      <c r="I83" t="s">
        <v>529</v>
      </c>
    </row>
    <row r="84" spans="1:9" ht="409.6">
      <c r="A84" t="s">
        <v>762</v>
      </c>
      <c r="B84" s="38" t="s">
        <v>773</v>
      </c>
      <c r="C84" s="38" t="s">
        <v>774</v>
      </c>
      <c r="E84" t="s">
        <v>509</v>
      </c>
      <c r="F84" t="s">
        <v>584</v>
      </c>
      <c r="H84" s="38" t="s">
        <v>775</v>
      </c>
      <c r="I84" t="s">
        <v>529</v>
      </c>
    </row>
    <row r="85" spans="1:9" ht="14" customHeight="1">
      <c r="A85" t="s">
        <v>516</v>
      </c>
      <c r="B85" s="38" t="s">
        <v>776</v>
      </c>
      <c r="C85" s="38" t="s">
        <v>777</v>
      </c>
      <c r="D85" s="38" t="s">
        <v>776</v>
      </c>
      <c r="E85" t="s">
        <v>778</v>
      </c>
      <c r="F85" t="s">
        <v>520</v>
      </c>
      <c r="H85" s="38" t="s">
        <v>779</v>
      </c>
      <c r="I85" t="s">
        <v>533</v>
      </c>
    </row>
    <row r="86" spans="1:9" ht="14" customHeight="1">
      <c r="A86" t="s">
        <v>516</v>
      </c>
      <c r="B86" s="38" t="s">
        <v>780</v>
      </c>
      <c r="C86" s="38" t="s">
        <v>781</v>
      </c>
      <c r="D86" s="38" t="s">
        <v>780</v>
      </c>
      <c r="E86" t="s">
        <v>778</v>
      </c>
      <c r="F86" t="s">
        <v>520</v>
      </c>
      <c r="H86" s="38" t="s">
        <v>782</v>
      </c>
      <c r="I86" t="s">
        <v>533</v>
      </c>
    </row>
    <row r="87" spans="1:9" ht="176">
      <c r="A87" t="s">
        <v>516</v>
      </c>
      <c r="B87" s="38" t="s">
        <v>783</v>
      </c>
      <c r="C87" s="38" t="s">
        <v>784</v>
      </c>
      <c r="D87" s="38" t="s">
        <v>783</v>
      </c>
      <c r="E87" t="s">
        <v>778</v>
      </c>
      <c r="F87" t="s">
        <v>520</v>
      </c>
      <c r="H87" s="38" t="s">
        <v>785</v>
      </c>
      <c r="I87" t="s">
        <v>533</v>
      </c>
    </row>
    <row r="88" spans="1:9" ht="14" customHeight="1">
      <c r="A88" t="s">
        <v>516</v>
      </c>
      <c r="B88" s="38" t="s">
        <v>786</v>
      </c>
      <c r="C88" s="38" t="s">
        <v>787</v>
      </c>
      <c r="D88" s="38" t="s">
        <v>786</v>
      </c>
      <c r="E88" t="s">
        <v>778</v>
      </c>
      <c r="F88" t="s">
        <v>520</v>
      </c>
      <c r="H88" s="38" t="s">
        <v>788</v>
      </c>
      <c r="I88" t="s">
        <v>533</v>
      </c>
    </row>
    <row r="89" spans="1:9" ht="14" customHeight="1">
      <c r="A89" t="s">
        <v>516</v>
      </c>
      <c r="B89" s="38" t="s">
        <v>789</v>
      </c>
      <c r="C89" s="38" t="s">
        <v>790</v>
      </c>
      <c r="D89" s="38" t="s">
        <v>789</v>
      </c>
      <c r="E89" t="s">
        <v>778</v>
      </c>
      <c r="F89" t="s">
        <v>520</v>
      </c>
      <c r="H89" s="38" t="s">
        <v>791</v>
      </c>
      <c r="I89" t="s">
        <v>533</v>
      </c>
    </row>
    <row r="90" spans="1:9" ht="14" customHeight="1">
      <c r="A90" t="s">
        <v>516</v>
      </c>
      <c r="B90" s="38" t="s">
        <v>792</v>
      </c>
      <c r="C90" s="38" t="s">
        <v>793</v>
      </c>
      <c r="D90" s="38" t="s">
        <v>792</v>
      </c>
      <c r="E90" t="s">
        <v>778</v>
      </c>
      <c r="F90" t="s">
        <v>520</v>
      </c>
      <c r="H90" s="38" t="s">
        <v>794</v>
      </c>
      <c r="I90" t="s">
        <v>533</v>
      </c>
    </row>
    <row r="91" spans="1:9" ht="14" customHeight="1">
      <c r="A91" t="s">
        <v>516</v>
      </c>
      <c r="B91" s="38" t="s">
        <v>795</v>
      </c>
      <c r="C91" s="38" t="s">
        <v>796</v>
      </c>
      <c r="D91" s="38" t="s">
        <v>795</v>
      </c>
      <c r="E91" t="s">
        <v>778</v>
      </c>
      <c r="F91" t="s">
        <v>520</v>
      </c>
      <c r="H91" s="38" t="s">
        <v>797</v>
      </c>
      <c r="I91" t="s">
        <v>533</v>
      </c>
    </row>
    <row r="92" spans="1:9" ht="14" customHeight="1">
      <c r="A92" t="s">
        <v>516</v>
      </c>
      <c r="B92" s="38" t="s">
        <v>798</v>
      </c>
      <c r="C92" s="38" t="s">
        <v>799</v>
      </c>
      <c r="E92" t="s">
        <v>778</v>
      </c>
      <c r="F92" t="s">
        <v>520</v>
      </c>
      <c r="H92" s="38" t="s">
        <v>800</v>
      </c>
      <c r="I92" t="s">
        <v>533</v>
      </c>
    </row>
    <row r="93" spans="1:9" ht="14" customHeight="1">
      <c r="A93" t="s">
        <v>516</v>
      </c>
      <c r="B93" s="38" t="s">
        <v>801</v>
      </c>
      <c r="C93" s="38" t="s">
        <v>802</v>
      </c>
      <c r="D93" s="38" t="s">
        <v>801</v>
      </c>
      <c r="E93" t="s">
        <v>778</v>
      </c>
      <c r="F93" t="s">
        <v>520</v>
      </c>
      <c r="H93" s="38" t="s">
        <v>803</v>
      </c>
      <c r="I93" t="s">
        <v>533</v>
      </c>
    </row>
    <row r="94" spans="1:9" ht="14" customHeight="1">
      <c r="A94" t="s">
        <v>516</v>
      </c>
      <c r="B94" s="38" t="s">
        <v>804</v>
      </c>
      <c r="C94" s="38" t="s">
        <v>802</v>
      </c>
      <c r="D94" s="38" t="s">
        <v>805</v>
      </c>
      <c r="E94" t="s">
        <v>778</v>
      </c>
      <c r="F94" t="s">
        <v>520</v>
      </c>
      <c r="H94" s="38" t="s">
        <v>806</v>
      </c>
      <c r="I94" t="s">
        <v>533</v>
      </c>
    </row>
    <row r="95" spans="1:9" ht="14" customHeight="1">
      <c r="A95" t="s">
        <v>516</v>
      </c>
      <c r="B95" s="38" t="s">
        <v>807</v>
      </c>
      <c r="C95" s="38" t="s">
        <v>808</v>
      </c>
      <c r="D95" s="38" t="s">
        <v>807</v>
      </c>
      <c r="E95" t="s">
        <v>778</v>
      </c>
      <c r="F95" t="s">
        <v>520</v>
      </c>
      <c r="H95" s="38" t="s">
        <v>809</v>
      </c>
      <c r="I95" t="s">
        <v>533</v>
      </c>
    </row>
    <row r="96" spans="1:9" ht="14" customHeight="1">
      <c r="A96" t="s">
        <v>516</v>
      </c>
      <c r="B96" s="38" t="s">
        <v>810</v>
      </c>
      <c r="C96" s="38" t="s">
        <v>811</v>
      </c>
      <c r="D96" s="38" t="s">
        <v>810</v>
      </c>
      <c r="E96" t="s">
        <v>778</v>
      </c>
      <c r="F96" t="s">
        <v>520</v>
      </c>
      <c r="H96" s="38" t="s">
        <v>812</v>
      </c>
      <c r="I96" t="s">
        <v>533</v>
      </c>
    </row>
    <row r="97" spans="1:9" ht="14" customHeight="1">
      <c r="A97" t="s">
        <v>516</v>
      </c>
      <c r="B97" s="38" t="s">
        <v>813</v>
      </c>
      <c r="C97" s="38" t="s">
        <v>814</v>
      </c>
      <c r="D97" s="38" t="s">
        <v>813</v>
      </c>
      <c r="E97" t="s">
        <v>778</v>
      </c>
      <c r="F97" t="s">
        <v>520</v>
      </c>
      <c r="H97" s="38" t="s">
        <v>815</v>
      </c>
      <c r="I97" t="s">
        <v>533</v>
      </c>
    </row>
    <row r="98" spans="1:9" ht="14" customHeight="1">
      <c r="A98" t="s">
        <v>516</v>
      </c>
      <c r="B98" s="38" t="s">
        <v>816</v>
      </c>
      <c r="C98" s="38" t="s">
        <v>817</v>
      </c>
      <c r="D98" s="38" t="s">
        <v>816</v>
      </c>
      <c r="E98" t="s">
        <v>778</v>
      </c>
      <c r="F98" t="s">
        <v>520</v>
      </c>
      <c r="H98" s="38" t="s">
        <v>818</v>
      </c>
      <c r="I98" t="s">
        <v>533</v>
      </c>
    </row>
    <row r="99" spans="1:9" ht="14" customHeight="1">
      <c r="A99" t="s">
        <v>516</v>
      </c>
      <c r="B99" s="38" t="s">
        <v>819</v>
      </c>
      <c r="C99" s="38" t="s">
        <v>820</v>
      </c>
      <c r="D99" s="38" t="s">
        <v>819</v>
      </c>
      <c r="E99" t="s">
        <v>778</v>
      </c>
      <c r="F99" t="s">
        <v>520</v>
      </c>
      <c r="H99" s="38" t="s">
        <v>821</v>
      </c>
      <c r="I99" t="s">
        <v>533</v>
      </c>
    </row>
    <row r="100" spans="1:9" ht="14" customHeight="1">
      <c r="A100" t="s">
        <v>516</v>
      </c>
      <c r="B100" s="38" t="s">
        <v>822</v>
      </c>
      <c r="C100" s="38" t="s">
        <v>823</v>
      </c>
      <c r="D100" s="38" t="s">
        <v>822</v>
      </c>
      <c r="E100" t="s">
        <v>778</v>
      </c>
      <c r="F100" t="s">
        <v>520</v>
      </c>
      <c r="H100" s="38" t="s">
        <v>824</v>
      </c>
      <c r="I100" t="s">
        <v>533</v>
      </c>
    </row>
    <row r="101" spans="1:9" ht="14" customHeight="1">
      <c r="A101" t="s">
        <v>516</v>
      </c>
      <c r="B101" s="38" t="s">
        <v>825</v>
      </c>
      <c r="C101" s="38" t="s">
        <v>826</v>
      </c>
      <c r="D101" s="38" t="s">
        <v>825</v>
      </c>
      <c r="E101" t="s">
        <v>778</v>
      </c>
      <c r="F101" t="s">
        <v>520</v>
      </c>
      <c r="H101" s="38" t="s">
        <v>827</v>
      </c>
      <c r="I101" t="s">
        <v>533</v>
      </c>
    </row>
    <row r="102" spans="1:9" ht="14" customHeight="1">
      <c r="A102" t="s">
        <v>516</v>
      </c>
      <c r="B102" s="38" t="s">
        <v>828</v>
      </c>
      <c r="C102" s="38" t="s">
        <v>829</v>
      </c>
      <c r="D102" s="38" t="s">
        <v>830</v>
      </c>
      <c r="E102" t="s">
        <v>778</v>
      </c>
      <c r="F102" t="s">
        <v>520</v>
      </c>
      <c r="H102" s="38" t="s">
        <v>831</v>
      </c>
      <c r="I102" t="s">
        <v>533</v>
      </c>
    </row>
    <row r="103" spans="1:9" ht="14" customHeight="1">
      <c r="A103" t="s">
        <v>516</v>
      </c>
      <c r="B103" s="38" t="s">
        <v>832</v>
      </c>
      <c r="C103" s="38" t="s">
        <v>833</v>
      </c>
      <c r="D103" s="38" t="s">
        <v>832</v>
      </c>
      <c r="E103" t="s">
        <v>778</v>
      </c>
      <c r="F103" t="s">
        <v>520</v>
      </c>
      <c r="H103" s="38" t="s">
        <v>834</v>
      </c>
      <c r="I103" t="s">
        <v>533</v>
      </c>
    </row>
    <row r="104" spans="1:9" ht="14" customHeight="1">
      <c r="A104" t="s">
        <v>516</v>
      </c>
      <c r="B104" s="38" t="s">
        <v>835</v>
      </c>
      <c r="C104" s="38" t="s">
        <v>836</v>
      </c>
      <c r="D104" s="38" t="s">
        <v>835</v>
      </c>
      <c r="E104" t="s">
        <v>778</v>
      </c>
      <c r="F104" t="s">
        <v>520</v>
      </c>
      <c r="H104" s="38" t="s">
        <v>837</v>
      </c>
      <c r="I104" t="s">
        <v>533</v>
      </c>
    </row>
    <row r="105" spans="1:9" ht="14" customHeight="1">
      <c r="A105" t="s">
        <v>516</v>
      </c>
      <c r="B105" s="38" t="s">
        <v>838</v>
      </c>
      <c r="C105" s="38" t="s">
        <v>839</v>
      </c>
      <c r="D105" s="38" t="s">
        <v>840</v>
      </c>
      <c r="E105" t="s">
        <v>778</v>
      </c>
      <c r="F105" t="s">
        <v>520</v>
      </c>
      <c r="H105" s="38" t="s">
        <v>841</v>
      </c>
      <c r="I105" t="s">
        <v>533</v>
      </c>
    </row>
    <row r="106" spans="1:9" ht="14" customHeight="1">
      <c r="A106" t="s">
        <v>516</v>
      </c>
      <c r="B106" s="38" t="s">
        <v>842</v>
      </c>
      <c r="C106" s="38" t="s">
        <v>843</v>
      </c>
      <c r="D106" s="38" t="s">
        <v>842</v>
      </c>
      <c r="E106" t="s">
        <v>778</v>
      </c>
      <c r="F106" t="s">
        <v>520</v>
      </c>
      <c r="H106" s="38" t="s">
        <v>844</v>
      </c>
      <c r="I106" t="s">
        <v>529</v>
      </c>
    </row>
    <row r="107" spans="1:9" ht="14" customHeight="1">
      <c r="A107" t="s">
        <v>516</v>
      </c>
      <c r="B107" s="38" t="s">
        <v>845</v>
      </c>
      <c r="C107" s="38" t="s">
        <v>846</v>
      </c>
      <c r="D107" s="38" t="s">
        <v>845</v>
      </c>
      <c r="E107" t="s">
        <v>778</v>
      </c>
      <c r="F107" t="s">
        <v>520</v>
      </c>
      <c r="H107" s="38" t="s">
        <v>847</v>
      </c>
      <c r="I107" t="s">
        <v>533</v>
      </c>
    </row>
    <row r="108" spans="1:9" ht="14" customHeight="1">
      <c r="A108" t="s">
        <v>516</v>
      </c>
      <c r="B108" s="38" t="s">
        <v>848</v>
      </c>
      <c r="C108" s="38" t="s">
        <v>849</v>
      </c>
      <c r="D108" s="38" t="s">
        <v>848</v>
      </c>
      <c r="E108" t="s">
        <v>778</v>
      </c>
      <c r="F108" t="s">
        <v>520</v>
      </c>
      <c r="H108" s="38" t="s">
        <v>850</v>
      </c>
      <c r="I108" t="s">
        <v>533</v>
      </c>
    </row>
    <row r="109" spans="1:9" ht="14" customHeight="1">
      <c r="A109" t="s">
        <v>516</v>
      </c>
      <c r="B109" s="38" t="s">
        <v>851</v>
      </c>
      <c r="C109" s="38" t="s">
        <v>852</v>
      </c>
      <c r="D109" s="38" t="s">
        <v>851</v>
      </c>
      <c r="E109" t="s">
        <v>778</v>
      </c>
      <c r="F109" t="s">
        <v>520</v>
      </c>
      <c r="H109" s="38" t="s">
        <v>853</v>
      </c>
      <c r="I109" t="s">
        <v>533</v>
      </c>
    </row>
    <row r="110" spans="1:9" ht="14" customHeight="1">
      <c r="A110" t="s">
        <v>516</v>
      </c>
      <c r="B110" s="38" t="s">
        <v>854</v>
      </c>
      <c r="C110" s="38" t="s">
        <v>855</v>
      </c>
      <c r="D110" s="38" t="s">
        <v>854</v>
      </c>
      <c r="E110" t="s">
        <v>778</v>
      </c>
      <c r="F110" t="s">
        <v>520</v>
      </c>
      <c r="H110" s="38" t="s">
        <v>856</v>
      </c>
      <c r="I110" t="s">
        <v>533</v>
      </c>
    </row>
    <row r="111" spans="1:9" ht="14" customHeight="1">
      <c r="A111" t="s">
        <v>516</v>
      </c>
      <c r="B111" s="38" t="s">
        <v>857</v>
      </c>
      <c r="C111" s="38" t="s">
        <v>858</v>
      </c>
      <c r="D111" s="38" t="s">
        <v>857</v>
      </c>
      <c r="E111" t="s">
        <v>778</v>
      </c>
      <c r="F111" t="s">
        <v>520</v>
      </c>
      <c r="H111" s="38" t="s">
        <v>859</v>
      </c>
      <c r="I111" t="s">
        <v>533</v>
      </c>
    </row>
    <row r="112" spans="1:9" ht="14" customHeight="1">
      <c r="A112" t="s">
        <v>516</v>
      </c>
      <c r="B112" s="38" t="s">
        <v>860</v>
      </c>
      <c r="C112" s="38" t="s">
        <v>861</v>
      </c>
      <c r="D112" s="38" t="s">
        <v>860</v>
      </c>
      <c r="E112" t="s">
        <v>778</v>
      </c>
      <c r="F112" t="s">
        <v>520</v>
      </c>
      <c r="H112" s="38" t="s">
        <v>862</v>
      </c>
      <c r="I112" t="s">
        <v>533</v>
      </c>
    </row>
    <row r="113" spans="1:9" ht="14" customHeight="1">
      <c r="A113" t="s">
        <v>516</v>
      </c>
      <c r="B113" s="38" t="s">
        <v>863</v>
      </c>
      <c r="C113" s="38" t="s">
        <v>864</v>
      </c>
      <c r="D113" s="38" t="s">
        <v>863</v>
      </c>
      <c r="E113" t="s">
        <v>778</v>
      </c>
      <c r="F113" t="s">
        <v>520</v>
      </c>
      <c r="H113" s="38" t="s">
        <v>865</v>
      </c>
      <c r="I113" t="s">
        <v>533</v>
      </c>
    </row>
    <row r="114" spans="1:9" ht="14" customHeight="1">
      <c r="A114" t="s">
        <v>516</v>
      </c>
      <c r="B114" s="38" t="s">
        <v>866</v>
      </c>
      <c r="C114" s="38" t="s">
        <v>867</v>
      </c>
      <c r="D114" s="38" t="s">
        <v>866</v>
      </c>
      <c r="E114" t="s">
        <v>778</v>
      </c>
      <c r="F114" t="s">
        <v>520</v>
      </c>
      <c r="H114" s="38" t="s">
        <v>868</v>
      </c>
      <c r="I114" t="s">
        <v>533</v>
      </c>
    </row>
    <row r="115" spans="1:9" ht="14" customHeight="1">
      <c r="A115" t="s">
        <v>516</v>
      </c>
      <c r="B115" s="38" t="s">
        <v>869</v>
      </c>
      <c r="C115" s="38" t="s">
        <v>870</v>
      </c>
      <c r="D115" s="38" t="s">
        <v>869</v>
      </c>
      <c r="E115" t="s">
        <v>778</v>
      </c>
      <c r="F115" t="s">
        <v>520</v>
      </c>
      <c r="H115" s="38" t="s">
        <v>871</v>
      </c>
      <c r="I115" t="s">
        <v>533</v>
      </c>
    </row>
    <row r="116" spans="1:9" ht="14" customHeight="1">
      <c r="A116" t="s">
        <v>516</v>
      </c>
      <c r="B116" s="38" t="s">
        <v>872</v>
      </c>
      <c r="C116" s="38" t="s">
        <v>873</v>
      </c>
      <c r="D116" s="38" t="s">
        <v>872</v>
      </c>
      <c r="E116" t="s">
        <v>778</v>
      </c>
      <c r="F116" t="s">
        <v>520</v>
      </c>
      <c r="H116" s="38" t="s">
        <v>874</v>
      </c>
      <c r="I116" t="s">
        <v>533</v>
      </c>
    </row>
    <row r="117" spans="1:9" ht="14" customHeight="1">
      <c r="A117" t="s">
        <v>516</v>
      </c>
      <c r="B117" s="38" t="s">
        <v>875</v>
      </c>
      <c r="C117" s="38" t="s">
        <v>876</v>
      </c>
      <c r="D117" s="38" t="s">
        <v>875</v>
      </c>
      <c r="E117" t="s">
        <v>778</v>
      </c>
      <c r="F117" t="s">
        <v>520</v>
      </c>
      <c r="H117" s="38" t="s">
        <v>877</v>
      </c>
      <c r="I117" t="s">
        <v>533</v>
      </c>
    </row>
    <row r="118" spans="1:9" ht="14" customHeight="1">
      <c r="A118" t="s">
        <v>516</v>
      </c>
      <c r="B118" s="38" t="s">
        <v>878</v>
      </c>
      <c r="C118" s="38" t="s">
        <v>879</v>
      </c>
      <c r="D118" s="38" t="s">
        <v>878</v>
      </c>
      <c r="E118" t="s">
        <v>778</v>
      </c>
      <c r="F118" t="s">
        <v>520</v>
      </c>
      <c r="H118" s="38" t="s">
        <v>880</v>
      </c>
      <c r="I118" t="s">
        <v>533</v>
      </c>
    </row>
    <row r="119" spans="1:9" ht="14" customHeight="1">
      <c r="A119" t="s">
        <v>516</v>
      </c>
      <c r="B119" s="38" t="s">
        <v>881</v>
      </c>
      <c r="C119" s="38" t="s">
        <v>882</v>
      </c>
      <c r="D119" s="38" t="s">
        <v>881</v>
      </c>
      <c r="E119" t="s">
        <v>778</v>
      </c>
      <c r="F119" t="s">
        <v>520</v>
      </c>
      <c r="H119" s="38" t="s">
        <v>883</v>
      </c>
      <c r="I119" t="s">
        <v>533</v>
      </c>
    </row>
    <row r="120" spans="1:9" ht="14" customHeight="1">
      <c r="A120" t="s">
        <v>516</v>
      </c>
      <c r="B120" s="38" t="s">
        <v>884</v>
      </c>
      <c r="C120" s="38" t="s">
        <v>885</v>
      </c>
      <c r="D120" s="38" t="s">
        <v>884</v>
      </c>
      <c r="E120" t="s">
        <v>778</v>
      </c>
      <c r="F120" t="s">
        <v>520</v>
      </c>
      <c r="H120" s="38" t="s">
        <v>886</v>
      </c>
      <c r="I120" t="s">
        <v>533</v>
      </c>
    </row>
    <row r="121" spans="1:9" ht="14" customHeight="1">
      <c r="A121" t="s">
        <v>516</v>
      </c>
      <c r="B121" s="38" t="s">
        <v>887</v>
      </c>
      <c r="C121" s="38" t="s">
        <v>888</v>
      </c>
      <c r="D121" s="38" t="s">
        <v>887</v>
      </c>
      <c r="E121" t="s">
        <v>778</v>
      </c>
      <c r="F121" t="s">
        <v>520</v>
      </c>
      <c r="H121" s="38" t="s">
        <v>889</v>
      </c>
      <c r="I121" t="s">
        <v>533</v>
      </c>
    </row>
    <row r="122" spans="1:9" ht="14" customHeight="1">
      <c r="A122" t="s">
        <v>516</v>
      </c>
      <c r="B122" s="38" t="s">
        <v>890</v>
      </c>
      <c r="C122" s="38" t="s">
        <v>891</v>
      </c>
      <c r="D122" s="38" t="s">
        <v>890</v>
      </c>
      <c r="E122" t="s">
        <v>778</v>
      </c>
      <c r="F122" t="s">
        <v>520</v>
      </c>
      <c r="H122" s="38" t="s">
        <v>892</v>
      </c>
      <c r="I122" t="s">
        <v>533</v>
      </c>
    </row>
    <row r="123" spans="1:9" ht="14" customHeight="1">
      <c r="A123" t="s">
        <v>516</v>
      </c>
      <c r="B123" s="38" t="s">
        <v>893</v>
      </c>
      <c r="C123" s="38" t="s">
        <v>894</v>
      </c>
      <c r="D123" s="38" t="s">
        <v>893</v>
      </c>
      <c r="E123" t="s">
        <v>778</v>
      </c>
      <c r="F123" t="s">
        <v>520</v>
      </c>
      <c r="H123" s="38" t="s">
        <v>895</v>
      </c>
      <c r="I123" t="s">
        <v>533</v>
      </c>
    </row>
    <row r="124" spans="1:9" ht="14" customHeight="1">
      <c r="A124" t="s">
        <v>516</v>
      </c>
      <c r="B124" s="38" t="s">
        <v>896</v>
      </c>
      <c r="C124" s="38" t="s">
        <v>897</v>
      </c>
      <c r="D124" s="38" t="s">
        <v>896</v>
      </c>
      <c r="E124" t="s">
        <v>778</v>
      </c>
      <c r="F124" t="s">
        <v>520</v>
      </c>
      <c r="H124" s="38" t="s">
        <v>898</v>
      </c>
      <c r="I124" t="s">
        <v>533</v>
      </c>
    </row>
    <row r="125" spans="1:9" ht="14" customHeight="1">
      <c r="A125" t="s">
        <v>516</v>
      </c>
      <c r="B125" s="38" t="s">
        <v>899</v>
      </c>
      <c r="C125" s="38" t="s">
        <v>900</v>
      </c>
      <c r="D125" s="38" t="s">
        <v>899</v>
      </c>
      <c r="E125" t="s">
        <v>778</v>
      </c>
      <c r="F125" t="s">
        <v>520</v>
      </c>
      <c r="H125" s="38" t="s">
        <v>901</v>
      </c>
      <c r="I125" t="s">
        <v>533</v>
      </c>
    </row>
    <row r="126" spans="1:9" ht="14" customHeight="1">
      <c r="A126" t="s">
        <v>516</v>
      </c>
      <c r="B126" s="38" t="s">
        <v>902</v>
      </c>
      <c r="C126" s="38" t="s">
        <v>903</v>
      </c>
      <c r="D126" s="38" t="s">
        <v>902</v>
      </c>
      <c r="E126" t="s">
        <v>778</v>
      </c>
      <c r="F126" t="s">
        <v>520</v>
      </c>
      <c r="H126" s="38" t="s">
        <v>904</v>
      </c>
      <c r="I126" t="s">
        <v>533</v>
      </c>
    </row>
    <row r="127" spans="1:9" ht="14" customHeight="1">
      <c r="A127" t="s">
        <v>516</v>
      </c>
      <c r="B127" s="38" t="s">
        <v>905</v>
      </c>
      <c r="C127" s="38" t="s">
        <v>906</v>
      </c>
      <c r="D127" s="38" t="s">
        <v>905</v>
      </c>
      <c r="E127" t="s">
        <v>778</v>
      </c>
      <c r="F127" t="s">
        <v>520</v>
      </c>
      <c r="H127" s="38" t="s">
        <v>907</v>
      </c>
      <c r="I127" t="s">
        <v>533</v>
      </c>
    </row>
    <row r="128" spans="1:9" ht="14" customHeight="1">
      <c r="A128" t="s">
        <v>516</v>
      </c>
      <c r="B128" s="38" t="s">
        <v>908</v>
      </c>
      <c r="C128" s="38" t="s">
        <v>909</v>
      </c>
      <c r="D128" s="38" t="s">
        <v>908</v>
      </c>
      <c r="E128" t="s">
        <v>778</v>
      </c>
      <c r="F128" t="s">
        <v>520</v>
      </c>
      <c r="H128" s="38" t="s">
        <v>910</v>
      </c>
      <c r="I128" t="s">
        <v>533</v>
      </c>
    </row>
    <row r="129" spans="1:9" ht="14" customHeight="1">
      <c r="A129" t="s">
        <v>516</v>
      </c>
      <c r="B129" s="38" t="s">
        <v>911</v>
      </c>
      <c r="C129" s="38" t="s">
        <v>912</v>
      </c>
      <c r="D129" s="38" t="s">
        <v>911</v>
      </c>
      <c r="E129" t="s">
        <v>778</v>
      </c>
      <c r="F129" t="s">
        <v>520</v>
      </c>
      <c r="H129" s="38" t="s">
        <v>913</v>
      </c>
      <c r="I129" t="s">
        <v>533</v>
      </c>
    </row>
    <row r="130" spans="1:9" ht="14" customHeight="1">
      <c r="A130" t="s">
        <v>516</v>
      </c>
      <c r="B130" s="38" t="s">
        <v>914</v>
      </c>
      <c r="C130" s="38" t="s">
        <v>915</v>
      </c>
      <c r="D130" s="38" t="s">
        <v>914</v>
      </c>
      <c r="E130" t="s">
        <v>778</v>
      </c>
      <c r="F130" t="s">
        <v>520</v>
      </c>
      <c r="H130" s="38" t="s">
        <v>916</v>
      </c>
      <c r="I130" t="s">
        <v>533</v>
      </c>
    </row>
    <row r="131" spans="1:9" ht="14" customHeight="1">
      <c r="A131" t="s">
        <v>516</v>
      </c>
      <c r="B131" s="38" t="s">
        <v>917</v>
      </c>
      <c r="C131" s="38" t="s">
        <v>918</v>
      </c>
      <c r="E131" t="s">
        <v>778</v>
      </c>
      <c r="F131" t="s">
        <v>520</v>
      </c>
      <c r="H131" s="38" t="s">
        <v>919</v>
      </c>
      <c r="I131" t="s">
        <v>533</v>
      </c>
    </row>
    <row r="132" spans="1:9" ht="14" customHeight="1">
      <c r="A132" t="s">
        <v>516</v>
      </c>
      <c r="B132" s="38" t="s">
        <v>920</v>
      </c>
      <c r="C132" s="38" t="s">
        <v>921</v>
      </c>
      <c r="E132" t="s">
        <v>778</v>
      </c>
      <c r="F132" t="s">
        <v>520</v>
      </c>
      <c r="H132" s="38" t="s">
        <v>922</v>
      </c>
      <c r="I132" t="s">
        <v>533</v>
      </c>
    </row>
    <row r="133" spans="1:9" ht="14" customHeight="1">
      <c r="A133" t="s">
        <v>516</v>
      </c>
      <c r="B133" s="38" t="s">
        <v>923</v>
      </c>
      <c r="C133" s="38" t="s">
        <v>924</v>
      </c>
      <c r="D133" s="38" t="s">
        <v>923</v>
      </c>
      <c r="E133" t="s">
        <v>778</v>
      </c>
      <c r="F133" t="s">
        <v>520</v>
      </c>
      <c r="H133" s="38" t="s">
        <v>925</v>
      </c>
      <c r="I133" t="s">
        <v>533</v>
      </c>
    </row>
    <row r="134" spans="1:9" ht="14" customHeight="1">
      <c r="A134" t="s">
        <v>516</v>
      </c>
      <c r="B134" s="38" t="s">
        <v>926</v>
      </c>
      <c r="C134" s="38" t="s">
        <v>927</v>
      </c>
      <c r="D134" s="38" t="s">
        <v>926</v>
      </c>
      <c r="E134" t="s">
        <v>778</v>
      </c>
      <c r="F134" t="s">
        <v>520</v>
      </c>
      <c r="H134" s="38" t="s">
        <v>928</v>
      </c>
      <c r="I134" t="s">
        <v>529</v>
      </c>
    </row>
    <row r="135" spans="1:9" ht="14" customHeight="1">
      <c r="A135" t="s">
        <v>516</v>
      </c>
      <c r="B135" s="38" t="s">
        <v>929</v>
      </c>
      <c r="C135" s="38" t="s">
        <v>930</v>
      </c>
      <c r="D135" s="38" t="s">
        <v>929</v>
      </c>
      <c r="E135" t="s">
        <v>778</v>
      </c>
      <c r="F135" t="s">
        <v>520</v>
      </c>
      <c r="H135" s="38" t="s">
        <v>931</v>
      </c>
      <c r="I135" t="s">
        <v>533</v>
      </c>
    </row>
    <row r="136" spans="1:9" ht="14" customHeight="1">
      <c r="A136" t="s">
        <v>516</v>
      </c>
      <c r="B136" s="38" t="s">
        <v>932</v>
      </c>
      <c r="C136" s="38" t="s">
        <v>933</v>
      </c>
      <c r="D136" s="38" t="s">
        <v>932</v>
      </c>
      <c r="E136" t="s">
        <v>778</v>
      </c>
      <c r="F136" t="s">
        <v>520</v>
      </c>
      <c r="H136" s="38" t="s">
        <v>934</v>
      </c>
      <c r="I136" t="s">
        <v>533</v>
      </c>
    </row>
    <row r="137" spans="1:9" ht="14" customHeight="1">
      <c r="A137" t="s">
        <v>516</v>
      </c>
      <c r="B137" s="38" t="s">
        <v>935</v>
      </c>
      <c r="C137" s="38" t="s">
        <v>936</v>
      </c>
      <c r="D137" s="38" t="s">
        <v>935</v>
      </c>
      <c r="E137" t="s">
        <v>778</v>
      </c>
      <c r="F137" t="s">
        <v>520</v>
      </c>
      <c r="H137" s="38" t="s">
        <v>937</v>
      </c>
      <c r="I137" t="s">
        <v>533</v>
      </c>
    </row>
    <row r="138" spans="1:9" ht="14" customHeight="1">
      <c r="A138" t="s">
        <v>516</v>
      </c>
      <c r="B138" s="38" t="s">
        <v>938</v>
      </c>
      <c r="C138" s="38" t="s">
        <v>939</v>
      </c>
      <c r="D138" s="38" t="s">
        <v>938</v>
      </c>
      <c r="E138" t="s">
        <v>778</v>
      </c>
      <c r="F138" t="s">
        <v>520</v>
      </c>
      <c r="H138" s="38" t="s">
        <v>940</v>
      </c>
      <c r="I138" t="s">
        <v>533</v>
      </c>
    </row>
    <row r="139" spans="1:9" ht="14" customHeight="1">
      <c r="A139" t="s">
        <v>516</v>
      </c>
      <c r="B139" s="38" t="s">
        <v>941</v>
      </c>
      <c r="C139" s="38" t="s">
        <v>942</v>
      </c>
      <c r="D139" s="38" t="s">
        <v>941</v>
      </c>
      <c r="E139" t="s">
        <v>778</v>
      </c>
      <c r="F139" t="s">
        <v>520</v>
      </c>
      <c r="H139" s="38" t="s">
        <v>943</v>
      </c>
      <c r="I139" t="s">
        <v>533</v>
      </c>
    </row>
    <row r="140" spans="1:9" ht="14" customHeight="1">
      <c r="A140" t="s">
        <v>516</v>
      </c>
      <c r="B140" s="38" t="s">
        <v>944</v>
      </c>
      <c r="C140" s="38" t="s">
        <v>945</v>
      </c>
      <c r="D140" s="38" t="s">
        <v>944</v>
      </c>
      <c r="E140" t="s">
        <v>778</v>
      </c>
      <c r="F140" t="s">
        <v>520</v>
      </c>
      <c r="H140" s="38" t="s">
        <v>946</v>
      </c>
      <c r="I140" t="s">
        <v>533</v>
      </c>
    </row>
    <row r="141" spans="1:9" ht="14" customHeight="1">
      <c r="A141" t="s">
        <v>516</v>
      </c>
      <c r="B141" s="38" t="s">
        <v>947</v>
      </c>
      <c r="C141" s="38" t="s">
        <v>948</v>
      </c>
      <c r="D141" s="38" t="s">
        <v>947</v>
      </c>
      <c r="E141" t="s">
        <v>778</v>
      </c>
      <c r="F141" t="s">
        <v>520</v>
      </c>
      <c r="H141" s="38" t="s">
        <v>949</v>
      </c>
      <c r="I141" t="s">
        <v>533</v>
      </c>
    </row>
    <row r="142" spans="1:9" ht="14" customHeight="1">
      <c r="A142" t="s">
        <v>516</v>
      </c>
      <c r="B142" s="38" t="s">
        <v>950</v>
      </c>
      <c r="C142" s="38" t="s">
        <v>951</v>
      </c>
      <c r="D142" s="38" t="s">
        <v>952</v>
      </c>
      <c r="E142" t="s">
        <v>778</v>
      </c>
      <c r="F142" t="s">
        <v>520</v>
      </c>
      <c r="H142" s="38" t="s">
        <v>953</v>
      </c>
      <c r="I142" t="s">
        <v>533</v>
      </c>
    </row>
    <row r="143" spans="1:9" ht="14" customHeight="1">
      <c r="A143" t="s">
        <v>516</v>
      </c>
      <c r="B143" s="38" t="s">
        <v>954</v>
      </c>
      <c r="C143" s="38" t="s">
        <v>955</v>
      </c>
      <c r="D143" s="38" t="s">
        <v>954</v>
      </c>
      <c r="E143" t="s">
        <v>778</v>
      </c>
      <c r="F143" t="s">
        <v>520</v>
      </c>
      <c r="H143" s="38" t="s">
        <v>956</v>
      </c>
      <c r="I143" t="s">
        <v>533</v>
      </c>
    </row>
    <row r="144" spans="1:9" ht="14" customHeight="1">
      <c r="A144" t="s">
        <v>516</v>
      </c>
      <c r="B144" s="38" t="s">
        <v>957</v>
      </c>
      <c r="C144" s="38" t="s">
        <v>958</v>
      </c>
      <c r="D144" s="38" t="s">
        <v>957</v>
      </c>
      <c r="E144" t="s">
        <v>778</v>
      </c>
      <c r="F144" t="s">
        <v>520</v>
      </c>
      <c r="H144" s="38" t="s">
        <v>959</v>
      </c>
      <c r="I144" t="s">
        <v>533</v>
      </c>
    </row>
    <row r="145" spans="1:9" ht="14" customHeight="1">
      <c r="A145" t="s">
        <v>516</v>
      </c>
      <c r="B145" s="38" t="s">
        <v>960</v>
      </c>
      <c r="C145" s="38" t="s">
        <v>961</v>
      </c>
      <c r="D145" s="38" t="s">
        <v>960</v>
      </c>
      <c r="E145" t="s">
        <v>778</v>
      </c>
      <c r="F145" t="s">
        <v>520</v>
      </c>
      <c r="H145" s="38" t="s">
        <v>962</v>
      </c>
      <c r="I145" t="s">
        <v>533</v>
      </c>
    </row>
    <row r="146" spans="1:9" ht="14" customHeight="1">
      <c r="A146" t="s">
        <v>516</v>
      </c>
      <c r="B146" s="38" t="s">
        <v>963</v>
      </c>
      <c r="C146" s="38" t="s">
        <v>964</v>
      </c>
      <c r="D146" s="38" t="s">
        <v>963</v>
      </c>
      <c r="E146" t="s">
        <v>778</v>
      </c>
      <c r="F146" t="s">
        <v>520</v>
      </c>
      <c r="H146" s="38" t="s">
        <v>965</v>
      </c>
      <c r="I146" t="s">
        <v>533</v>
      </c>
    </row>
    <row r="147" spans="1:9" ht="14" customHeight="1">
      <c r="A147" t="s">
        <v>516</v>
      </c>
      <c r="B147" s="38" t="s">
        <v>966</v>
      </c>
      <c r="C147" s="38" t="s">
        <v>967</v>
      </c>
      <c r="D147" s="38" t="s">
        <v>966</v>
      </c>
      <c r="E147" t="s">
        <v>778</v>
      </c>
      <c r="F147" t="s">
        <v>520</v>
      </c>
      <c r="H147" s="38" t="s">
        <v>968</v>
      </c>
      <c r="I147" t="s">
        <v>533</v>
      </c>
    </row>
    <row r="148" spans="1:9" ht="14" customHeight="1">
      <c r="A148" t="s">
        <v>516</v>
      </c>
      <c r="B148" s="38" t="s">
        <v>969</v>
      </c>
      <c r="C148" s="38" t="s">
        <v>970</v>
      </c>
      <c r="D148" s="38" t="s">
        <v>969</v>
      </c>
      <c r="E148" t="s">
        <v>778</v>
      </c>
      <c r="F148" t="s">
        <v>520</v>
      </c>
      <c r="H148" s="38" t="s">
        <v>971</v>
      </c>
      <c r="I148" t="s">
        <v>533</v>
      </c>
    </row>
    <row r="149" spans="1:9" ht="14" customHeight="1">
      <c r="A149" t="s">
        <v>516</v>
      </c>
      <c r="B149" s="38" t="s">
        <v>972</v>
      </c>
      <c r="C149" s="38" t="s">
        <v>973</v>
      </c>
      <c r="D149" s="38" t="s">
        <v>972</v>
      </c>
      <c r="E149" t="s">
        <v>778</v>
      </c>
      <c r="F149" t="s">
        <v>520</v>
      </c>
      <c r="H149" s="38" t="s">
        <v>974</v>
      </c>
      <c r="I149" t="s">
        <v>529</v>
      </c>
    </row>
    <row r="150" spans="1:9" ht="14" customHeight="1">
      <c r="A150" t="s">
        <v>516</v>
      </c>
      <c r="B150" s="38" t="s">
        <v>975</v>
      </c>
      <c r="C150" s="38" t="s">
        <v>976</v>
      </c>
      <c r="D150" s="38" t="s">
        <v>975</v>
      </c>
      <c r="E150" t="s">
        <v>778</v>
      </c>
      <c r="F150" t="s">
        <v>520</v>
      </c>
      <c r="H150" s="38" t="s">
        <v>977</v>
      </c>
      <c r="I150" t="s">
        <v>529</v>
      </c>
    </row>
    <row r="151" spans="1:9" ht="14" customHeight="1">
      <c r="A151" t="s">
        <v>516</v>
      </c>
      <c r="B151" s="38" t="s">
        <v>978</v>
      </c>
      <c r="C151" s="38" t="s">
        <v>979</v>
      </c>
      <c r="D151" s="38" t="s">
        <v>978</v>
      </c>
      <c r="E151" t="s">
        <v>778</v>
      </c>
      <c r="F151" t="s">
        <v>520</v>
      </c>
      <c r="H151" s="38" t="s">
        <v>980</v>
      </c>
      <c r="I151" t="s">
        <v>533</v>
      </c>
    </row>
    <row r="152" spans="1:9" ht="14" customHeight="1">
      <c r="A152" t="s">
        <v>516</v>
      </c>
      <c r="B152" s="38" t="s">
        <v>981</v>
      </c>
      <c r="C152" s="38" t="s">
        <v>982</v>
      </c>
      <c r="D152" s="38" t="s">
        <v>981</v>
      </c>
      <c r="E152" t="s">
        <v>778</v>
      </c>
      <c r="F152" t="s">
        <v>520</v>
      </c>
      <c r="H152" s="38" t="s">
        <v>983</v>
      </c>
      <c r="I152" t="s">
        <v>533</v>
      </c>
    </row>
    <row r="153" spans="1:9" ht="14" customHeight="1">
      <c r="A153" t="s">
        <v>516</v>
      </c>
      <c r="B153" s="38" t="s">
        <v>984</v>
      </c>
      <c r="C153" s="38" t="s">
        <v>985</v>
      </c>
      <c r="D153" s="38" t="s">
        <v>986</v>
      </c>
      <c r="E153" t="s">
        <v>778</v>
      </c>
      <c r="F153" t="s">
        <v>520</v>
      </c>
      <c r="H153" s="38" t="s">
        <v>987</v>
      </c>
      <c r="I153" t="s">
        <v>533</v>
      </c>
    </row>
    <row r="154" spans="1:9" ht="14" customHeight="1">
      <c r="A154" t="s">
        <v>516</v>
      </c>
      <c r="B154" s="38" t="s">
        <v>988</v>
      </c>
      <c r="C154" s="38" t="s">
        <v>989</v>
      </c>
      <c r="D154" s="38" t="s">
        <v>988</v>
      </c>
      <c r="E154" t="s">
        <v>778</v>
      </c>
      <c r="F154" t="s">
        <v>520</v>
      </c>
      <c r="H154" s="38" t="s">
        <v>990</v>
      </c>
      <c r="I154" t="s">
        <v>533</v>
      </c>
    </row>
    <row r="155" spans="1:9" ht="14" customHeight="1">
      <c r="A155" t="s">
        <v>516</v>
      </c>
      <c r="B155" s="38" t="s">
        <v>991</v>
      </c>
      <c r="C155" s="38" t="s">
        <v>992</v>
      </c>
      <c r="D155" s="38" t="s">
        <v>991</v>
      </c>
      <c r="E155" t="s">
        <v>778</v>
      </c>
      <c r="F155" t="s">
        <v>520</v>
      </c>
      <c r="H155" s="38" t="s">
        <v>993</v>
      </c>
      <c r="I155" t="s">
        <v>529</v>
      </c>
    </row>
    <row r="156" spans="1:9" ht="14" customHeight="1">
      <c r="A156" t="s">
        <v>516</v>
      </c>
      <c r="B156" s="38" t="s">
        <v>994</v>
      </c>
      <c r="C156" s="38" t="s">
        <v>995</v>
      </c>
      <c r="D156" s="38" t="s">
        <v>994</v>
      </c>
      <c r="E156" t="s">
        <v>778</v>
      </c>
      <c r="F156" t="s">
        <v>520</v>
      </c>
      <c r="H156" s="38" t="s">
        <v>996</v>
      </c>
      <c r="I156" t="s">
        <v>529</v>
      </c>
    </row>
    <row r="157" spans="1:9" ht="14" customHeight="1">
      <c r="A157" t="s">
        <v>516</v>
      </c>
      <c r="B157" s="38" t="s">
        <v>997</v>
      </c>
      <c r="C157" s="38" t="s">
        <v>998</v>
      </c>
      <c r="D157" s="38" t="s">
        <v>997</v>
      </c>
      <c r="E157" t="s">
        <v>778</v>
      </c>
      <c r="F157" t="s">
        <v>520</v>
      </c>
      <c r="H157" s="38" t="s">
        <v>999</v>
      </c>
      <c r="I157" t="s">
        <v>529</v>
      </c>
    </row>
    <row r="158" spans="1:9" ht="14" customHeight="1">
      <c r="A158" t="s">
        <v>516</v>
      </c>
      <c r="B158" s="38" t="s">
        <v>1000</v>
      </c>
      <c r="C158" s="38" t="s">
        <v>1001</v>
      </c>
      <c r="D158" s="38" t="s">
        <v>1000</v>
      </c>
      <c r="E158" t="s">
        <v>778</v>
      </c>
      <c r="F158" t="s">
        <v>520</v>
      </c>
      <c r="H158" s="38" t="s">
        <v>1002</v>
      </c>
      <c r="I158" t="s">
        <v>529</v>
      </c>
    </row>
    <row r="159" spans="1:9" ht="14" customHeight="1">
      <c r="A159" t="s">
        <v>516</v>
      </c>
      <c r="B159" s="38" t="s">
        <v>1003</v>
      </c>
      <c r="C159" s="38" t="s">
        <v>1004</v>
      </c>
      <c r="D159" s="38" t="s">
        <v>1003</v>
      </c>
      <c r="E159" t="s">
        <v>778</v>
      </c>
      <c r="F159" t="s">
        <v>520</v>
      </c>
      <c r="H159" s="38" t="s">
        <v>1005</v>
      </c>
      <c r="I159" t="s">
        <v>529</v>
      </c>
    </row>
    <row r="160" spans="1:9" ht="14" customHeight="1">
      <c r="A160" t="s">
        <v>516</v>
      </c>
      <c r="B160" s="38" t="s">
        <v>1006</v>
      </c>
      <c r="C160" s="38" t="s">
        <v>1007</v>
      </c>
      <c r="D160" s="38" t="s">
        <v>1006</v>
      </c>
      <c r="E160" t="s">
        <v>778</v>
      </c>
      <c r="F160" t="s">
        <v>520</v>
      </c>
      <c r="H160" s="38" t="s">
        <v>1008</v>
      </c>
      <c r="I160" t="s">
        <v>529</v>
      </c>
    </row>
    <row r="161" spans="1:9" ht="14" customHeight="1">
      <c r="A161" t="s">
        <v>516</v>
      </c>
      <c r="B161" s="38" t="s">
        <v>1009</v>
      </c>
      <c r="C161" s="38" t="s">
        <v>1010</v>
      </c>
      <c r="D161" s="38" t="s">
        <v>1009</v>
      </c>
      <c r="E161" t="s">
        <v>778</v>
      </c>
      <c r="F161" t="s">
        <v>520</v>
      </c>
      <c r="H161" s="38" t="s">
        <v>1011</v>
      </c>
      <c r="I161" t="s">
        <v>529</v>
      </c>
    </row>
    <row r="162" spans="1:9" ht="14" customHeight="1">
      <c r="A162" t="s">
        <v>516</v>
      </c>
      <c r="B162" s="38" t="s">
        <v>1012</v>
      </c>
      <c r="C162" s="38" t="s">
        <v>1013</v>
      </c>
      <c r="D162" s="38" t="s">
        <v>1012</v>
      </c>
      <c r="E162" t="s">
        <v>778</v>
      </c>
      <c r="F162" t="s">
        <v>520</v>
      </c>
      <c r="H162" s="38" t="s">
        <v>1014</v>
      </c>
      <c r="I162" t="s">
        <v>529</v>
      </c>
    </row>
    <row r="163" spans="1:9" ht="14" customHeight="1">
      <c r="A163" t="s">
        <v>516</v>
      </c>
      <c r="B163" s="38" t="s">
        <v>1015</v>
      </c>
      <c r="C163" s="38" t="s">
        <v>1016</v>
      </c>
      <c r="D163" s="38" t="s">
        <v>1017</v>
      </c>
      <c r="E163" t="s">
        <v>778</v>
      </c>
      <c r="F163" t="s">
        <v>520</v>
      </c>
      <c r="H163" s="38" t="s">
        <v>1018</v>
      </c>
      <c r="I163" t="s">
        <v>529</v>
      </c>
    </row>
    <row r="164" spans="1:9" ht="14" customHeight="1">
      <c r="A164" t="s">
        <v>516</v>
      </c>
      <c r="B164" s="38" t="s">
        <v>1019</v>
      </c>
      <c r="C164" s="38" t="s">
        <v>1020</v>
      </c>
      <c r="E164" t="s">
        <v>778</v>
      </c>
      <c r="F164" t="s">
        <v>520</v>
      </c>
      <c r="H164" s="38" t="s">
        <v>1021</v>
      </c>
      <c r="I164" t="s">
        <v>529</v>
      </c>
    </row>
    <row r="165" spans="1:9" ht="14" customHeight="1">
      <c r="A165" t="s">
        <v>516</v>
      </c>
      <c r="B165" s="38" t="s">
        <v>1022</v>
      </c>
      <c r="C165" s="38" t="s">
        <v>1023</v>
      </c>
      <c r="D165" s="38" t="s">
        <v>1022</v>
      </c>
      <c r="E165" t="s">
        <v>778</v>
      </c>
      <c r="F165" t="s">
        <v>520</v>
      </c>
      <c r="H165" s="38" t="s">
        <v>1024</v>
      </c>
      <c r="I165" t="s">
        <v>529</v>
      </c>
    </row>
    <row r="166" spans="1:9" ht="14" customHeight="1">
      <c r="A166" t="s">
        <v>516</v>
      </c>
      <c r="B166" s="38" t="s">
        <v>1025</v>
      </c>
      <c r="C166" s="38" t="s">
        <v>1026</v>
      </c>
      <c r="D166" s="38" t="s">
        <v>1025</v>
      </c>
      <c r="E166" t="s">
        <v>778</v>
      </c>
      <c r="F166" t="s">
        <v>520</v>
      </c>
      <c r="H166" s="38" t="s">
        <v>1027</v>
      </c>
      <c r="I166" t="s">
        <v>529</v>
      </c>
    </row>
    <row r="167" spans="1:9" ht="14" customHeight="1">
      <c r="A167" t="s">
        <v>516</v>
      </c>
      <c r="B167" s="38" t="s">
        <v>1028</v>
      </c>
      <c r="C167" s="38" t="s">
        <v>1029</v>
      </c>
      <c r="D167" s="38" t="s">
        <v>1028</v>
      </c>
      <c r="E167" t="s">
        <v>778</v>
      </c>
      <c r="F167" t="s">
        <v>520</v>
      </c>
      <c r="H167" s="38" t="s">
        <v>1030</v>
      </c>
      <c r="I167" t="s">
        <v>529</v>
      </c>
    </row>
    <row r="168" spans="1:9" ht="14" customHeight="1">
      <c r="A168" t="s">
        <v>516</v>
      </c>
      <c r="B168" s="38" t="s">
        <v>1031</v>
      </c>
      <c r="C168" s="38" t="s">
        <v>1032</v>
      </c>
      <c r="D168" s="38" t="s">
        <v>1031</v>
      </c>
      <c r="E168" t="s">
        <v>778</v>
      </c>
      <c r="F168" t="s">
        <v>520</v>
      </c>
      <c r="H168" s="38" t="s">
        <v>1033</v>
      </c>
      <c r="I168" t="s">
        <v>529</v>
      </c>
    </row>
    <row r="169" spans="1:9" ht="14" customHeight="1">
      <c r="A169" t="s">
        <v>516</v>
      </c>
      <c r="B169" s="38" t="s">
        <v>1034</v>
      </c>
      <c r="C169" s="38" t="s">
        <v>1035</v>
      </c>
      <c r="D169" s="38" t="s">
        <v>1034</v>
      </c>
      <c r="E169" t="s">
        <v>778</v>
      </c>
      <c r="F169" t="s">
        <v>520</v>
      </c>
      <c r="H169" s="38" t="s">
        <v>1036</v>
      </c>
      <c r="I169" t="s">
        <v>529</v>
      </c>
    </row>
    <row r="170" spans="1:9" ht="14" customHeight="1">
      <c r="A170" t="s">
        <v>516</v>
      </c>
      <c r="B170" s="38" t="s">
        <v>1037</v>
      </c>
      <c r="C170" s="38" t="s">
        <v>1038</v>
      </c>
      <c r="D170" s="38" t="s">
        <v>1037</v>
      </c>
      <c r="E170" t="s">
        <v>778</v>
      </c>
      <c r="F170" t="s">
        <v>520</v>
      </c>
      <c r="H170" s="38" t="s">
        <v>1039</v>
      </c>
      <c r="I170" t="s">
        <v>529</v>
      </c>
    </row>
    <row r="171" spans="1:9" ht="14" customHeight="1">
      <c r="A171" t="s">
        <v>516</v>
      </c>
      <c r="B171" s="38" t="s">
        <v>1040</v>
      </c>
      <c r="C171" s="38" t="s">
        <v>1041</v>
      </c>
      <c r="D171" s="38" t="s">
        <v>1040</v>
      </c>
      <c r="E171" t="s">
        <v>778</v>
      </c>
      <c r="F171" t="s">
        <v>520</v>
      </c>
      <c r="H171" s="38" t="s">
        <v>1042</v>
      </c>
      <c r="I171" t="s">
        <v>529</v>
      </c>
    </row>
    <row r="172" spans="1:9" ht="14" customHeight="1">
      <c r="A172" t="s">
        <v>516</v>
      </c>
      <c r="B172" s="38" t="s">
        <v>1043</v>
      </c>
      <c r="C172" s="38" t="s">
        <v>1044</v>
      </c>
      <c r="D172" s="38" t="s">
        <v>1043</v>
      </c>
      <c r="E172" t="s">
        <v>778</v>
      </c>
      <c r="F172" t="s">
        <v>520</v>
      </c>
      <c r="H172" s="38" t="s">
        <v>1045</v>
      </c>
      <c r="I172" t="s">
        <v>529</v>
      </c>
    </row>
    <row r="173" spans="1:9" ht="14" customHeight="1">
      <c r="A173" t="s">
        <v>516</v>
      </c>
      <c r="B173" s="38" t="s">
        <v>1046</v>
      </c>
      <c r="C173" s="38" t="s">
        <v>1047</v>
      </c>
      <c r="D173" s="38" t="s">
        <v>1046</v>
      </c>
      <c r="E173" t="s">
        <v>778</v>
      </c>
      <c r="F173" t="s">
        <v>520</v>
      </c>
      <c r="H173" s="38" t="s">
        <v>1048</v>
      </c>
      <c r="I173" t="s">
        <v>529</v>
      </c>
    </row>
    <row r="174" spans="1:9" ht="14" customHeight="1">
      <c r="A174" t="s">
        <v>516</v>
      </c>
      <c r="B174" s="38" t="s">
        <v>1049</v>
      </c>
      <c r="C174" s="38" t="s">
        <v>1050</v>
      </c>
      <c r="D174" s="38" t="s">
        <v>1049</v>
      </c>
      <c r="E174" t="s">
        <v>778</v>
      </c>
      <c r="F174" t="s">
        <v>520</v>
      </c>
      <c r="H174" s="38" t="s">
        <v>1051</v>
      </c>
      <c r="I174" t="s">
        <v>529</v>
      </c>
    </row>
    <row r="175" spans="1:9" ht="14" customHeight="1">
      <c r="A175" t="s">
        <v>516</v>
      </c>
      <c r="B175" s="38" t="s">
        <v>1052</v>
      </c>
      <c r="C175" s="38" t="s">
        <v>1053</v>
      </c>
      <c r="D175" s="38" t="s">
        <v>1052</v>
      </c>
      <c r="E175" t="s">
        <v>778</v>
      </c>
      <c r="F175" t="s">
        <v>520</v>
      </c>
      <c r="H175" s="38" t="s">
        <v>1054</v>
      </c>
      <c r="I175" t="s">
        <v>529</v>
      </c>
    </row>
    <row r="176" spans="1:9" ht="14" customHeight="1">
      <c r="A176" t="s">
        <v>516</v>
      </c>
      <c r="B176" s="38" t="s">
        <v>1055</v>
      </c>
      <c r="C176" s="38" t="s">
        <v>1056</v>
      </c>
      <c r="D176" s="38" t="s">
        <v>1055</v>
      </c>
      <c r="E176" t="s">
        <v>778</v>
      </c>
      <c r="F176" t="s">
        <v>520</v>
      </c>
      <c r="H176" s="38" t="s">
        <v>1057</v>
      </c>
      <c r="I176" t="s">
        <v>529</v>
      </c>
    </row>
    <row r="177" spans="1:9" ht="14" customHeight="1">
      <c r="A177" t="s">
        <v>516</v>
      </c>
      <c r="B177" s="38" t="s">
        <v>1058</v>
      </c>
      <c r="C177" s="38" t="s">
        <v>1059</v>
      </c>
      <c r="D177" s="38" t="s">
        <v>1058</v>
      </c>
      <c r="E177" t="s">
        <v>778</v>
      </c>
      <c r="F177" t="s">
        <v>520</v>
      </c>
      <c r="H177" s="38" t="s">
        <v>1060</v>
      </c>
      <c r="I177" t="s">
        <v>529</v>
      </c>
    </row>
    <row r="178" spans="1:9" ht="14" customHeight="1">
      <c r="A178" t="s">
        <v>516</v>
      </c>
      <c r="B178" s="38" t="s">
        <v>1061</v>
      </c>
      <c r="C178" s="38" t="s">
        <v>1062</v>
      </c>
      <c r="E178" t="s">
        <v>778</v>
      </c>
      <c r="F178" t="s">
        <v>520</v>
      </c>
      <c r="H178" s="38" t="s">
        <v>1063</v>
      </c>
      <c r="I178" t="s">
        <v>529</v>
      </c>
    </row>
    <row r="179" spans="1:9" ht="14" customHeight="1">
      <c r="A179" t="s">
        <v>516</v>
      </c>
      <c r="B179" s="38" t="s">
        <v>1064</v>
      </c>
      <c r="C179" s="38" t="s">
        <v>1065</v>
      </c>
      <c r="D179" s="38" t="s">
        <v>1064</v>
      </c>
      <c r="E179" t="s">
        <v>778</v>
      </c>
      <c r="F179" t="s">
        <v>520</v>
      </c>
      <c r="H179" s="38" t="s">
        <v>1066</v>
      </c>
      <c r="I179" t="s">
        <v>529</v>
      </c>
    </row>
    <row r="180" spans="1:9" ht="14" customHeight="1">
      <c r="A180" t="s">
        <v>516</v>
      </c>
      <c r="B180" s="38" t="s">
        <v>1067</v>
      </c>
      <c r="C180" s="38" t="s">
        <v>1068</v>
      </c>
      <c r="D180" s="38" t="s">
        <v>1067</v>
      </c>
      <c r="E180" t="s">
        <v>778</v>
      </c>
      <c r="F180" t="s">
        <v>520</v>
      </c>
      <c r="H180" s="38" t="s">
        <v>1069</v>
      </c>
      <c r="I180" t="s">
        <v>529</v>
      </c>
    </row>
    <row r="181" spans="1:9" ht="14" customHeight="1">
      <c r="A181" t="s">
        <v>516</v>
      </c>
      <c r="B181" s="38" t="s">
        <v>1070</v>
      </c>
      <c r="C181" s="38" t="s">
        <v>1071</v>
      </c>
      <c r="D181" s="38" t="s">
        <v>1070</v>
      </c>
      <c r="E181" t="s">
        <v>778</v>
      </c>
      <c r="F181" t="s">
        <v>520</v>
      </c>
      <c r="H181" s="38" t="s">
        <v>1072</v>
      </c>
      <c r="I181" t="s">
        <v>529</v>
      </c>
    </row>
    <row r="182" spans="1:9" ht="14" customHeight="1">
      <c r="A182" t="s">
        <v>516</v>
      </c>
      <c r="B182" s="38" t="s">
        <v>1073</v>
      </c>
      <c r="C182" s="38" t="s">
        <v>1074</v>
      </c>
      <c r="D182" s="38" t="s">
        <v>1073</v>
      </c>
      <c r="E182" t="s">
        <v>778</v>
      </c>
      <c r="F182" t="s">
        <v>520</v>
      </c>
      <c r="H182" s="38" t="s">
        <v>1075</v>
      </c>
      <c r="I182" t="s">
        <v>529</v>
      </c>
    </row>
    <row r="183" spans="1:9" ht="14" customHeight="1">
      <c r="A183" t="s">
        <v>516</v>
      </c>
      <c r="B183" s="38" t="s">
        <v>1076</v>
      </c>
      <c r="C183" s="38" t="s">
        <v>1077</v>
      </c>
      <c r="D183" s="38" t="s">
        <v>1076</v>
      </c>
      <c r="E183" t="s">
        <v>778</v>
      </c>
      <c r="F183" t="s">
        <v>520</v>
      </c>
      <c r="H183" s="38" t="s">
        <v>1078</v>
      </c>
      <c r="I183" t="s">
        <v>529</v>
      </c>
    </row>
    <row r="184" spans="1:9" ht="14" customHeight="1">
      <c r="A184" t="s">
        <v>516</v>
      </c>
      <c r="B184" s="38" t="s">
        <v>1079</v>
      </c>
      <c r="C184" s="38" t="s">
        <v>1080</v>
      </c>
      <c r="D184" s="38" t="s">
        <v>1079</v>
      </c>
      <c r="E184" t="s">
        <v>778</v>
      </c>
      <c r="F184" t="s">
        <v>520</v>
      </c>
      <c r="H184" s="38" t="s">
        <v>1081</v>
      </c>
      <c r="I184" t="s">
        <v>529</v>
      </c>
    </row>
    <row r="185" spans="1:9" ht="14" customHeight="1">
      <c r="A185" t="s">
        <v>516</v>
      </c>
      <c r="B185" s="38" t="s">
        <v>1082</v>
      </c>
      <c r="C185" s="38" t="s">
        <v>1083</v>
      </c>
      <c r="D185" s="38" t="s">
        <v>1082</v>
      </c>
      <c r="E185" t="s">
        <v>778</v>
      </c>
      <c r="F185" t="s">
        <v>520</v>
      </c>
      <c r="H185" s="38" t="s">
        <v>1084</v>
      </c>
      <c r="I185" t="s">
        <v>529</v>
      </c>
    </row>
    <row r="186" spans="1:9" ht="14" customHeight="1">
      <c r="A186" t="s">
        <v>516</v>
      </c>
      <c r="B186" s="38" t="s">
        <v>1085</v>
      </c>
      <c r="C186" s="38" t="s">
        <v>1086</v>
      </c>
      <c r="D186" s="38" t="s">
        <v>1085</v>
      </c>
      <c r="E186" t="s">
        <v>778</v>
      </c>
      <c r="F186" t="s">
        <v>520</v>
      </c>
      <c r="H186" s="38" t="s">
        <v>1087</v>
      </c>
      <c r="I186" t="s">
        <v>529</v>
      </c>
    </row>
    <row r="187" spans="1:9" ht="14" customHeight="1">
      <c r="A187" t="s">
        <v>516</v>
      </c>
      <c r="B187" s="38" t="s">
        <v>1088</v>
      </c>
      <c r="C187" s="38" t="s">
        <v>1089</v>
      </c>
      <c r="D187" s="38" t="s">
        <v>1088</v>
      </c>
      <c r="E187" t="s">
        <v>778</v>
      </c>
      <c r="F187" t="s">
        <v>520</v>
      </c>
      <c r="H187" s="38" t="s">
        <v>1090</v>
      </c>
      <c r="I187" t="s">
        <v>529</v>
      </c>
    </row>
    <row r="188" spans="1:9" ht="14" customHeight="1">
      <c r="A188" t="s">
        <v>516</v>
      </c>
      <c r="B188" s="38" t="s">
        <v>1091</v>
      </c>
      <c r="C188" s="38" t="s">
        <v>1092</v>
      </c>
      <c r="D188" s="38" t="s">
        <v>1091</v>
      </c>
      <c r="E188" t="s">
        <v>778</v>
      </c>
      <c r="F188" t="s">
        <v>520</v>
      </c>
      <c r="H188" s="38" t="s">
        <v>1093</v>
      </c>
      <c r="I188" t="s">
        <v>529</v>
      </c>
    </row>
    <row r="189" spans="1:9" ht="14" customHeight="1">
      <c r="A189" t="s">
        <v>516</v>
      </c>
      <c r="B189" s="38" t="s">
        <v>1094</v>
      </c>
      <c r="C189" s="38" t="s">
        <v>1095</v>
      </c>
      <c r="E189" t="s">
        <v>778</v>
      </c>
      <c r="F189" t="s">
        <v>520</v>
      </c>
      <c r="H189" s="38" t="s">
        <v>1096</v>
      </c>
      <c r="I189" t="s">
        <v>529</v>
      </c>
    </row>
    <row r="190" spans="1:9" ht="14" customHeight="1">
      <c r="A190" t="s">
        <v>516</v>
      </c>
      <c r="B190" s="38" t="s">
        <v>1097</v>
      </c>
      <c r="C190" s="38" t="s">
        <v>1098</v>
      </c>
      <c r="D190" s="38" t="s">
        <v>1097</v>
      </c>
      <c r="E190" t="s">
        <v>778</v>
      </c>
      <c r="F190" t="s">
        <v>520</v>
      </c>
      <c r="H190" s="38" t="s">
        <v>1099</v>
      </c>
      <c r="I190" t="s">
        <v>529</v>
      </c>
    </row>
    <row r="191" spans="1:9" ht="14" customHeight="1">
      <c r="A191" t="s">
        <v>516</v>
      </c>
      <c r="B191" s="38" t="s">
        <v>1100</v>
      </c>
      <c r="C191" s="38" t="s">
        <v>1101</v>
      </c>
      <c r="D191" s="38" t="s">
        <v>1100</v>
      </c>
      <c r="E191" t="s">
        <v>778</v>
      </c>
      <c r="F191" t="s">
        <v>520</v>
      </c>
      <c r="H191" s="38" t="s">
        <v>1102</v>
      </c>
      <c r="I191" t="s">
        <v>529</v>
      </c>
    </row>
    <row r="192" spans="1:9" ht="14" customHeight="1">
      <c r="A192" t="s">
        <v>516</v>
      </c>
      <c r="B192" s="38" t="s">
        <v>1103</v>
      </c>
      <c r="C192" s="38" t="s">
        <v>1104</v>
      </c>
      <c r="D192" s="38" t="s">
        <v>1103</v>
      </c>
      <c r="E192" t="s">
        <v>778</v>
      </c>
      <c r="F192" t="s">
        <v>520</v>
      </c>
      <c r="H192" s="38" t="s">
        <v>1105</v>
      </c>
      <c r="I192" t="s">
        <v>529</v>
      </c>
    </row>
    <row r="193" spans="1:9" ht="14" customHeight="1">
      <c r="A193" t="s">
        <v>516</v>
      </c>
      <c r="B193" s="38" t="s">
        <v>1106</v>
      </c>
      <c r="C193" s="38" t="s">
        <v>1107</v>
      </c>
      <c r="D193" s="38" t="s">
        <v>1106</v>
      </c>
      <c r="E193" t="s">
        <v>778</v>
      </c>
      <c r="F193" t="s">
        <v>520</v>
      </c>
      <c r="H193" s="38" t="s">
        <v>1108</v>
      </c>
      <c r="I193" t="s">
        <v>529</v>
      </c>
    </row>
    <row r="194" spans="1:9" ht="14" customHeight="1">
      <c r="A194" t="s">
        <v>516</v>
      </c>
      <c r="B194" s="38" t="s">
        <v>1109</v>
      </c>
      <c r="C194" s="38" t="s">
        <v>1110</v>
      </c>
      <c r="D194" s="38" t="s">
        <v>1109</v>
      </c>
      <c r="E194" t="s">
        <v>778</v>
      </c>
      <c r="F194" t="s">
        <v>520</v>
      </c>
      <c r="H194" s="38" t="s">
        <v>1111</v>
      </c>
      <c r="I194" t="s">
        <v>529</v>
      </c>
    </row>
    <row r="195" spans="1:9" ht="14" customHeight="1">
      <c r="A195" t="s">
        <v>516</v>
      </c>
      <c r="B195" s="38" t="s">
        <v>1112</v>
      </c>
      <c r="C195" s="38" t="s">
        <v>1113</v>
      </c>
      <c r="D195" s="38" t="s">
        <v>1112</v>
      </c>
      <c r="E195" t="s">
        <v>778</v>
      </c>
      <c r="F195" t="s">
        <v>520</v>
      </c>
      <c r="H195" s="38" t="s">
        <v>1114</v>
      </c>
      <c r="I195" t="s">
        <v>529</v>
      </c>
    </row>
    <row r="196" spans="1:9" ht="14" customHeight="1">
      <c r="A196" t="s">
        <v>516</v>
      </c>
      <c r="B196" s="38" t="s">
        <v>1115</v>
      </c>
      <c r="C196" s="38" t="s">
        <v>1116</v>
      </c>
      <c r="D196" s="38" t="s">
        <v>1115</v>
      </c>
      <c r="E196" t="s">
        <v>778</v>
      </c>
      <c r="F196" t="s">
        <v>520</v>
      </c>
      <c r="H196" s="38" t="s">
        <v>1117</v>
      </c>
      <c r="I196" t="s">
        <v>529</v>
      </c>
    </row>
    <row r="197" spans="1:9" ht="14" customHeight="1">
      <c r="A197" t="s">
        <v>516</v>
      </c>
      <c r="B197" s="38" t="s">
        <v>1118</v>
      </c>
      <c r="C197" s="38" t="s">
        <v>1119</v>
      </c>
      <c r="D197" s="38" t="s">
        <v>1118</v>
      </c>
      <c r="E197" t="s">
        <v>778</v>
      </c>
      <c r="F197" t="s">
        <v>520</v>
      </c>
      <c r="H197" s="38" t="s">
        <v>1120</v>
      </c>
      <c r="I197" t="s">
        <v>529</v>
      </c>
    </row>
    <row r="198" spans="1:9" ht="14" customHeight="1">
      <c r="A198" t="s">
        <v>516</v>
      </c>
      <c r="B198" s="38" t="s">
        <v>1121</v>
      </c>
      <c r="C198" s="38" t="s">
        <v>1122</v>
      </c>
      <c r="D198" s="38" t="s">
        <v>1121</v>
      </c>
      <c r="E198" t="s">
        <v>778</v>
      </c>
      <c r="F198" t="s">
        <v>520</v>
      </c>
      <c r="H198" s="38" t="s">
        <v>1123</v>
      </c>
      <c r="I198" t="s">
        <v>529</v>
      </c>
    </row>
    <row r="199" spans="1:9" ht="14" customHeight="1">
      <c r="A199" t="s">
        <v>516</v>
      </c>
      <c r="B199" s="38" t="s">
        <v>1124</v>
      </c>
      <c r="C199" s="38" t="s">
        <v>1125</v>
      </c>
      <c r="D199" s="38" t="s">
        <v>1124</v>
      </c>
      <c r="E199" t="s">
        <v>778</v>
      </c>
      <c r="F199" t="s">
        <v>520</v>
      </c>
      <c r="H199" s="38" t="s">
        <v>1126</v>
      </c>
      <c r="I199" t="s">
        <v>529</v>
      </c>
    </row>
    <row r="200" spans="1:9" ht="409.6">
      <c r="A200" t="s">
        <v>516</v>
      </c>
      <c r="B200" s="38" t="s">
        <v>1127</v>
      </c>
      <c r="C200" s="38" t="s">
        <v>1128</v>
      </c>
      <c r="D200" s="38" t="s">
        <v>1127</v>
      </c>
      <c r="E200" t="s">
        <v>778</v>
      </c>
      <c r="F200" t="s">
        <v>520</v>
      </c>
      <c r="H200" s="38" t="s">
        <v>1129</v>
      </c>
      <c r="I200" t="s">
        <v>529</v>
      </c>
    </row>
    <row r="201" spans="1:9" ht="14" customHeight="1">
      <c r="A201" t="s">
        <v>516</v>
      </c>
      <c r="B201" s="38" t="s">
        <v>1130</v>
      </c>
      <c r="C201" s="38" t="s">
        <v>1131</v>
      </c>
      <c r="D201" s="38" t="s">
        <v>1130</v>
      </c>
      <c r="E201" t="s">
        <v>778</v>
      </c>
      <c r="F201" t="s">
        <v>520</v>
      </c>
      <c r="H201" s="38" t="s">
        <v>1132</v>
      </c>
      <c r="I201" t="s">
        <v>533</v>
      </c>
    </row>
    <row r="202" spans="1:9" ht="14" customHeight="1">
      <c r="A202" t="s">
        <v>516</v>
      </c>
      <c r="B202" s="38" t="s">
        <v>1133</v>
      </c>
      <c r="C202" s="38" t="s">
        <v>1134</v>
      </c>
      <c r="D202" s="38" t="s">
        <v>1133</v>
      </c>
      <c r="E202" t="s">
        <v>778</v>
      </c>
      <c r="F202" t="s">
        <v>520</v>
      </c>
      <c r="H202" s="38" t="s">
        <v>1135</v>
      </c>
      <c r="I202" t="s">
        <v>533</v>
      </c>
    </row>
    <row r="203" spans="1:9" ht="14" customHeight="1">
      <c r="A203" t="s">
        <v>516</v>
      </c>
      <c r="B203" s="38" t="s">
        <v>1136</v>
      </c>
      <c r="C203" s="38" t="s">
        <v>1137</v>
      </c>
      <c r="D203" s="38" t="s">
        <v>1136</v>
      </c>
      <c r="E203" t="s">
        <v>778</v>
      </c>
      <c r="F203" t="s">
        <v>520</v>
      </c>
      <c r="H203" s="38" t="s">
        <v>1138</v>
      </c>
      <c r="I203" t="s">
        <v>529</v>
      </c>
    </row>
    <row r="204" spans="1:9" ht="14" customHeight="1">
      <c r="A204" t="s">
        <v>516</v>
      </c>
      <c r="B204" s="38" t="s">
        <v>1139</v>
      </c>
      <c r="C204" s="38" t="s">
        <v>1140</v>
      </c>
      <c r="D204" s="38" t="s">
        <v>1139</v>
      </c>
      <c r="E204" t="s">
        <v>778</v>
      </c>
      <c r="F204" t="s">
        <v>520</v>
      </c>
      <c r="H204" s="38" t="s">
        <v>1141</v>
      </c>
      <c r="I204" t="s">
        <v>529</v>
      </c>
    </row>
    <row r="205" spans="1:9" ht="14" customHeight="1">
      <c r="A205" t="s">
        <v>516</v>
      </c>
      <c r="B205" s="38" t="s">
        <v>1142</v>
      </c>
      <c r="C205" s="38" t="s">
        <v>1143</v>
      </c>
      <c r="D205" s="38" t="s">
        <v>1144</v>
      </c>
      <c r="E205" t="s">
        <v>778</v>
      </c>
      <c r="F205" t="s">
        <v>520</v>
      </c>
      <c r="H205" s="38" t="s">
        <v>1145</v>
      </c>
      <c r="I205" t="s">
        <v>529</v>
      </c>
    </row>
    <row r="206" spans="1:9" ht="14" customHeight="1">
      <c r="A206" t="s">
        <v>516</v>
      </c>
      <c r="B206" s="38" t="s">
        <v>1146</v>
      </c>
      <c r="C206" s="38" t="s">
        <v>1147</v>
      </c>
      <c r="D206" s="38" t="s">
        <v>1146</v>
      </c>
      <c r="E206" t="s">
        <v>778</v>
      </c>
      <c r="F206" t="s">
        <v>520</v>
      </c>
      <c r="H206" s="38" t="s">
        <v>1148</v>
      </c>
      <c r="I206" t="s">
        <v>529</v>
      </c>
    </row>
    <row r="207" spans="1:9" ht="14" customHeight="1">
      <c r="A207" t="s">
        <v>516</v>
      </c>
      <c r="B207" s="38" t="s">
        <v>1149</v>
      </c>
      <c r="C207" s="38" t="s">
        <v>1150</v>
      </c>
      <c r="D207" s="38" t="s">
        <v>1149</v>
      </c>
      <c r="E207" t="s">
        <v>778</v>
      </c>
      <c r="F207" t="s">
        <v>520</v>
      </c>
      <c r="H207" s="38" t="s">
        <v>1151</v>
      </c>
      <c r="I207" t="s">
        <v>529</v>
      </c>
    </row>
    <row r="208" spans="1:9" ht="14" customHeight="1">
      <c r="A208" t="s">
        <v>516</v>
      </c>
      <c r="B208" s="38" t="s">
        <v>1152</v>
      </c>
      <c r="C208" s="38" t="s">
        <v>1153</v>
      </c>
      <c r="E208" t="s">
        <v>778</v>
      </c>
      <c r="F208" t="s">
        <v>520</v>
      </c>
      <c r="H208" s="38" t="s">
        <v>1154</v>
      </c>
      <c r="I208" t="s">
        <v>529</v>
      </c>
    </row>
    <row r="209" spans="1:9" ht="14" customHeight="1">
      <c r="A209" t="s">
        <v>516</v>
      </c>
      <c r="B209" s="38" t="s">
        <v>1155</v>
      </c>
      <c r="C209" s="38" t="s">
        <v>1156</v>
      </c>
      <c r="D209" s="38" t="s">
        <v>1155</v>
      </c>
      <c r="E209" t="s">
        <v>778</v>
      </c>
      <c r="F209" t="s">
        <v>520</v>
      </c>
      <c r="H209" s="38" t="s">
        <v>1157</v>
      </c>
      <c r="I209" t="s">
        <v>529</v>
      </c>
    </row>
    <row r="210" spans="1:9" ht="14" customHeight="1">
      <c r="A210" t="s">
        <v>516</v>
      </c>
      <c r="B210" s="38" t="s">
        <v>1158</v>
      </c>
      <c r="C210" s="38" t="s">
        <v>1159</v>
      </c>
      <c r="D210" s="38" t="s">
        <v>1160</v>
      </c>
      <c r="E210" t="s">
        <v>778</v>
      </c>
      <c r="F210" t="s">
        <v>520</v>
      </c>
      <c r="H210" s="38" t="s">
        <v>1161</v>
      </c>
      <c r="I210" t="s">
        <v>529</v>
      </c>
    </row>
    <row r="211" spans="1:9" ht="14" customHeight="1">
      <c r="A211" t="s">
        <v>516</v>
      </c>
      <c r="B211" s="38" t="s">
        <v>1162</v>
      </c>
      <c r="C211" s="38" t="s">
        <v>1163</v>
      </c>
      <c r="D211" s="38" t="s">
        <v>1164</v>
      </c>
      <c r="E211" t="s">
        <v>778</v>
      </c>
      <c r="F211" t="s">
        <v>520</v>
      </c>
      <c r="H211" s="38" t="s">
        <v>1165</v>
      </c>
      <c r="I211" t="s">
        <v>529</v>
      </c>
    </row>
    <row r="212" spans="1:9" ht="409.6">
      <c r="A212" t="s">
        <v>516</v>
      </c>
      <c r="B212" s="38" t="s">
        <v>1166</v>
      </c>
      <c r="C212" s="38" t="s">
        <v>1167</v>
      </c>
      <c r="E212" t="s">
        <v>778</v>
      </c>
      <c r="F212" t="s">
        <v>520</v>
      </c>
      <c r="H212" s="38" t="s">
        <v>1129</v>
      </c>
      <c r="I212" t="s">
        <v>529</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pane ySplit="2" topLeftCell="A115" activePane="bottomLeft" state="frozen"/>
      <selection pane="bottomLeft" activeCell="I107" sqref="I107"/>
    </sheetView>
    <sheetView workbookViewId="1"/>
  </sheetViews>
  <sheetFormatPr baseColWidth="10" defaultColWidth="8.83203125" defaultRowHeight="15"/>
  <cols>
    <col min="1" max="1" width="49.6640625" customWidth="1"/>
    <col min="2" max="2" width="19.5" customWidth="1"/>
    <col min="3" max="3" width="16.5" bestFit="1" customWidth="1"/>
    <col min="4" max="4" width="19.5" customWidth="1"/>
    <col min="5" max="5" width="18" customWidth="1"/>
    <col min="6" max="6" width="11" bestFit="1" customWidth="1"/>
    <col min="7" max="7" width="17.5" bestFit="1" customWidth="1"/>
    <col min="8" max="8" width="17.5" style="139" customWidth="1"/>
    <col min="9" max="9" width="31.6640625" customWidth="1"/>
    <col min="10" max="10" width="160.1640625" style="98" customWidth="1"/>
    <col min="11" max="11" width="30.6640625" style="103" customWidth="1"/>
  </cols>
  <sheetData>
    <row r="1" spans="1:50" s="2" customFormat="1" ht="22">
      <c r="A1" s="59" t="s">
        <v>278</v>
      </c>
      <c r="B1" s="60"/>
      <c r="C1" s="60"/>
      <c r="D1" s="60"/>
      <c r="E1" s="60"/>
      <c r="F1" s="60"/>
      <c r="G1" s="60"/>
      <c r="H1" s="138"/>
      <c r="I1" s="60"/>
      <c r="J1" s="99"/>
      <c r="K1" s="223" t="s">
        <v>279</v>
      </c>
      <c r="L1" s="224"/>
      <c r="M1" s="224"/>
      <c r="N1" s="224"/>
      <c r="O1" s="224"/>
      <c r="P1" s="224"/>
      <c r="Q1" s="224"/>
      <c r="R1" s="224"/>
      <c r="S1" s="224"/>
      <c r="T1" s="224"/>
      <c r="U1" s="224"/>
      <c r="V1" s="224"/>
      <c r="W1" s="224"/>
      <c r="X1" s="224"/>
      <c r="Y1" s="224"/>
      <c r="Z1" s="224"/>
      <c r="AA1" s="224"/>
      <c r="AB1" s="224"/>
      <c r="AC1" s="224"/>
      <c r="AD1" s="224"/>
      <c r="AE1" s="224"/>
      <c r="AF1" s="224"/>
      <c r="AG1" s="224"/>
      <c r="AH1" s="224"/>
      <c r="AI1" s="224"/>
      <c r="AJ1" s="224"/>
      <c r="AK1" s="224"/>
      <c r="AL1" s="224"/>
      <c r="AM1" s="224"/>
      <c r="AN1" s="224"/>
      <c r="AO1" s="224"/>
      <c r="AP1" s="224"/>
      <c r="AQ1" s="224"/>
      <c r="AR1" s="224"/>
      <c r="AS1" s="224"/>
      <c r="AT1" s="224"/>
      <c r="AU1" s="224"/>
      <c r="AV1" s="224"/>
      <c r="AW1" s="224"/>
      <c r="AX1" s="225"/>
    </row>
    <row r="2" spans="1:50" s="2" customFormat="1" ht="32">
      <c r="A2" s="1" t="s">
        <v>280</v>
      </c>
      <c r="B2" s="1" t="s">
        <v>281</v>
      </c>
      <c r="C2" s="1" t="s">
        <v>282</v>
      </c>
      <c r="D2" s="3" t="s">
        <v>283</v>
      </c>
      <c r="E2" s="3" t="s">
        <v>284</v>
      </c>
      <c r="F2" s="1" t="s">
        <v>285</v>
      </c>
      <c r="G2" s="1" t="s">
        <v>286</v>
      </c>
      <c r="H2" s="123" t="s">
        <v>1168</v>
      </c>
      <c r="I2" s="3" t="s">
        <v>289</v>
      </c>
      <c r="J2" s="100" t="s">
        <v>288</v>
      </c>
      <c r="K2" s="102" t="s">
        <v>290</v>
      </c>
      <c r="L2" s="2" t="s">
        <v>291</v>
      </c>
      <c r="M2" s="2" t="s">
        <v>292</v>
      </c>
      <c r="N2" s="2" t="s">
        <v>293</v>
      </c>
      <c r="O2" s="2" t="s">
        <v>294</v>
      </c>
      <c r="P2" s="2" t="s">
        <v>295</v>
      </c>
      <c r="Q2" s="2" t="s">
        <v>296</v>
      </c>
      <c r="R2" s="2" t="s">
        <v>297</v>
      </c>
      <c r="S2" s="2" t="s">
        <v>298</v>
      </c>
      <c r="T2" s="2" t="s">
        <v>299</v>
      </c>
      <c r="U2" s="2" t="s">
        <v>300</v>
      </c>
      <c r="V2" s="2" t="s">
        <v>301</v>
      </c>
      <c r="W2" s="2" t="s">
        <v>302</v>
      </c>
      <c r="X2" s="2" t="s">
        <v>303</v>
      </c>
      <c r="Y2" s="2" t="s">
        <v>304</v>
      </c>
      <c r="Z2" s="2" t="s">
        <v>305</v>
      </c>
      <c r="AA2" s="2" t="s">
        <v>306</v>
      </c>
      <c r="AB2" s="2" t="s">
        <v>307</v>
      </c>
      <c r="AC2" s="2" t="s">
        <v>308</v>
      </c>
      <c r="AD2" s="2" t="s">
        <v>309</v>
      </c>
      <c r="AE2" s="2" t="s">
        <v>310</v>
      </c>
      <c r="AF2" s="2" t="s">
        <v>311</v>
      </c>
      <c r="AG2" s="2" t="s">
        <v>312</v>
      </c>
      <c r="AH2" s="2" t="s">
        <v>313</v>
      </c>
      <c r="AI2" s="2" t="s">
        <v>314</v>
      </c>
      <c r="AJ2" s="2" t="s">
        <v>315</v>
      </c>
      <c r="AK2" s="2" t="s">
        <v>316</v>
      </c>
      <c r="AL2" s="2" t="s">
        <v>317</v>
      </c>
      <c r="AM2" s="2" t="s">
        <v>318</v>
      </c>
      <c r="AN2" s="2" t="s">
        <v>319</v>
      </c>
      <c r="AO2" s="2" t="s">
        <v>320</v>
      </c>
      <c r="AP2" s="2" t="s">
        <v>321</v>
      </c>
      <c r="AQ2" s="2" t="s">
        <v>322</v>
      </c>
      <c r="AR2" s="2" t="s">
        <v>323</v>
      </c>
      <c r="AS2" s="2" t="s">
        <v>324</v>
      </c>
      <c r="AT2" s="2" t="s">
        <v>325</v>
      </c>
      <c r="AU2" s="2" t="s">
        <v>326</v>
      </c>
      <c r="AV2" s="2" t="s">
        <v>327</v>
      </c>
      <c r="AW2" s="2" t="s">
        <v>328</v>
      </c>
      <c r="AX2" s="2" t="s">
        <v>329</v>
      </c>
    </row>
    <row r="3" spans="1:50" ht="48">
      <c r="A3" s="34" t="s">
        <v>523</v>
      </c>
      <c r="B3" s="34"/>
      <c r="C3" s="2"/>
      <c r="D3" s="34" t="s">
        <v>524</v>
      </c>
      <c r="E3" s="4"/>
      <c r="F3" s="96" t="s">
        <v>1169</v>
      </c>
      <c r="G3" s="2"/>
      <c r="H3" s="115" t="s">
        <v>1170</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88</v>
      </c>
      <c r="B4" s="101"/>
      <c r="C4" s="111"/>
      <c r="D4" s="101" t="s">
        <v>88</v>
      </c>
      <c r="E4" s="101"/>
      <c r="F4" s="112" t="s">
        <v>1171</v>
      </c>
      <c r="G4" s="111"/>
      <c r="H4" s="115" t="s">
        <v>1172</v>
      </c>
      <c r="I4" s="111" t="s">
        <v>5</v>
      </c>
      <c r="J4" s="101" t="s">
        <v>1173</v>
      </c>
      <c r="K4" s="102" t="s">
        <v>1174</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12">
      <c r="A5" s="114" t="s">
        <v>91</v>
      </c>
      <c r="B5" s="114"/>
      <c r="C5" s="115"/>
      <c r="D5" s="114" t="s">
        <v>91</v>
      </c>
      <c r="E5" s="116"/>
      <c r="F5" s="118" t="s">
        <v>1171</v>
      </c>
      <c r="G5" s="115"/>
      <c r="H5" s="115" t="s">
        <v>1172</v>
      </c>
      <c r="I5" s="111" t="s">
        <v>5</v>
      </c>
      <c r="J5" s="101" t="s">
        <v>1175</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20">
      <c r="A6" s="114" t="s">
        <v>1176</v>
      </c>
      <c r="B6" s="114"/>
      <c r="C6" s="115"/>
      <c r="D6" s="114" t="s">
        <v>1176</v>
      </c>
      <c r="E6" s="116"/>
      <c r="F6" s="118" t="s">
        <v>1171</v>
      </c>
      <c r="G6" s="115"/>
      <c r="H6" s="115" t="s">
        <v>1177</v>
      </c>
      <c r="I6" s="111" t="s">
        <v>5</v>
      </c>
      <c r="J6" s="101" t="s">
        <v>1178</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24">
      <c r="A7" s="114" t="s">
        <v>1179</v>
      </c>
      <c r="B7" s="114"/>
      <c r="C7" s="115"/>
      <c r="D7" s="114" t="s">
        <v>1179</v>
      </c>
      <c r="E7" s="116"/>
      <c r="F7" s="118" t="s">
        <v>1171</v>
      </c>
      <c r="G7" s="115"/>
      <c r="H7" s="115" t="s">
        <v>1172</v>
      </c>
      <c r="I7" s="111" t="s">
        <v>5</v>
      </c>
      <c r="J7" s="101" t="s">
        <v>1180</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88">
      <c r="A8" s="114" t="s">
        <v>1181</v>
      </c>
      <c r="B8" s="114"/>
      <c r="C8" s="115"/>
      <c r="D8" s="114" t="s">
        <v>1181</v>
      </c>
      <c r="E8" s="116"/>
      <c r="F8" s="118" t="s">
        <v>1171</v>
      </c>
      <c r="G8" s="115"/>
      <c r="H8" s="115" t="s">
        <v>1182</v>
      </c>
      <c r="I8" s="111" t="s">
        <v>5</v>
      </c>
      <c r="J8" s="101" t="s">
        <v>1183</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35">
      <c r="A9" s="114" t="s">
        <v>1184</v>
      </c>
      <c r="B9" s="114"/>
      <c r="C9" s="115"/>
      <c r="D9" s="114" t="s">
        <v>1184</v>
      </c>
      <c r="E9" s="116"/>
      <c r="F9" s="118" t="s">
        <v>1171</v>
      </c>
      <c r="G9" s="115"/>
      <c r="H9" s="115" t="s">
        <v>1172</v>
      </c>
      <c r="I9" s="111" t="s">
        <v>5</v>
      </c>
      <c r="J9" s="101" t="s">
        <v>1185</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60">
      <c r="A10" s="114" t="s">
        <v>1186</v>
      </c>
      <c r="B10" s="114"/>
      <c r="C10" s="115"/>
      <c r="D10" s="114" t="s">
        <v>1186</v>
      </c>
      <c r="E10" s="116"/>
      <c r="F10" s="118" t="s">
        <v>1171</v>
      </c>
      <c r="G10" s="115"/>
      <c r="H10" s="115" t="s">
        <v>1172</v>
      </c>
      <c r="I10" s="111" t="s">
        <v>5</v>
      </c>
      <c r="J10" s="101" t="s">
        <v>1187</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32">
      <c r="A11" s="34" t="s">
        <v>571</v>
      </c>
      <c r="B11" s="34"/>
      <c r="C11" s="2"/>
      <c r="D11" s="34" t="s">
        <v>573</v>
      </c>
      <c r="E11" s="4"/>
      <c r="F11" s="96" t="s">
        <v>1169</v>
      </c>
      <c r="G11" s="2"/>
      <c r="H11" s="115" t="s">
        <v>1170</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8">
      <c r="A12" s="34" t="s">
        <v>576</v>
      </c>
      <c r="B12" s="34"/>
      <c r="C12" s="2"/>
      <c r="D12" s="34" t="s">
        <v>577</v>
      </c>
      <c r="E12" s="4"/>
      <c r="F12" s="104" t="s">
        <v>1188</v>
      </c>
      <c r="G12" s="2"/>
      <c r="H12" s="115" t="s">
        <v>1170</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48">
      <c r="A13" s="114" t="s">
        <v>1189</v>
      </c>
      <c r="B13" s="114"/>
      <c r="C13" s="115"/>
      <c r="D13" s="114" t="s">
        <v>1189</v>
      </c>
      <c r="E13" s="116"/>
      <c r="F13" s="118" t="s">
        <v>1171</v>
      </c>
      <c r="G13" s="115"/>
      <c r="H13" s="115" t="s">
        <v>1172</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64">
      <c r="A14" s="114" t="s">
        <v>1190</v>
      </c>
      <c r="B14" s="114"/>
      <c r="C14" s="115"/>
      <c r="D14" s="114" t="s">
        <v>1190</v>
      </c>
      <c r="E14" s="116"/>
      <c r="F14" s="118" t="s">
        <v>1171</v>
      </c>
      <c r="G14" s="115"/>
      <c r="H14" s="115" t="s">
        <v>1172</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48">
      <c r="A15" s="114" t="s">
        <v>1191</v>
      </c>
      <c r="B15" s="114"/>
      <c r="C15" s="115"/>
      <c r="D15" s="114" t="s">
        <v>1191</v>
      </c>
      <c r="E15" s="116"/>
      <c r="F15" s="118" t="s">
        <v>1171</v>
      </c>
      <c r="G15" s="115"/>
      <c r="H15" s="115" t="s">
        <v>1172</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48">
      <c r="A16" s="114" t="s">
        <v>1192</v>
      </c>
      <c r="B16" s="114"/>
      <c r="C16" s="115"/>
      <c r="D16" s="114" t="s">
        <v>1192</v>
      </c>
      <c r="E16" s="116"/>
      <c r="F16" s="118" t="s">
        <v>1171</v>
      </c>
      <c r="G16" s="115"/>
      <c r="H16" s="115" t="s">
        <v>1182</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8">
      <c r="A17" s="34" t="s">
        <v>597</v>
      </c>
      <c r="B17" s="34"/>
      <c r="C17" s="2"/>
      <c r="D17" s="34" t="s">
        <v>599</v>
      </c>
      <c r="E17" s="4"/>
      <c r="F17" s="96" t="s">
        <v>1169</v>
      </c>
      <c r="G17" s="2"/>
      <c r="H17" s="115" t="s">
        <v>1170</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8">
      <c r="A18" s="34" t="s">
        <v>607</v>
      </c>
      <c r="B18" s="34"/>
      <c r="C18" s="2"/>
      <c r="D18" s="34" t="s">
        <v>599</v>
      </c>
      <c r="E18" s="4"/>
      <c r="F18" s="96" t="s">
        <v>1169</v>
      </c>
      <c r="G18" s="2"/>
      <c r="H18" s="115" t="s">
        <v>1170</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48">
      <c r="A19" s="101" t="s">
        <v>1193</v>
      </c>
      <c r="B19" s="101"/>
      <c r="C19" s="111"/>
      <c r="D19" s="101" t="s">
        <v>1193</v>
      </c>
      <c r="E19" s="101"/>
      <c r="F19" s="112" t="s">
        <v>1171</v>
      </c>
      <c r="G19" s="111"/>
      <c r="H19" s="115" t="s">
        <v>1172</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48">
      <c r="A20" s="114" t="s">
        <v>1194</v>
      </c>
      <c r="B20" s="114"/>
      <c r="C20" s="115"/>
      <c r="D20" s="114" t="s">
        <v>1194</v>
      </c>
      <c r="E20" s="116"/>
      <c r="F20" s="118" t="s">
        <v>1171</v>
      </c>
      <c r="G20" s="115"/>
      <c r="H20" s="115" t="s">
        <v>1172</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80">
      <c r="A21" s="114" t="s">
        <v>1195</v>
      </c>
      <c r="B21" s="114"/>
      <c r="C21" s="115"/>
      <c r="D21" s="114" t="s">
        <v>1195</v>
      </c>
      <c r="E21" s="116"/>
      <c r="F21" s="118" t="s">
        <v>1171</v>
      </c>
      <c r="G21" s="115"/>
      <c r="H21" s="115" t="s">
        <v>1172</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64">
      <c r="A22" s="114" t="s">
        <v>1196</v>
      </c>
      <c r="B22" s="114"/>
      <c r="C22" s="115"/>
      <c r="D22" s="114" t="s">
        <v>1196</v>
      </c>
      <c r="E22" s="116"/>
      <c r="F22" s="118" t="s">
        <v>1171</v>
      </c>
      <c r="G22" s="115"/>
      <c r="H22" s="115" t="s">
        <v>1172</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8">
      <c r="A23" s="132" t="s">
        <v>612</v>
      </c>
      <c r="B23" s="114"/>
      <c r="C23" s="115"/>
      <c r="D23" s="114" t="s">
        <v>612</v>
      </c>
      <c r="E23" s="116"/>
      <c r="F23" s="118" t="s">
        <v>1171</v>
      </c>
      <c r="G23" s="115"/>
      <c r="H23" s="127" t="s">
        <v>332</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2">
      <c r="A24" s="132" t="s">
        <v>625</v>
      </c>
      <c r="B24" s="114"/>
      <c r="C24" s="115"/>
      <c r="D24" s="114"/>
      <c r="E24" s="116"/>
      <c r="F24" s="118" t="s">
        <v>1171</v>
      </c>
      <c r="G24" s="115"/>
      <c r="H24" s="133" t="s">
        <v>332</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8">
      <c r="A25" s="34" t="s">
        <v>663</v>
      </c>
      <c r="B25" s="34"/>
      <c r="C25" s="2"/>
      <c r="D25" s="34" t="s">
        <v>665</v>
      </c>
      <c r="E25" s="4"/>
      <c r="F25" s="96" t="s">
        <v>1169</v>
      </c>
      <c r="G25" s="2"/>
      <c r="H25" s="115" t="s">
        <v>1170</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8">
      <c r="A26" s="34" t="s">
        <v>668</v>
      </c>
      <c r="B26" s="34"/>
      <c r="C26" s="2"/>
      <c r="D26" s="34" t="s">
        <v>665</v>
      </c>
      <c r="E26" s="4"/>
      <c r="F26" s="96" t="s">
        <v>1169</v>
      </c>
      <c r="G26" s="2"/>
      <c r="H26" s="115" t="s">
        <v>1170</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ht="16">
      <c r="A27" s="105" t="s">
        <v>1197</v>
      </c>
      <c r="B27" s="34"/>
      <c r="C27" s="2"/>
      <c r="D27" s="34"/>
      <c r="E27" s="4"/>
      <c r="F27" s="131" t="s">
        <v>1171</v>
      </c>
      <c r="G27" s="2"/>
      <c r="H27" s="127" t="s">
        <v>332</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ht="16">
      <c r="A28" s="105" t="s">
        <v>1198</v>
      </c>
      <c r="B28" s="105"/>
      <c r="C28" s="106"/>
      <c r="D28" s="105"/>
      <c r="E28" s="107"/>
      <c r="F28" s="131" t="s">
        <v>1171</v>
      </c>
      <c r="G28" s="106"/>
      <c r="H28" s="127" t="s">
        <v>332</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ht="16">
      <c r="A29" s="34" t="s">
        <v>1199</v>
      </c>
      <c r="B29" s="34"/>
      <c r="C29" s="2"/>
      <c r="D29" s="34"/>
      <c r="E29" s="4"/>
      <c r="F29" s="131" t="s">
        <v>1171</v>
      </c>
      <c r="G29" s="2"/>
      <c r="H29" s="115" t="s">
        <v>1177</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2">
      <c r="A30" s="130" t="s">
        <v>1200</v>
      </c>
      <c r="B30" s="114"/>
      <c r="C30" s="115"/>
      <c r="D30" s="114" t="s">
        <v>1201</v>
      </c>
      <c r="E30" s="116"/>
      <c r="F30" s="118" t="s">
        <v>1202</v>
      </c>
      <c r="G30" s="115"/>
      <c r="H30" s="128" t="s">
        <v>1170</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16">
      <c r="A31" s="105" t="s">
        <v>755</v>
      </c>
      <c r="B31" s="34"/>
      <c r="C31" s="2"/>
      <c r="D31" s="34"/>
      <c r="E31" s="4"/>
      <c r="F31" s="131" t="s">
        <v>1171</v>
      </c>
      <c r="G31" s="2"/>
      <c r="H31" s="127" t="s">
        <v>332</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16">
      <c r="A32" s="114" t="s">
        <v>1203</v>
      </c>
      <c r="B32" s="114"/>
      <c r="C32" s="115"/>
      <c r="D32" s="114"/>
      <c r="E32" s="116"/>
      <c r="F32" s="118" t="s">
        <v>1171</v>
      </c>
      <c r="G32" s="115"/>
      <c r="H32" s="115" t="s">
        <v>1177</v>
      </c>
      <c r="I32" s="111" t="s">
        <v>5</v>
      </c>
      <c r="J32" s="111" t="s">
        <v>1204</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16">
      <c r="A33" s="105" t="s">
        <v>1205</v>
      </c>
      <c r="B33" s="34"/>
      <c r="C33" s="2"/>
      <c r="D33" s="34"/>
      <c r="E33" s="4"/>
      <c r="F33" s="131" t="s">
        <v>1171</v>
      </c>
      <c r="G33" s="2"/>
      <c r="H33" s="127" t="s">
        <v>332</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16">
      <c r="A34" s="114" t="s">
        <v>1206</v>
      </c>
      <c r="B34" s="114"/>
      <c r="C34" s="115"/>
      <c r="D34" s="114"/>
      <c r="E34" s="116"/>
      <c r="F34" s="118" t="s">
        <v>1171</v>
      </c>
      <c r="G34" s="115"/>
      <c r="H34" s="115" t="s">
        <v>1177</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8">
      <c r="A35" s="132" t="s">
        <v>1207</v>
      </c>
      <c r="B35" s="114"/>
      <c r="C35" s="115"/>
      <c r="D35" s="114" t="s">
        <v>1208</v>
      </c>
      <c r="E35" s="116"/>
      <c r="F35" s="118" t="s">
        <v>1171</v>
      </c>
      <c r="G35" s="115"/>
      <c r="H35" s="133" t="s">
        <v>332</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48">
      <c r="A36" s="114" t="s">
        <v>1209</v>
      </c>
      <c r="B36" s="114"/>
      <c r="C36" s="115"/>
      <c r="D36" s="114" t="s">
        <v>1209</v>
      </c>
      <c r="E36" s="116"/>
      <c r="F36" s="118" t="s">
        <v>1171</v>
      </c>
      <c r="G36" s="115"/>
      <c r="H36" s="115" t="s">
        <v>1172</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48">
      <c r="A37" s="114" t="s">
        <v>1210</v>
      </c>
      <c r="B37" s="114"/>
      <c r="C37" s="115"/>
      <c r="D37" s="114" t="s">
        <v>1210</v>
      </c>
      <c r="E37" s="116"/>
      <c r="F37" s="118" t="s">
        <v>1171</v>
      </c>
      <c r="G37" s="115"/>
      <c r="H37" s="115" t="s">
        <v>1172</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80">
      <c r="A38" s="114" t="s">
        <v>1211</v>
      </c>
      <c r="B38" s="114"/>
      <c r="C38" s="115"/>
      <c r="D38" s="114" t="s">
        <v>1211</v>
      </c>
      <c r="E38" s="116"/>
      <c r="F38" s="118" t="s">
        <v>1171</v>
      </c>
      <c r="G38" s="115"/>
      <c r="H38" s="115" t="s">
        <v>1172</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64">
      <c r="A39" s="114" t="s">
        <v>1212</v>
      </c>
      <c r="B39" s="114"/>
      <c r="C39" s="115"/>
      <c r="D39" s="114" t="s">
        <v>1212</v>
      </c>
      <c r="E39" s="116"/>
      <c r="F39" s="118" t="s">
        <v>1171</v>
      </c>
      <c r="G39" s="115"/>
      <c r="H39" s="115" t="s">
        <v>1172</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48">
      <c r="A40" s="130" t="s">
        <v>1213</v>
      </c>
      <c r="B40" s="114"/>
      <c r="C40" s="115"/>
      <c r="D40" s="114" t="s">
        <v>1213</v>
      </c>
      <c r="E40" s="116"/>
      <c r="F40" s="118" t="s">
        <v>1171</v>
      </c>
      <c r="G40" s="115"/>
      <c r="H40" s="128" t="s">
        <v>1172</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ht="16">
      <c r="A41" s="130" t="s">
        <v>1214</v>
      </c>
      <c r="B41" s="114"/>
      <c r="C41" s="115"/>
      <c r="D41" s="114"/>
      <c r="E41" s="116"/>
      <c r="F41" s="118" t="s">
        <v>1171</v>
      </c>
      <c r="G41" s="115"/>
      <c r="H41" s="128" t="s">
        <v>1172</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48">
      <c r="A42" s="137" t="s">
        <v>81</v>
      </c>
      <c r="B42" s="114"/>
      <c r="C42" s="115"/>
      <c r="D42" s="114" t="s">
        <v>81</v>
      </c>
      <c r="E42" s="116"/>
      <c r="F42" s="118" t="s">
        <v>1171</v>
      </c>
      <c r="G42" s="115"/>
      <c r="H42" s="128" t="s">
        <v>1215</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8">
      <c r="A43" s="114" t="s">
        <v>1216</v>
      </c>
      <c r="B43" s="114"/>
      <c r="C43" s="115"/>
      <c r="D43" s="114" t="s">
        <v>1216</v>
      </c>
      <c r="E43" s="116"/>
      <c r="F43" s="118" t="s">
        <v>1171</v>
      </c>
      <c r="G43" s="115"/>
      <c r="H43" s="115" t="s">
        <v>1172</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48">
      <c r="A44" s="114" t="s">
        <v>1217</v>
      </c>
      <c r="B44" s="114"/>
      <c r="C44" s="115"/>
      <c r="D44" s="114" t="s">
        <v>1217</v>
      </c>
      <c r="E44" s="116"/>
      <c r="F44" s="118" t="s">
        <v>1171</v>
      </c>
      <c r="G44" s="115"/>
      <c r="H44" s="115" t="s">
        <v>1172</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48">
      <c r="A45" s="114" t="s">
        <v>1218</v>
      </c>
      <c r="B45" s="114"/>
      <c r="C45" s="115"/>
      <c r="D45" s="114" t="s">
        <v>1219</v>
      </c>
      <c r="E45" s="116"/>
      <c r="F45" s="118" t="s">
        <v>1171</v>
      </c>
      <c r="G45" s="115"/>
      <c r="H45" s="115" t="s">
        <v>1172</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48">
      <c r="A46" s="114" t="s">
        <v>1220</v>
      </c>
      <c r="B46" s="114"/>
      <c r="C46" s="115"/>
      <c r="D46" s="114" t="s">
        <v>1220</v>
      </c>
      <c r="E46" s="116"/>
      <c r="F46" s="118" t="s">
        <v>1171</v>
      </c>
      <c r="G46" s="115"/>
      <c r="H46" s="115" t="s">
        <v>1172</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48">
      <c r="A47" s="114" t="s">
        <v>1221</v>
      </c>
      <c r="B47" s="114"/>
      <c r="C47" s="115"/>
      <c r="D47" s="114" t="s">
        <v>1221</v>
      </c>
      <c r="E47" s="116"/>
      <c r="F47" s="118" t="s">
        <v>1171</v>
      </c>
      <c r="G47" s="115"/>
      <c r="H47" s="115" t="s">
        <v>1172</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80">
      <c r="A48" s="114" t="s">
        <v>1222</v>
      </c>
      <c r="B48" s="114"/>
      <c r="C48" s="115"/>
      <c r="D48" s="114" t="s">
        <v>1222</v>
      </c>
      <c r="E48" s="116"/>
      <c r="F48" s="118" t="s">
        <v>1171</v>
      </c>
      <c r="G48" s="115"/>
      <c r="H48" s="115" t="s">
        <v>1172</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64">
      <c r="A49" s="130" t="s">
        <v>1223</v>
      </c>
      <c r="B49" s="119"/>
      <c r="C49" s="118"/>
      <c r="D49" s="130" t="s">
        <v>1223</v>
      </c>
      <c r="E49" s="120"/>
      <c r="F49" s="118" t="s">
        <v>1171</v>
      </c>
      <c r="G49" s="118"/>
      <c r="H49" s="129" t="s">
        <v>1172</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48">
      <c r="A50" s="114" t="s">
        <v>1224</v>
      </c>
      <c r="B50" s="114"/>
      <c r="C50" s="115"/>
      <c r="D50" s="114" t="s">
        <v>1224</v>
      </c>
      <c r="E50" s="116"/>
      <c r="F50" s="118" t="s">
        <v>1171</v>
      </c>
      <c r="G50" s="115"/>
      <c r="H50" s="115" t="s">
        <v>1172</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48">
      <c r="A51" s="114" t="s">
        <v>1225</v>
      </c>
      <c r="B51" s="114"/>
      <c r="C51" s="115"/>
      <c r="D51" s="114" t="s">
        <v>1225</v>
      </c>
      <c r="E51" s="116"/>
      <c r="F51" s="118" t="s">
        <v>1171</v>
      </c>
      <c r="G51" s="115"/>
      <c r="H51" s="115" t="s">
        <v>1172</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80">
      <c r="A52" s="114" t="s">
        <v>1226</v>
      </c>
      <c r="B52" s="114"/>
      <c r="C52" s="115"/>
      <c r="D52" s="114" t="s">
        <v>1226</v>
      </c>
      <c r="E52" s="116"/>
      <c r="F52" s="118" t="s">
        <v>1171</v>
      </c>
      <c r="G52" s="115"/>
      <c r="H52" s="115" t="s">
        <v>1172</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64">
      <c r="A53" s="114" t="s">
        <v>1227</v>
      </c>
      <c r="B53" s="114"/>
      <c r="C53" s="115"/>
      <c r="D53" s="114" t="s">
        <v>1227</v>
      </c>
      <c r="E53" s="116"/>
      <c r="F53" s="118" t="s">
        <v>1171</v>
      </c>
      <c r="G53" s="115"/>
      <c r="H53" s="115" t="s">
        <v>1172</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48">
      <c r="A54" s="114" t="s">
        <v>1228</v>
      </c>
      <c r="B54" s="114"/>
      <c r="C54" s="115"/>
      <c r="D54" s="114" t="s">
        <v>1228</v>
      </c>
      <c r="E54" s="116"/>
      <c r="F54" s="118" t="s">
        <v>1171</v>
      </c>
      <c r="G54" s="115"/>
      <c r="H54" s="115" t="s">
        <v>1172</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48">
      <c r="A55" s="114" t="s">
        <v>1229</v>
      </c>
      <c r="B55" s="114"/>
      <c r="C55" s="115"/>
      <c r="D55" s="114" t="s">
        <v>1229</v>
      </c>
      <c r="E55" s="116"/>
      <c r="F55" s="118" t="s">
        <v>1171</v>
      </c>
      <c r="G55" s="115"/>
      <c r="H55" s="115" t="s">
        <v>1172</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80">
      <c r="A56" s="114" t="s">
        <v>1230</v>
      </c>
      <c r="B56" s="114"/>
      <c r="C56" s="115"/>
      <c r="D56" s="114" t="s">
        <v>1230</v>
      </c>
      <c r="E56" s="116"/>
      <c r="F56" s="118" t="s">
        <v>1171</v>
      </c>
      <c r="G56" s="115"/>
      <c r="H56" s="115" t="s">
        <v>1172</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64">
      <c r="A57" s="114" t="s">
        <v>1231</v>
      </c>
      <c r="B57" s="114"/>
      <c r="C57" s="115"/>
      <c r="D57" s="114" t="s">
        <v>1231</v>
      </c>
      <c r="E57" s="116"/>
      <c r="F57" s="118" t="s">
        <v>1171</v>
      </c>
      <c r="G57" s="115"/>
      <c r="H57" s="115" t="s">
        <v>1172</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4">
      <c r="A58" s="130" t="s">
        <v>1232</v>
      </c>
      <c r="B58" s="114"/>
      <c r="C58" s="115"/>
      <c r="D58" s="114" t="s">
        <v>1232</v>
      </c>
      <c r="E58" s="116"/>
      <c r="F58" s="118" t="s">
        <v>1171</v>
      </c>
      <c r="G58" s="115"/>
      <c r="H58" s="128" t="s">
        <v>1215</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48">
      <c r="A59" s="114" t="s">
        <v>1233</v>
      </c>
      <c r="B59" s="114"/>
      <c r="C59" s="115"/>
      <c r="D59" s="114" t="s">
        <v>1233</v>
      </c>
      <c r="E59" s="116"/>
      <c r="F59" s="118" t="s">
        <v>1171</v>
      </c>
      <c r="G59" s="115"/>
      <c r="H59" s="115" t="s">
        <v>1172</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80">
      <c r="A60" s="114" t="s">
        <v>1234</v>
      </c>
      <c r="B60" s="114"/>
      <c r="C60" s="115"/>
      <c r="D60" s="114" t="s">
        <v>1234</v>
      </c>
      <c r="E60" s="116"/>
      <c r="F60" s="118" t="s">
        <v>1171</v>
      </c>
      <c r="G60" s="115"/>
      <c r="H60" s="115" t="s">
        <v>1172</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48">
      <c r="A61" s="114" t="s">
        <v>1235</v>
      </c>
      <c r="B61" s="114"/>
      <c r="C61" s="115"/>
      <c r="D61" s="114" t="s">
        <v>1235</v>
      </c>
      <c r="E61" s="116"/>
      <c r="F61" s="118" t="s">
        <v>1171</v>
      </c>
      <c r="G61" s="115"/>
      <c r="H61" s="115" t="s">
        <v>1172</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48">
      <c r="A62" s="114" t="s">
        <v>1236</v>
      </c>
      <c r="B62" s="114"/>
      <c r="C62" s="115"/>
      <c r="D62" s="114" t="s">
        <v>1236</v>
      </c>
      <c r="E62" s="116"/>
      <c r="F62" s="118" t="s">
        <v>1171</v>
      </c>
      <c r="G62" s="115"/>
      <c r="H62" s="115" t="s">
        <v>1172</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80">
      <c r="A63" s="114" t="s">
        <v>1237</v>
      </c>
      <c r="B63" s="114"/>
      <c r="C63" s="115"/>
      <c r="D63" s="114" t="s">
        <v>1237</v>
      </c>
      <c r="E63" s="116"/>
      <c r="F63" s="118" t="s">
        <v>1171</v>
      </c>
      <c r="G63" s="115"/>
      <c r="H63" s="115" t="s">
        <v>1172</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64">
      <c r="A64" s="114" t="s">
        <v>1238</v>
      </c>
      <c r="B64" s="114"/>
      <c r="C64" s="115"/>
      <c r="D64" s="114" t="s">
        <v>1238</v>
      </c>
      <c r="E64" s="116"/>
      <c r="F64" s="118" t="s">
        <v>1171</v>
      </c>
      <c r="G64" s="115"/>
      <c r="H64" s="115" t="s">
        <v>1172</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48">
      <c r="A65" s="114" t="s">
        <v>1239</v>
      </c>
      <c r="B65" s="119"/>
      <c r="C65" s="118"/>
      <c r="D65" s="114" t="s">
        <v>1239</v>
      </c>
      <c r="E65" s="120"/>
      <c r="F65" s="118" t="s">
        <v>1171</v>
      </c>
      <c r="G65" s="118"/>
      <c r="H65" s="128" t="s">
        <v>1172</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48">
      <c r="A66" s="114" t="s">
        <v>1240</v>
      </c>
      <c r="B66" s="114"/>
      <c r="C66" s="115"/>
      <c r="D66" s="114" t="s">
        <v>1240</v>
      </c>
      <c r="E66" s="116"/>
      <c r="F66" s="118" t="s">
        <v>1171</v>
      </c>
      <c r="G66" s="115"/>
      <c r="H66" s="115" t="s">
        <v>1172</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80">
      <c r="A67" s="114" t="s">
        <v>1241</v>
      </c>
      <c r="B67" s="114"/>
      <c r="C67" s="115"/>
      <c r="D67" s="114" t="s">
        <v>1241</v>
      </c>
      <c r="E67" s="116"/>
      <c r="F67" s="118" t="s">
        <v>1171</v>
      </c>
      <c r="G67" s="115"/>
      <c r="H67" s="115" t="s">
        <v>1172</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64">
      <c r="A68" s="114" t="s">
        <v>1242</v>
      </c>
      <c r="B68" s="114"/>
      <c r="C68" s="115"/>
      <c r="D68" s="114" t="s">
        <v>1242</v>
      </c>
      <c r="E68" s="116"/>
      <c r="F68" s="118" t="s">
        <v>1171</v>
      </c>
      <c r="G68" s="115"/>
      <c r="H68" s="115" t="s">
        <v>1172</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64">
      <c r="A69" s="114" t="s">
        <v>1243</v>
      </c>
      <c r="B69" s="114"/>
      <c r="C69" s="115"/>
      <c r="D69" s="114" t="s">
        <v>1243</v>
      </c>
      <c r="E69" s="116"/>
      <c r="F69" s="118" t="s">
        <v>1171</v>
      </c>
      <c r="G69" s="115"/>
      <c r="H69" s="115" t="s">
        <v>1172</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48">
      <c r="A70" s="114" t="s">
        <v>1244</v>
      </c>
      <c r="B70" s="114"/>
      <c r="C70" s="115"/>
      <c r="D70" s="114" t="s">
        <v>1244</v>
      </c>
      <c r="E70" s="116"/>
      <c r="F70" s="118" t="s">
        <v>1171</v>
      </c>
      <c r="G70" s="115"/>
      <c r="H70" s="115" t="s">
        <v>1172</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80">
      <c r="A71" s="114" t="s">
        <v>1245</v>
      </c>
      <c r="B71" s="114"/>
      <c r="C71" s="115"/>
      <c r="D71" s="114" t="s">
        <v>1245</v>
      </c>
      <c r="E71" s="116"/>
      <c r="F71" s="118" t="s">
        <v>1171</v>
      </c>
      <c r="G71" s="115"/>
      <c r="H71" s="115" t="s">
        <v>1172</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64">
      <c r="A72" s="114" t="s">
        <v>1246</v>
      </c>
      <c r="B72" s="114"/>
      <c r="C72" s="115"/>
      <c r="D72" s="114" t="s">
        <v>1246</v>
      </c>
      <c r="E72" s="116"/>
      <c r="F72" s="118" t="s">
        <v>1171</v>
      </c>
      <c r="G72" s="115"/>
      <c r="H72" s="115" t="s">
        <v>1172</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8">
      <c r="A73" s="130" t="s">
        <v>1247</v>
      </c>
      <c r="B73" s="114"/>
      <c r="C73" s="115"/>
      <c r="D73" s="114" t="s">
        <v>1248</v>
      </c>
      <c r="E73" s="116"/>
      <c r="F73" s="118" t="s">
        <v>1171</v>
      </c>
      <c r="G73" s="115"/>
      <c r="H73" s="128" t="s">
        <v>1182</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48">
      <c r="A74" s="114" t="s">
        <v>1249</v>
      </c>
      <c r="B74" s="114"/>
      <c r="C74" s="115"/>
      <c r="D74" s="114" t="s">
        <v>1249</v>
      </c>
      <c r="E74" s="116"/>
      <c r="F74" s="118" t="s">
        <v>1171</v>
      </c>
      <c r="G74" s="115"/>
      <c r="H74" s="115" t="s">
        <v>1172</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48">
      <c r="A75" s="114" t="s">
        <v>1250</v>
      </c>
      <c r="B75" s="114"/>
      <c r="C75" s="115"/>
      <c r="D75" s="114" t="s">
        <v>1250</v>
      </c>
      <c r="E75" s="116"/>
      <c r="F75" s="118" t="s">
        <v>1171</v>
      </c>
      <c r="G75" s="115"/>
      <c r="H75" s="115" t="s">
        <v>1172</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80">
      <c r="A76" s="114" t="s">
        <v>1251</v>
      </c>
      <c r="B76" s="114"/>
      <c r="C76" s="115"/>
      <c r="D76" s="114" t="s">
        <v>1251</v>
      </c>
      <c r="E76" s="116"/>
      <c r="F76" s="118" t="s">
        <v>1171</v>
      </c>
      <c r="G76" s="115"/>
      <c r="H76" s="115" t="s">
        <v>1172</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64">
      <c r="A77" s="114" t="s">
        <v>1252</v>
      </c>
      <c r="B77" s="114"/>
      <c r="C77" s="115"/>
      <c r="D77" s="114" t="s">
        <v>1252</v>
      </c>
      <c r="E77" s="116"/>
      <c r="F77" s="118" t="s">
        <v>1171</v>
      </c>
      <c r="G77" s="115"/>
      <c r="H77" s="115" t="s">
        <v>1172</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48">
      <c r="A78" s="114" t="s">
        <v>1253</v>
      </c>
      <c r="B78" s="114"/>
      <c r="C78" s="115"/>
      <c r="D78" s="114" t="s">
        <v>1253</v>
      </c>
      <c r="E78" s="116"/>
      <c r="F78" s="118" t="s">
        <v>1171</v>
      </c>
      <c r="G78" s="115"/>
      <c r="H78" s="115" t="s">
        <v>1172</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48">
      <c r="A79" s="114" t="s">
        <v>1254</v>
      </c>
      <c r="B79" s="114"/>
      <c r="C79" s="115"/>
      <c r="D79" s="114" t="s">
        <v>1254</v>
      </c>
      <c r="E79" s="116"/>
      <c r="F79" s="118" t="s">
        <v>1171</v>
      </c>
      <c r="G79" s="115"/>
      <c r="H79" s="115" t="s">
        <v>1172</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80">
      <c r="A80" s="114" t="s">
        <v>1255</v>
      </c>
      <c r="B80" s="114"/>
      <c r="C80" s="115"/>
      <c r="D80" s="114" t="s">
        <v>1255</v>
      </c>
      <c r="E80" s="116"/>
      <c r="F80" s="118" t="s">
        <v>1171</v>
      </c>
      <c r="G80" s="115"/>
      <c r="H80" s="115" t="s">
        <v>1172</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64">
      <c r="A81" s="114" t="s">
        <v>1256</v>
      </c>
      <c r="B81" s="114"/>
      <c r="C81" s="115"/>
      <c r="D81" s="114" t="s">
        <v>1256</v>
      </c>
      <c r="E81" s="116"/>
      <c r="F81" s="118" t="s">
        <v>1171</v>
      </c>
      <c r="G81" s="115"/>
      <c r="H81" s="115" t="s">
        <v>1172</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80">
      <c r="A82" s="114" t="s">
        <v>1257</v>
      </c>
      <c r="B82" s="114"/>
      <c r="C82" s="115"/>
      <c r="D82" s="114" t="s">
        <v>1257</v>
      </c>
      <c r="E82" s="116"/>
      <c r="F82" s="118" t="s">
        <v>1171</v>
      </c>
      <c r="G82" s="115"/>
      <c r="H82" s="115" t="s">
        <v>1172</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64">
      <c r="A83" s="114" t="s">
        <v>1258</v>
      </c>
      <c r="B83" s="114"/>
      <c r="C83" s="115"/>
      <c r="D83" s="114" t="s">
        <v>1258</v>
      </c>
      <c r="E83" s="116"/>
      <c r="F83" s="118" t="s">
        <v>1171</v>
      </c>
      <c r="G83" s="115"/>
      <c r="H83" s="115" t="s">
        <v>1172</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ht="16">
      <c r="A84" s="34" t="s">
        <v>917</v>
      </c>
      <c r="B84" s="34"/>
      <c r="C84" s="2"/>
      <c r="D84" s="34"/>
      <c r="E84" s="4"/>
      <c r="F84" s="131" t="s">
        <v>1171</v>
      </c>
      <c r="G84" s="2"/>
      <c r="H84" s="115" t="s">
        <v>1172</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64">
      <c r="A85" s="114" t="s">
        <v>1259</v>
      </c>
      <c r="B85" s="114"/>
      <c r="C85" s="115"/>
      <c r="D85" s="114" t="s">
        <v>1259</v>
      </c>
      <c r="E85" s="116"/>
      <c r="F85" s="118" t="s">
        <v>1171</v>
      </c>
      <c r="G85" s="115"/>
      <c r="H85" s="115" t="s">
        <v>1172</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48">
      <c r="A86" s="114" t="s">
        <v>1260</v>
      </c>
      <c r="B86" s="114"/>
      <c r="C86" s="115"/>
      <c r="D86" s="114" t="s">
        <v>1260</v>
      </c>
      <c r="E86" s="116"/>
      <c r="F86" s="118" t="s">
        <v>1171</v>
      </c>
      <c r="G86" s="115"/>
      <c r="H86" s="115" t="s">
        <v>1172</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80">
      <c r="A87" s="114" t="s">
        <v>1261</v>
      </c>
      <c r="B87" s="114"/>
      <c r="C87" s="115"/>
      <c r="D87" s="114" t="s">
        <v>1261</v>
      </c>
      <c r="E87" s="116"/>
      <c r="F87" s="118" t="s">
        <v>1171</v>
      </c>
      <c r="G87" s="115"/>
      <c r="H87" s="115" t="s">
        <v>1172</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64">
      <c r="A88" s="114" t="s">
        <v>1262</v>
      </c>
      <c r="B88" s="114"/>
      <c r="C88" s="115"/>
      <c r="D88" s="114" t="s">
        <v>1262</v>
      </c>
      <c r="E88" s="116"/>
      <c r="F88" s="118" t="s">
        <v>1171</v>
      </c>
      <c r="G88" s="115"/>
      <c r="H88" s="115" t="s">
        <v>1172</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48">
      <c r="A89" s="114" t="s">
        <v>1263</v>
      </c>
      <c r="B89" s="114"/>
      <c r="C89" s="115"/>
      <c r="D89" s="114" t="s">
        <v>1263</v>
      </c>
      <c r="E89" s="116"/>
      <c r="F89" s="118" t="s">
        <v>1171</v>
      </c>
      <c r="G89" s="115"/>
      <c r="H89" s="115" t="s">
        <v>1172</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48">
      <c r="A90" s="114" t="s">
        <v>1264</v>
      </c>
      <c r="B90" s="114"/>
      <c r="C90" s="115"/>
      <c r="D90" s="114" t="s">
        <v>1264</v>
      </c>
      <c r="E90" s="116"/>
      <c r="F90" s="118" t="s">
        <v>1171</v>
      </c>
      <c r="G90" s="115"/>
      <c r="H90" s="115" t="s">
        <v>1172</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80">
      <c r="A91" s="114" t="s">
        <v>1265</v>
      </c>
      <c r="B91" s="114"/>
      <c r="C91" s="115"/>
      <c r="D91" s="114" t="s">
        <v>1265</v>
      </c>
      <c r="E91" s="116"/>
      <c r="F91" s="118" t="s">
        <v>1171</v>
      </c>
      <c r="G91" s="115"/>
      <c r="H91" s="115" t="s">
        <v>1172</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64">
      <c r="A92" s="114" t="s">
        <v>1266</v>
      </c>
      <c r="B92" s="114"/>
      <c r="C92" s="115"/>
      <c r="D92" s="114" t="s">
        <v>1266</v>
      </c>
      <c r="E92" s="116"/>
      <c r="F92" s="118" t="s">
        <v>1171</v>
      </c>
      <c r="G92" s="115"/>
      <c r="H92" s="115" t="s">
        <v>1172</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64">
      <c r="A93" s="114" t="s">
        <v>1267</v>
      </c>
      <c r="B93" s="114"/>
      <c r="C93" s="115"/>
      <c r="D93" s="114" t="s">
        <v>1267</v>
      </c>
      <c r="E93" s="116"/>
      <c r="F93" s="118" t="s">
        <v>1171</v>
      </c>
      <c r="G93" s="115"/>
      <c r="H93" s="115" t="s">
        <v>1172</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48">
      <c r="A94" s="114" t="s">
        <v>1268</v>
      </c>
      <c r="B94" s="114"/>
      <c r="C94" s="115"/>
      <c r="D94" s="114" t="s">
        <v>1268</v>
      </c>
      <c r="E94" s="116"/>
      <c r="F94" s="118" t="s">
        <v>1171</v>
      </c>
      <c r="G94" s="115"/>
      <c r="H94" s="115" t="s">
        <v>1172</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80">
      <c r="A95" s="114" t="s">
        <v>1269</v>
      </c>
      <c r="B95" s="114"/>
      <c r="C95" s="115"/>
      <c r="D95" s="114" t="s">
        <v>1269</v>
      </c>
      <c r="E95" s="116"/>
      <c r="F95" s="118" t="s">
        <v>1171</v>
      </c>
      <c r="G95" s="115"/>
      <c r="H95" s="115" t="s">
        <v>1172</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64">
      <c r="A96" s="114" t="s">
        <v>1270</v>
      </c>
      <c r="B96" s="114"/>
      <c r="C96" s="115"/>
      <c r="D96" s="114" t="s">
        <v>1270</v>
      </c>
      <c r="E96" s="116"/>
      <c r="F96" s="118" t="s">
        <v>1171</v>
      </c>
      <c r="G96" s="115"/>
      <c r="H96" s="115" t="s">
        <v>1172</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48">
      <c r="A97" s="114" t="s">
        <v>1271</v>
      </c>
      <c r="B97" s="114"/>
      <c r="C97" s="115"/>
      <c r="D97" s="114" t="s">
        <v>1271</v>
      </c>
      <c r="E97" s="116"/>
      <c r="F97" s="118" t="s">
        <v>1171</v>
      </c>
      <c r="G97" s="115"/>
      <c r="H97" s="115" t="s">
        <v>1172</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32">
      <c r="A98" s="132" t="s">
        <v>963</v>
      </c>
      <c r="B98" s="114"/>
      <c r="C98" s="115"/>
      <c r="D98" s="114" t="s">
        <v>963</v>
      </c>
      <c r="E98" s="116"/>
      <c r="F98" s="118" t="s">
        <v>1171</v>
      </c>
      <c r="G98" s="115"/>
      <c r="H98" s="133" t="s">
        <v>332</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48">
      <c r="A99" s="114" t="s">
        <v>1272</v>
      </c>
      <c r="B99" s="114"/>
      <c r="C99" s="115"/>
      <c r="D99" s="114" t="s">
        <v>1272</v>
      </c>
      <c r="E99" s="116"/>
      <c r="F99" s="118" t="s">
        <v>1171</v>
      </c>
      <c r="G99" s="115"/>
      <c r="H99" s="115" t="s">
        <v>1172</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80">
      <c r="A100" s="114" t="s">
        <v>1273</v>
      </c>
      <c r="B100" s="114"/>
      <c r="C100" s="115"/>
      <c r="D100" s="114" t="s">
        <v>1273</v>
      </c>
      <c r="E100" s="116"/>
      <c r="F100" s="118" t="s">
        <v>1171</v>
      </c>
      <c r="G100" s="115"/>
      <c r="H100" s="115" t="s">
        <v>1172</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64">
      <c r="A101" s="114" t="s">
        <v>1274</v>
      </c>
      <c r="B101" s="114"/>
      <c r="C101" s="115"/>
      <c r="D101" s="114" t="s">
        <v>1274</v>
      </c>
      <c r="E101" s="116"/>
      <c r="F101" s="118" t="s">
        <v>1171</v>
      </c>
      <c r="G101" s="115"/>
      <c r="H101" s="115" t="s">
        <v>1172</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2">
      <c r="A102" s="132" t="s">
        <v>972</v>
      </c>
      <c r="B102" s="114"/>
      <c r="C102" s="115"/>
      <c r="D102" s="114" t="s">
        <v>972</v>
      </c>
      <c r="E102" s="116"/>
      <c r="F102" s="118" t="s">
        <v>1171</v>
      </c>
      <c r="G102" s="115"/>
      <c r="H102" s="133" t="s">
        <v>332</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2">
      <c r="A103" s="132" t="s">
        <v>975</v>
      </c>
      <c r="B103" s="114"/>
      <c r="C103" s="115"/>
      <c r="D103" s="114" t="s">
        <v>975</v>
      </c>
      <c r="E103" s="116"/>
      <c r="F103" s="118" t="s">
        <v>1171</v>
      </c>
      <c r="G103" s="115"/>
      <c r="H103" s="133" t="s">
        <v>332</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48">
      <c r="A104" s="114" t="s">
        <v>1275</v>
      </c>
      <c r="B104" s="114"/>
      <c r="C104" s="115"/>
      <c r="D104" s="114" t="s">
        <v>1275</v>
      </c>
      <c r="E104" s="116"/>
      <c r="F104" s="118" t="s">
        <v>1171</v>
      </c>
      <c r="G104" s="115"/>
      <c r="H104" s="115" t="s">
        <v>1172</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48">
      <c r="A105" s="114" t="s">
        <v>1276</v>
      </c>
      <c r="B105" s="114"/>
      <c r="C105" s="115"/>
      <c r="D105" s="114" t="s">
        <v>1276</v>
      </c>
      <c r="E105" s="116"/>
      <c r="F105" s="118" t="s">
        <v>1171</v>
      </c>
      <c r="G105" s="115"/>
      <c r="H105" s="115" t="s">
        <v>1172</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80">
      <c r="A106" s="114" t="s">
        <v>1277</v>
      </c>
      <c r="B106" s="114"/>
      <c r="C106" s="115"/>
      <c r="D106" s="114" t="s">
        <v>1277</v>
      </c>
      <c r="E106" s="116"/>
      <c r="F106" s="118" t="s">
        <v>1171</v>
      </c>
      <c r="G106" s="115"/>
      <c r="H106" s="115" t="s">
        <v>1172</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64">
      <c r="A107" s="114" t="s">
        <v>1278</v>
      </c>
      <c r="B107" s="114"/>
      <c r="C107" s="115"/>
      <c r="D107" s="114" t="s">
        <v>1278</v>
      </c>
      <c r="E107" s="116"/>
      <c r="F107" s="118" t="s">
        <v>1171</v>
      </c>
      <c r="G107" s="115"/>
      <c r="H107" s="115" t="s">
        <v>1182</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48">
      <c r="A108" s="114" t="s">
        <v>1213</v>
      </c>
      <c r="B108" s="114"/>
      <c r="C108" s="115"/>
      <c r="D108" s="114" t="s">
        <v>1213</v>
      </c>
      <c r="E108" s="116"/>
      <c r="F108" s="118" t="s">
        <v>1171</v>
      </c>
      <c r="G108" s="115"/>
      <c r="H108" s="115" t="s">
        <v>1172</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48">
      <c r="A109" s="114" t="s">
        <v>1214</v>
      </c>
      <c r="B109" s="114"/>
      <c r="C109" s="115"/>
      <c r="D109" s="114" t="s">
        <v>1214</v>
      </c>
      <c r="E109" s="116"/>
      <c r="F109" s="118" t="s">
        <v>1171</v>
      </c>
      <c r="G109" s="115"/>
      <c r="H109" s="115" t="s">
        <v>1172</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8">
      <c r="A110" s="114" t="s">
        <v>1216</v>
      </c>
      <c r="B110" s="114"/>
      <c r="C110" s="115"/>
      <c r="D110" s="114" t="s">
        <v>1216</v>
      </c>
      <c r="E110" s="116"/>
      <c r="F110" s="118" t="s">
        <v>1171</v>
      </c>
      <c r="G110" s="115"/>
      <c r="H110" s="115" t="s">
        <v>1172</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48">
      <c r="A111" s="114" t="s">
        <v>1217</v>
      </c>
      <c r="B111" s="114"/>
      <c r="C111" s="115"/>
      <c r="D111" s="114" t="s">
        <v>1217</v>
      </c>
      <c r="E111" s="116"/>
      <c r="F111" s="118" t="s">
        <v>1171</v>
      </c>
      <c r="G111" s="115"/>
      <c r="H111" s="115" t="s">
        <v>1172</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48">
      <c r="A112" s="130" t="s">
        <v>1218</v>
      </c>
      <c r="B112" s="114"/>
      <c r="C112" s="115"/>
      <c r="D112" s="114" t="s">
        <v>1218</v>
      </c>
      <c r="E112" s="116"/>
      <c r="F112" s="118" t="s">
        <v>1171</v>
      </c>
      <c r="G112" s="115"/>
      <c r="H112" s="128" t="s">
        <v>1172</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2">
      <c r="A113" s="132" t="s">
        <v>1279</v>
      </c>
      <c r="B113" s="114"/>
      <c r="C113" s="115"/>
      <c r="D113" s="114" t="s">
        <v>1279</v>
      </c>
      <c r="E113" s="116"/>
      <c r="F113" s="118" t="s">
        <v>1171</v>
      </c>
      <c r="G113" s="115"/>
      <c r="H113" s="127" t="s">
        <v>332</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16">
      <c r="A114" s="136" t="s">
        <v>1280</v>
      </c>
      <c r="B114" s="114"/>
      <c r="C114" s="115"/>
      <c r="D114" s="114"/>
      <c r="E114" s="116"/>
      <c r="F114" s="118" t="s">
        <v>1171</v>
      </c>
      <c r="G114" s="115"/>
      <c r="H114" s="115" t="s">
        <v>1177</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6">
      <c r="A115" s="135" t="s">
        <v>1281</v>
      </c>
      <c r="B115" s="34"/>
      <c r="C115" s="2"/>
      <c r="D115" s="34"/>
      <c r="E115" s="4"/>
      <c r="F115" s="131" t="s">
        <v>1171</v>
      </c>
      <c r="G115" s="2"/>
      <c r="H115" s="115" t="s">
        <v>1182</v>
      </c>
      <c r="I115" s="111" t="s">
        <v>5</v>
      </c>
      <c r="J115" s="150" t="s">
        <v>1282</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2">
      <c r="A116" s="132" t="s">
        <v>1127</v>
      </c>
      <c r="B116" s="114"/>
      <c r="C116" s="115"/>
      <c r="D116" s="114" t="s">
        <v>1127</v>
      </c>
      <c r="E116" s="116"/>
      <c r="F116" s="118" t="s">
        <v>1171</v>
      </c>
      <c r="G116" s="115"/>
      <c r="H116" s="127" t="s">
        <v>332</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16">
      <c r="A117" s="105" t="s">
        <v>1283</v>
      </c>
      <c r="B117" s="34"/>
      <c r="C117" s="2"/>
      <c r="D117" s="34"/>
      <c r="E117" s="4"/>
      <c r="F117" s="131" t="s">
        <v>1171</v>
      </c>
      <c r="G117" s="2"/>
      <c r="H117" s="127" t="s">
        <v>332</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6">
      <c r="A118" s="105" t="s">
        <v>1284</v>
      </c>
      <c r="B118" s="34"/>
      <c r="C118" s="2"/>
      <c r="D118" s="34"/>
      <c r="E118" s="4"/>
      <c r="F118" s="131" t="s">
        <v>1171</v>
      </c>
      <c r="G118" s="2"/>
      <c r="H118" s="127" t="s">
        <v>332</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64">
      <c r="A119" s="114" t="s">
        <v>1285</v>
      </c>
      <c r="B119" s="114"/>
      <c r="C119" s="115"/>
      <c r="D119" s="114" t="s">
        <v>1285</v>
      </c>
      <c r="E119" s="116"/>
      <c r="F119" s="118" t="s">
        <v>1171</v>
      </c>
      <c r="G119" s="115"/>
      <c r="H119" s="115" t="s">
        <v>1172</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48">
      <c r="A120" s="114" t="s">
        <v>1286</v>
      </c>
      <c r="B120" s="114"/>
      <c r="C120" s="115"/>
      <c r="D120" s="114" t="s">
        <v>1286</v>
      </c>
      <c r="E120" s="116"/>
      <c r="F120" s="118" t="s">
        <v>1171</v>
      </c>
      <c r="G120" s="115"/>
      <c r="H120" s="115" t="s">
        <v>1172</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80">
      <c r="A121" s="114" t="s">
        <v>1287</v>
      </c>
      <c r="B121" s="114"/>
      <c r="C121" s="115"/>
      <c r="D121" s="114" t="s">
        <v>1287</v>
      </c>
      <c r="E121" s="116"/>
      <c r="F121" s="118" t="s">
        <v>1171</v>
      </c>
      <c r="G121" s="115"/>
      <c r="H121" s="115" t="s">
        <v>1172</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64">
      <c r="A122" s="114" t="s">
        <v>1288</v>
      </c>
      <c r="B122" s="114"/>
      <c r="C122" s="115"/>
      <c r="D122" s="114" t="s">
        <v>1288</v>
      </c>
      <c r="E122" s="116"/>
      <c r="F122" s="118" t="s">
        <v>1171</v>
      </c>
      <c r="G122" s="115"/>
      <c r="H122" s="115" t="s">
        <v>1172</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8">
      <c r="A123" s="134" t="s">
        <v>1289</v>
      </c>
      <c r="B123" s="114"/>
      <c r="C123" s="115"/>
      <c r="D123" s="114" t="s">
        <v>1290</v>
      </c>
      <c r="E123" s="116"/>
      <c r="F123" s="118" t="s">
        <v>1171</v>
      </c>
      <c r="G123" s="115"/>
      <c r="H123" s="128" t="s">
        <v>1182</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 priority="1" operator="containsText" text="No">
      <formula>NOT(ISERROR(SEARCH("No",K1)))</formula>
    </cfRule>
    <cfRule type="containsText" dxfId="0"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election activeCell="A2" sqref="A2"/>
    </sheetView>
    <sheetView workbookViewId="1"/>
  </sheetViews>
  <sheetFormatPr baseColWidth="10" defaultColWidth="8.83203125" defaultRowHeight="15"/>
  <cols>
    <col min="1" max="1" width="71.5" customWidth="1"/>
    <col min="2" max="2" width="21" style="125" customWidth="1"/>
    <col min="3" max="3" width="158.1640625" customWidth="1"/>
  </cols>
  <sheetData>
    <row r="1" spans="1:3" s="126" customFormat="1">
      <c r="A1" s="126" t="s">
        <v>1291</v>
      </c>
      <c r="B1" s="126" t="s">
        <v>1292</v>
      </c>
      <c r="C1" s="126" t="s">
        <v>1293</v>
      </c>
    </row>
    <row r="2" spans="1:3">
      <c r="A2" s="168" t="s">
        <v>1294</v>
      </c>
      <c r="B2" s="125">
        <v>19</v>
      </c>
      <c r="C2" t="s">
        <v>1295</v>
      </c>
    </row>
    <row r="3" spans="1:3">
      <c r="A3" s="124" t="s">
        <v>1296</v>
      </c>
      <c r="B3" s="125">
        <v>19</v>
      </c>
      <c r="C3" t="s">
        <v>1295</v>
      </c>
    </row>
    <row r="4" spans="1:3">
      <c r="A4" s="124" t="s">
        <v>1297</v>
      </c>
      <c r="B4" s="125">
        <v>34</v>
      </c>
      <c r="C4" t="s">
        <v>1298</v>
      </c>
    </row>
    <row r="5" spans="1:3">
      <c r="A5" s="124" t="s">
        <v>1299</v>
      </c>
      <c r="B5" s="125">
        <v>37</v>
      </c>
      <c r="C5" t="s">
        <v>1300</v>
      </c>
    </row>
    <row r="6" spans="1:3">
      <c r="A6" s="168" t="s">
        <v>88</v>
      </c>
      <c r="B6" s="125">
        <v>1</v>
      </c>
      <c r="C6" t="s">
        <v>1301</v>
      </c>
    </row>
    <row r="7" spans="1:3">
      <c r="A7" s="168" t="s">
        <v>91</v>
      </c>
      <c r="B7" s="125">
        <v>1</v>
      </c>
      <c r="C7" t="s">
        <v>1301</v>
      </c>
    </row>
    <row r="8" spans="1:3">
      <c r="A8" s="168" t="s">
        <v>1176</v>
      </c>
      <c r="B8" s="125">
        <v>1</v>
      </c>
      <c r="C8" t="s">
        <v>294</v>
      </c>
    </row>
    <row r="9" spans="1:3">
      <c r="A9" s="168" t="s">
        <v>1302</v>
      </c>
      <c r="B9" s="125">
        <v>2</v>
      </c>
      <c r="C9" t="s">
        <v>1303</v>
      </c>
    </row>
    <row r="10" spans="1:3">
      <c r="A10" s="168" t="s">
        <v>1304</v>
      </c>
      <c r="B10" s="125">
        <v>2</v>
      </c>
      <c r="C10" t="s">
        <v>1305</v>
      </c>
    </row>
    <row r="11" spans="1:3">
      <c r="A11" s="168" t="s">
        <v>1218</v>
      </c>
      <c r="B11" s="125">
        <v>1</v>
      </c>
    </row>
    <row r="12" spans="1:3">
      <c r="A12" s="135" t="s">
        <v>1281</v>
      </c>
      <c r="B12" s="125">
        <v>7</v>
      </c>
      <c r="C12" t="s">
        <v>1306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topLeftCell="A150" zoomScale="110" zoomScaleNormal="110" workbookViewId="0">
      <selection activeCell="A132" sqref="A132:D163"/>
    </sheetView>
    <sheetView workbookViewId="1"/>
  </sheetViews>
  <sheetFormatPr baseColWidth="10" defaultColWidth="9.5" defaultRowHeight="15"/>
  <cols>
    <col min="1" max="1" width="26.5" style="2" bestFit="1" customWidth="1"/>
    <col min="2" max="2" width="22.5" style="2" customWidth="1"/>
    <col min="3" max="3" width="32.5" style="2" customWidth="1"/>
    <col min="4" max="4" width="78.5" style="2" bestFit="1" customWidth="1"/>
    <col min="5" max="5" width="23.5" style="2" bestFit="1" customWidth="1"/>
    <col min="6" max="6" width="13.5" style="2" customWidth="1"/>
    <col min="7" max="7" width="33" style="4" bestFit="1" customWidth="1"/>
    <col min="8" max="8" width="16.5" style="2" bestFit="1" customWidth="1"/>
    <col min="9" max="16384" width="9.5" style="2"/>
  </cols>
  <sheetData>
    <row r="1" spans="1:8">
      <c r="A1" s="46" t="s">
        <v>1307</v>
      </c>
      <c r="B1" s="47">
        <v>4</v>
      </c>
      <c r="C1" s="48"/>
      <c r="D1" s="49" t="s">
        <v>1308</v>
      </c>
      <c r="E1" s="47">
        <f>E2/B1</f>
        <v>317.5</v>
      </c>
      <c r="F1" s="47">
        <f>E1/B2</f>
        <v>13.229166666666666</v>
      </c>
    </row>
    <row r="2" spans="1:8" ht="16">
      <c r="A2" s="46" t="s">
        <v>1309</v>
      </c>
      <c r="B2" s="47">
        <v>24</v>
      </c>
      <c r="C2" s="48"/>
      <c r="D2" s="49" t="s">
        <v>1310</v>
      </c>
      <c r="E2" s="47">
        <f>SUM(E3:E4969)</f>
        <v>1270</v>
      </c>
      <c r="F2" s="47">
        <f>SUM(F3:F4969)</f>
        <v>61</v>
      </c>
      <c r="G2" s="4" t="s">
        <v>1311</v>
      </c>
      <c r="H2" s="2" t="s">
        <v>1311</v>
      </c>
    </row>
    <row r="3" spans="1:8" ht="40">
      <c r="A3" s="28" t="s">
        <v>1312</v>
      </c>
      <c r="B3" s="29" t="s">
        <v>1313</v>
      </c>
      <c r="C3" s="30" t="s">
        <v>1314</v>
      </c>
      <c r="D3" s="29" t="s">
        <v>1315</v>
      </c>
      <c r="E3" s="29" t="s">
        <v>1316</v>
      </c>
      <c r="F3" s="29" t="s">
        <v>1317</v>
      </c>
      <c r="G3" s="51" t="s">
        <v>1318</v>
      </c>
      <c r="H3" s="29" t="s">
        <v>1319</v>
      </c>
    </row>
    <row r="4" spans="1:8">
      <c r="A4" s="14" t="s">
        <v>185</v>
      </c>
      <c r="B4" s="6" t="s">
        <v>290</v>
      </c>
      <c r="C4" s="21" t="s">
        <v>1320</v>
      </c>
      <c r="D4" s="2" t="s">
        <v>1321</v>
      </c>
      <c r="E4" s="2">
        <v>1</v>
      </c>
      <c r="G4" s="52"/>
      <c r="H4" s="47"/>
    </row>
    <row r="5" spans="1:8">
      <c r="A5" s="14" t="s">
        <v>185</v>
      </c>
      <c r="B5" s="6" t="s">
        <v>1322</v>
      </c>
      <c r="C5" s="21" t="s">
        <v>1323</v>
      </c>
      <c r="D5" s="2" t="s">
        <v>1324</v>
      </c>
      <c r="E5" s="2">
        <v>1</v>
      </c>
    </row>
    <row r="6" spans="1:8">
      <c r="A6" s="14" t="s">
        <v>185</v>
      </c>
      <c r="B6" s="6" t="s">
        <v>291</v>
      </c>
      <c r="C6" s="21" t="s">
        <v>1325</v>
      </c>
      <c r="D6" s="2" t="s">
        <v>1326</v>
      </c>
    </row>
    <row r="7" spans="1:8">
      <c r="A7" s="14" t="s">
        <v>185</v>
      </c>
      <c r="B7" s="6" t="s">
        <v>292</v>
      </c>
      <c r="C7" s="21" t="s">
        <v>1327</v>
      </c>
      <c r="D7" s="2" t="s">
        <v>1328</v>
      </c>
      <c r="E7" s="2">
        <v>1</v>
      </c>
    </row>
    <row r="8" spans="1:8">
      <c r="A8" s="14" t="s">
        <v>185</v>
      </c>
      <c r="B8" s="6" t="s">
        <v>293</v>
      </c>
      <c r="C8" s="21" t="s">
        <v>1325</v>
      </c>
      <c r="D8" s="2" t="s">
        <v>1326</v>
      </c>
      <c r="E8" s="2">
        <v>1</v>
      </c>
    </row>
    <row r="9" spans="1:8">
      <c r="A9" s="14" t="s">
        <v>185</v>
      </c>
      <c r="B9" s="6" t="s">
        <v>294</v>
      </c>
      <c r="C9" s="21" t="s">
        <v>1329</v>
      </c>
      <c r="D9" s="2" t="s">
        <v>1330</v>
      </c>
      <c r="E9" s="2">
        <v>1</v>
      </c>
    </row>
    <row r="10" spans="1:8">
      <c r="A10" s="14" t="s">
        <v>185</v>
      </c>
      <c r="B10" s="6" t="s">
        <v>295</v>
      </c>
      <c r="C10" s="21" t="s">
        <v>1331</v>
      </c>
      <c r="D10" s="2" t="s">
        <v>1332</v>
      </c>
      <c r="E10" s="2">
        <v>1</v>
      </c>
    </row>
    <row r="11" spans="1:8">
      <c r="A11" s="14" t="s">
        <v>185</v>
      </c>
      <c r="B11" s="6" t="s">
        <v>296</v>
      </c>
      <c r="C11" s="21" t="s">
        <v>1329</v>
      </c>
      <c r="D11" s="2" t="s">
        <v>1330</v>
      </c>
      <c r="E11" s="2">
        <v>1</v>
      </c>
    </row>
    <row r="12" spans="1:8">
      <c r="A12" s="14" t="s">
        <v>185</v>
      </c>
      <c r="B12" s="6" t="s">
        <v>297</v>
      </c>
      <c r="C12" s="21" t="s">
        <v>1333</v>
      </c>
      <c r="D12" s="2" t="s">
        <v>1334</v>
      </c>
      <c r="E12" s="2">
        <v>1</v>
      </c>
    </row>
    <row r="13" spans="1:8">
      <c r="A13" s="14" t="s">
        <v>185</v>
      </c>
      <c r="B13" s="6" t="s">
        <v>298</v>
      </c>
      <c r="C13" s="21" t="s">
        <v>1335</v>
      </c>
      <c r="D13" s="2" t="s">
        <v>1336</v>
      </c>
      <c r="E13" s="2">
        <v>1</v>
      </c>
    </row>
    <row r="14" spans="1:8">
      <c r="A14" s="14" t="s">
        <v>185</v>
      </c>
      <c r="B14" s="6" t="s">
        <v>299</v>
      </c>
      <c r="C14" s="21" t="s">
        <v>1337</v>
      </c>
      <c r="D14" s="2" t="s">
        <v>1338</v>
      </c>
      <c r="E14" s="2">
        <v>1</v>
      </c>
    </row>
    <row r="15" spans="1:8">
      <c r="A15" s="14" t="s">
        <v>185</v>
      </c>
      <c r="B15" s="6" t="s">
        <v>300</v>
      </c>
      <c r="C15" s="21" t="s">
        <v>1331</v>
      </c>
      <c r="D15" s="2" t="s">
        <v>1332</v>
      </c>
      <c r="E15" s="2">
        <v>1</v>
      </c>
    </row>
    <row r="16" spans="1:8">
      <c r="A16" s="14" t="s">
        <v>185</v>
      </c>
      <c r="B16" s="6" t="s">
        <v>301</v>
      </c>
      <c r="C16" s="21" t="s">
        <v>1339</v>
      </c>
      <c r="D16" s="2" t="s">
        <v>1340</v>
      </c>
      <c r="E16" s="2">
        <v>1</v>
      </c>
    </row>
    <row r="17" spans="1:5">
      <c r="A17" s="14" t="s">
        <v>185</v>
      </c>
      <c r="B17" s="6" t="s">
        <v>302</v>
      </c>
      <c r="C17" s="21" t="s">
        <v>1341</v>
      </c>
      <c r="D17" s="2" t="s">
        <v>1342</v>
      </c>
      <c r="E17" s="2">
        <v>1</v>
      </c>
    </row>
    <row r="18" spans="1:5">
      <c r="A18" s="14" t="s">
        <v>185</v>
      </c>
      <c r="B18" s="6" t="s">
        <v>304</v>
      </c>
      <c r="C18" s="21" t="s">
        <v>1343</v>
      </c>
      <c r="D18" s="2" t="s">
        <v>1344</v>
      </c>
      <c r="E18" s="2">
        <v>1</v>
      </c>
    </row>
    <row r="19" spans="1:5">
      <c r="A19" s="14" t="s">
        <v>185</v>
      </c>
      <c r="B19" s="6" t="s">
        <v>305</v>
      </c>
      <c r="C19" s="21" t="s">
        <v>1345</v>
      </c>
      <c r="D19" s="2" t="s">
        <v>1346</v>
      </c>
      <c r="E19" s="2">
        <v>1</v>
      </c>
    </row>
    <row r="20" spans="1:5">
      <c r="A20" s="14" t="s">
        <v>185</v>
      </c>
      <c r="B20" s="6" t="s">
        <v>306</v>
      </c>
      <c r="C20" s="21" t="s">
        <v>1339</v>
      </c>
      <c r="D20" s="2" t="s">
        <v>1340</v>
      </c>
      <c r="E20" s="2">
        <v>1</v>
      </c>
    </row>
    <row r="21" spans="1:5">
      <c r="A21" s="14" t="s">
        <v>185</v>
      </c>
      <c r="B21" s="6" t="s">
        <v>307</v>
      </c>
      <c r="C21" s="21" t="s">
        <v>1331</v>
      </c>
      <c r="D21" s="2" t="s">
        <v>1332</v>
      </c>
      <c r="E21" s="2">
        <v>1</v>
      </c>
    </row>
    <row r="22" spans="1:5">
      <c r="A22" s="14" t="s">
        <v>185</v>
      </c>
      <c r="B22" s="6" t="s">
        <v>310</v>
      </c>
      <c r="C22" s="21" t="s">
        <v>1347</v>
      </c>
      <c r="D22" s="2" t="s">
        <v>1348</v>
      </c>
      <c r="E22" s="2">
        <v>1</v>
      </c>
    </row>
    <row r="23" spans="1:5">
      <c r="A23" s="14" t="s">
        <v>185</v>
      </c>
      <c r="B23" s="6" t="s">
        <v>311</v>
      </c>
      <c r="C23" s="21" t="s">
        <v>1339</v>
      </c>
      <c r="D23" s="2" t="s">
        <v>1340</v>
      </c>
      <c r="E23" s="2">
        <v>1</v>
      </c>
    </row>
    <row r="24" spans="1:5">
      <c r="A24" s="14" t="s">
        <v>185</v>
      </c>
      <c r="B24" s="6" t="s">
        <v>312</v>
      </c>
      <c r="C24" s="21" t="s">
        <v>1339</v>
      </c>
      <c r="D24" s="2" t="s">
        <v>1340</v>
      </c>
      <c r="E24" s="2">
        <v>1</v>
      </c>
    </row>
    <row r="25" spans="1:5">
      <c r="A25" s="14" t="s">
        <v>185</v>
      </c>
      <c r="B25" s="6" t="s">
        <v>313</v>
      </c>
      <c r="C25" s="21" t="s">
        <v>1349</v>
      </c>
      <c r="D25" s="2" t="s">
        <v>1350</v>
      </c>
      <c r="E25" s="2">
        <v>1</v>
      </c>
    </row>
    <row r="26" spans="1:5">
      <c r="A26" s="14" t="s">
        <v>185</v>
      </c>
      <c r="B26" s="6" t="s">
        <v>317</v>
      </c>
      <c r="C26" s="21" t="s">
        <v>1329</v>
      </c>
      <c r="D26" s="2" t="s">
        <v>1330</v>
      </c>
      <c r="E26" s="2">
        <v>1</v>
      </c>
    </row>
    <row r="27" spans="1:5">
      <c r="A27" s="14" t="s">
        <v>185</v>
      </c>
      <c r="B27" s="6" t="s">
        <v>318</v>
      </c>
      <c r="C27" s="21" t="s">
        <v>1343</v>
      </c>
      <c r="D27" s="2" t="s">
        <v>1344</v>
      </c>
      <c r="E27" s="2">
        <v>1</v>
      </c>
    </row>
    <row r="28" spans="1:5">
      <c r="A28" s="14" t="s">
        <v>185</v>
      </c>
      <c r="B28" s="6" t="s">
        <v>319</v>
      </c>
      <c r="C28" s="21" t="s">
        <v>1351</v>
      </c>
      <c r="D28" s="2" t="s">
        <v>1352</v>
      </c>
      <c r="E28" s="2">
        <v>1</v>
      </c>
    </row>
    <row r="29" spans="1:5">
      <c r="A29" s="14" t="s">
        <v>185</v>
      </c>
      <c r="B29" s="6" t="s">
        <v>320</v>
      </c>
      <c r="C29" s="21" t="s">
        <v>1329</v>
      </c>
      <c r="D29" s="2" t="s">
        <v>1330</v>
      </c>
      <c r="E29" s="2">
        <v>1</v>
      </c>
    </row>
    <row r="30" spans="1:5">
      <c r="A30" s="14" t="s">
        <v>185</v>
      </c>
      <c r="B30" s="6" t="s">
        <v>322</v>
      </c>
      <c r="C30" s="21" t="s">
        <v>1329</v>
      </c>
      <c r="D30" s="2" t="s">
        <v>1330</v>
      </c>
      <c r="E30" s="2">
        <v>1</v>
      </c>
    </row>
    <row r="31" spans="1:5">
      <c r="A31" s="14" t="s">
        <v>185</v>
      </c>
      <c r="B31" s="6" t="s">
        <v>324</v>
      </c>
      <c r="C31" s="21" t="s">
        <v>1329</v>
      </c>
      <c r="D31" s="2" t="s">
        <v>1330</v>
      </c>
      <c r="E31" s="2">
        <v>1</v>
      </c>
    </row>
    <row r="32" spans="1:5">
      <c r="A32" s="14" t="s">
        <v>185</v>
      </c>
      <c r="B32" s="6" t="s">
        <v>325</v>
      </c>
      <c r="C32" s="21" t="s">
        <v>1351</v>
      </c>
      <c r="D32" s="2" t="s">
        <v>1352</v>
      </c>
      <c r="E32" s="2">
        <v>1</v>
      </c>
    </row>
    <row r="33" spans="1:7">
      <c r="A33" s="14" t="s">
        <v>185</v>
      </c>
      <c r="B33" s="6" t="s">
        <v>326</v>
      </c>
      <c r="C33" s="21" t="s">
        <v>1329</v>
      </c>
      <c r="D33" s="2" t="s">
        <v>1330</v>
      </c>
      <c r="E33" s="2">
        <v>1</v>
      </c>
    </row>
    <row r="34" spans="1:7">
      <c r="A34" s="14" t="s">
        <v>185</v>
      </c>
      <c r="B34" s="6" t="s">
        <v>327</v>
      </c>
      <c r="C34" s="21" t="s">
        <v>1353</v>
      </c>
      <c r="D34" s="2" t="s">
        <v>1354</v>
      </c>
      <c r="E34" s="2">
        <v>1</v>
      </c>
    </row>
    <row r="35" spans="1:7">
      <c r="A35" s="14" t="s">
        <v>185</v>
      </c>
      <c r="B35" s="6" t="s">
        <v>329</v>
      </c>
      <c r="C35" s="21" t="s">
        <v>1331</v>
      </c>
      <c r="D35" s="2" t="s">
        <v>1332</v>
      </c>
      <c r="E35" s="2">
        <v>1</v>
      </c>
    </row>
    <row r="36" spans="1:7" ht="32">
      <c r="A36" s="15" t="s">
        <v>469</v>
      </c>
      <c r="B36" s="7" t="s">
        <v>290</v>
      </c>
      <c r="C36" s="22" t="s">
        <v>1355</v>
      </c>
      <c r="D36" t="s">
        <v>1356</v>
      </c>
      <c r="E36" s="2">
        <v>1</v>
      </c>
      <c r="G36" s="4" t="s">
        <v>1357</v>
      </c>
    </row>
    <row r="37" spans="1:7">
      <c r="A37" s="15" t="s">
        <v>469</v>
      </c>
      <c r="B37" s="7" t="s">
        <v>1322</v>
      </c>
      <c r="C37" s="22" t="s">
        <v>1358</v>
      </c>
      <c r="D37" s="2" t="s">
        <v>1359</v>
      </c>
      <c r="E37" s="2">
        <v>1</v>
      </c>
    </row>
    <row r="38" spans="1:7">
      <c r="A38" s="15" t="s">
        <v>469</v>
      </c>
      <c r="B38" s="7" t="s">
        <v>291</v>
      </c>
      <c r="C38" s="22" t="s">
        <v>1360</v>
      </c>
      <c r="D38" s="2" t="s">
        <v>1361</v>
      </c>
      <c r="E38" s="2">
        <v>1</v>
      </c>
    </row>
    <row r="39" spans="1:7">
      <c r="A39" s="15" t="s">
        <v>469</v>
      </c>
      <c r="B39" s="7" t="s">
        <v>292</v>
      </c>
      <c r="C39" s="22" t="s">
        <v>1362</v>
      </c>
      <c r="D39" s="2" t="s">
        <v>1363</v>
      </c>
      <c r="E39" s="2">
        <v>1</v>
      </c>
    </row>
    <row r="40" spans="1:7">
      <c r="A40" s="15" t="s">
        <v>469</v>
      </c>
      <c r="B40" s="7" t="s">
        <v>293</v>
      </c>
      <c r="C40" s="22" t="s">
        <v>1360</v>
      </c>
      <c r="D40" s="2" t="s">
        <v>1361</v>
      </c>
      <c r="E40" s="2">
        <v>1</v>
      </c>
    </row>
    <row r="41" spans="1:7">
      <c r="A41" s="15" t="s">
        <v>469</v>
      </c>
      <c r="B41" s="7" t="s">
        <v>294</v>
      </c>
      <c r="C41" s="22" t="s">
        <v>1364</v>
      </c>
      <c r="D41" s="2" t="s">
        <v>1365</v>
      </c>
      <c r="E41" s="2">
        <v>1</v>
      </c>
    </row>
    <row r="42" spans="1:7">
      <c r="A42" s="15" t="s">
        <v>469</v>
      </c>
      <c r="B42" s="7" t="s">
        <v>295</v>
      </c>
      <c r="C42" s="22" t="s">
        <v>1366</v>
      </c>
      <c r="D42" s="2" t="s">
        <v>1367</v>
      </c>
      <c r="E42" s="2">
        <v>1</v>
      </c>
    </row>
    <row r="43" spans="1:7">
      <c r="A43" s="15" t="s">
        <v>469</v>
      </c>
      <c r="B43" s="7" t="s">
        <v>296</v>
      </c>
      <c r="C43" s="22" t="s">
        <v>1364</v>
      </c>
      <c r="D43" s="2" t="s">
        <v>1365</v>
      </c>
      <c r="E43" s="2">
        <v>1</v>
      </c>
    </row>
    <row r="44" spans="1:7">
      <c r="A44" s="15" t="s">
        <v>469</v>
      </c>
      <c r="B44" s="7" t="s">
        <v>297</v>
      </c>
      <c r="C44" s="22" t="s">
        <v>1368</v>
      </c>
      <c r="D44" s="2" t="s">
        <v>1369</v>
      </c>
      <c r="E44" s="2">
        <v>1</v>
      </c>
    </row>
    <row r="45" spans="1:7">
      <c r="A45" s="15" t="s">
        <v>469</v>
      </c>
      <c r="B45" s="7" t="s">
        <v>298</v>
      </c>
      <c r="C45" s="22" t="s">
        <v>1370</v>
      </c>
      <c r="D45" s="2" t="s">
        <v>1371</v>
      </c>
      <c r="E45" s="2">
        <v>1</v>
      </c>
    </row>
    <row r="46" spans="1:7">
      <c r="A46" s="15" t="s">
        <v>469</v>
      </c>
      <c r="B46" s="7" t="s">
        <v>299</v>
      </c>
      <c r="C46" s="22" t="s">
        <v>1372</v>
      </c>
      <c r="D46" s="2" t="s">
        <v>1373</v>
      </c>
      <c r="E46" s="2">
        <v>1</v>
      </c>
    </row>
    <row r="47" spans="1:7">
      <c r="A47" s="15" t="s">
        <v>469</v>
      </c>
      <c r="B47" s="7" t="s">
        <v>300</v>
      </c>
      <c r="C47" s="22" t="s">
        <v>1366</v>
      </c>
      <c r="D47" s="2" t="s">
        <v>1367</v>
      </c>
      <c r="E47" s="2">
        <v>1</v>
      </c>
    </row>
    <row r="48" spans="1:7">
      <c r="A48" s="15" t="s">
        <v>469</v>
      </c>
      <c r="B48" s="7" t="s">
        <v>301</v>
      </c>
      <c r="C48" s="22" t="s">
        <v>1366</v>
      </c>
      <c r="D48" s="2" t="s">
        <v>1367</v>
      </c>
      <c r="E48" s="2">
        <v>1</v>
      </c>
    </row>
    <row r="49" spans="1:5">
      <c r="A49" s="15" t="s">
        <v>469</v>
      </c>
      <c r="B49" s="7" t="s">
        <v>302</v>
      </c>
      <c r="C49" s="22" t="s">
        <v>1366</v>
      </c>
      <c r="D49" s="2" t="s">
        <v>1367</v>
      </c>
      <c r="E49" s="2">
        <v>1</v>
      </c>
    </row>
    <row r="50" spans="1:5">
      <c r="A50" s="15" t="s">
        <v>469</v>
      </c>
      <c r="B50" s="7" t="s">
        <v>304</v>
      </c>
      <c r="C50" s="22" t="s">
        <v>1366</v>
      </c>
      <c r="D50" s="2" t="s">
        <v>1367</v>
      </c>
      <c r="E50" s="2">
        <v>1</v>
      </c>
    </row>
    <row r="51" spans="1:5">
      <c r="A51" s="15" t="s">
        <v>469</v>
      </c>
      <c r="B51" s="7" t="s">
        <v>305</v>
      </c>
      <c r="C51" s="22" t="s">
        <v>1366</v>
      </c>
      <c r="D51" s="2" t="s">
        <v>1367</v>
      </c>
      <c r="E51" s="2">
        <v>1</v>
      </c>
    </row>
    <row r="52" spans="1:5">
      <c r="A52" s="15" t="s">
        <v>469</v>
      </c>
      <c r="B52" s="7" t="s">
        <v>306</v>
      </c>
      <c r="C52" s="22" t="s">
        <v>1364</v>
      </c>
      <c r="D52" s="2" t="s">
        <v>1367</v>
      </c>
      <c r="E52" s="2">
        <v>1</v>
      </c>
    </row>
    <row r="53" spans="1:5">
      <c r="A53" s="15" t="s">
        <v>469</v>
      </c>
      <c r="B53" s="7" t="s">
        <v>307</v>
      </c>
      <c r="C53" s="22" t="s">
        <v>1366</v>
      </c>
      <c r="D53" s="2" t="s">
        <v>1367</v>
      </c>
      <c r="E53" s="2">
        <v>1</v>
      </c>
    </row>
    <row r="54" spans="1:5">
      <c r="A54" s="15" t="s">
        <v>469</v>
      </c>
      <c r="B54" s="7" t="s">
        <v>310</v>
      </c>
      <c r="C54" s="22" t="s">
        <v>1374</v>
      </c>
      <c r="D54" s="2" t="s">
        <v>1375</v>
      </c>
      <c r="E54" s="2">
        <v>1</v>
      </c>
    </row>
    <row r="55" spans="1:5">
      <c r="A55" s="15" t="s">
        <v>469</v>
      </c>
      <c r="B55" s="7" t="s">
        <v>311</v>
      </c>
      <c r="C55" s="22" t="s">
        <v>1364</v>
      </c>
      <c r="D55" s="2" t="s">
        <v>1365</v>
      </c>
      <c r="E55" s="2">
        <v>1</v>
      </c>
    </row>
    <row r="56" spans="1:5">
      <c r="A56" s="15" t="s">
        <v>469</v>
      </c>
      <c r="B56" s="7" t="s">
        <v>312</v>
      </c>
      <c r="C56" s="22" t="s">
        <v>1364</v>
      </c>
      <c r="D56" s="2" t="s">
        <v>1365</v>
      </c>
      <c r="E56" s="2">
        <v>1</v>
      </c>
    </row>
    <row r="57" spans="1:5">
      <c r="A57" s="15" t="s">
        <v>469</v>
      </c>
      <c r="B57" s="7" t="s">
        <v>313</v>
      </c>
      <c r="C57" s="22" t="s">
        <v>1376</v>
      </c>
      <c r="D57" s="2" t="s">
        <v>1377</v>
      </c>
      <c r="E57" s="2">
        <v>1</v>
      </c>
    </row>
    <row r="58" spans="1:5">
      <c r="A58" s="15" t="s">
        <v>469</v>
      </c>
      <c r="B58" s="7" t="s">
        <v>317</v>
      </c>
      <c r="C58" s="22" t="s">
        <v>1378</v>
      </c>
      <c r="D58" s="2" t="s">
        <v>1379</v>
      </c>
      <c r="E58" s="2">
        <v>1</v>
      </c>
    </row>
    <row r="59" spans="1:5">
      <c r="A59" s="15" t="s">
        <v>469</v>
      </c>
      <c r="B59" s="7" t="s">
        <v>318</v>
      </c>
      <c r="C59" s="22" t="s">
        <v>1366</v>
      </c>
      <c r="D59" s="2" t="s">
        <v>1367</v>
      </c>
      <c r="E59" s="2">
        <v>1</v>
      </c>
    </row>
    <row r="60" spans="1:5">
      <c r="A60" s="15" t="s">
        <v>469</v>
      </c>
      <c r="B60" s="7" t="s">
        <v>319</v>
      </c>
      <c r="C60" s="22" t="s">
        <v>1366</v>
      </c>
      <c r="D60" s="2" t="s">
        <v>1367</v>
      </c>
      <c r="E60" s="2">
        <v>1</v>
      </c>
    </row>
    <row r="61" spans="1:5">
      <c r="A61" s="15" t="s">
        <v>469</v>
      </c>
      <c r="B61" s="7" t="s">
        <v>320</v>
      </c>
      <c r="C61" s="22" t="s">
        <v>1364</v>
      </c>
      <c r="D61" s="2" t="s">
        <v>1365</v>
      </c>
      <c r="E61" s="2">
        <v>1</v>
      </c>
    </row>
    <row r="62" spans="1:5">
      <c r="A62" s="15" t="s">
        <v>469</v>
      </c>
      <c r="B62" s="7" t="s">
        <v>322</v>
      </c>
      <c r="C62" s="22" t="s">
        <v>1364</v>
      </c>
      <c r="D62" s="2" t="s">
        <v>1365</v>
      </c>
      <c r="E62" s="2">
        <v>1</v>
      </c>
    </row>
    <row r="63" spans="1:5">
      <c r="A63" s="15" t="s">
        <v>469</v>
      </c>
      <c r="B63" s="7" t="s">
        <v>324</v>
      </c>
      <c r="C63" s="22" t="s">
        <v>1364</v>
      </c>
      <c r="D63" s="2" t="s">
        <v>1365</v>
      </c>
      <c r="E63" s="2">
        <v>1</v>
      </c>
    </row>
    <row r="64" spans="1:5">
      <c r="A64" s="15" t="s">
        <v>469</v>
      </c>
      <c r="B64" s="7" t="s">
        <v>325</v>
      </c>
      <c r="C64" s="22" t="s">
        <v>1366</v>
      </c>
      <c r="D64" s="2" t="s">
        <v>1365</v>
      </c>
      <c r="E64" s="2">
        <v>1</v>
      </c>
    </row>
    <row r="65" spans="1:5">
      <c r="A65" s="15" t="s">
        <v>469</v>
      </c>
      <c r="B65" s="7" t="s">
        <v>326</v>
      </c>
      <c r="C65" s="22" t="s">
        <v>1364</v>
      </c>
      <c r="D65" s="2" t="s">
        <v>1365</v>
      </c>
      <c r="E65" s="2">
        <v>1</v>
      </c>
    </row>
    <row r="66" spans="1:5">
      <c r="A66" s="15" t="s">
        <v>469</v>
      </c>
      <c r="B66" s="7" t="s">
        <v>327</v>
      </c>
      <c r="C66" s="22" t="s">
        <v>1364</v>
      </c>
      <c r="D66" s="2" t="s">
        <v>1365</v>
      </c>
      <c r="E66" s="2">
        <v>1</v>
      </c>
    </row>
    <row r="67" spans="1:5">
      <c r="A67" s="15" t="s">
        <v>469</v>
      </c>
      <c r="B67" s="7" t="s">
        <v>329</v>
      </c>
      <c r="C67" s="22" t="s">
        <v>1366</v>
      </c>
      <c r="D67" s="2" t="s">
        <v>1365</v>
      </c>
      <c r="E67" s="2">
        <v>1</v>
      </c>
    </row>
    <row r="68" spans="1:5">
      <c r="A68" s="16" t="s">
        <v>474</v>
      </c>
      <c r="B68" s="8" t="s">
        <v>290</v>
      </c>
      <c r="C68" s="23" t="s">
        <v>1380</v>
      </c>
      <c r="D68" t="s">
        <v>1381</v>
      </c>
      <c r="E68" s="2">
        <v>1</v>
      </c>
    </row>
    <row r="69" spans="1:5">
      <c r="A69" s="16" t="s">
        <v>474</v>
      </c>
      <c r="B69" s="8" t="s">
        <v>1322</v>
      </c>
      <c r="C69" s="23" t="s">
        <v>1382</v>
      </c>
      <c r="D69" s="2" t="s">
        <v>1383</v>
      </c>
      <c r="E69" s="2">
        <v>1</v>
      </c>
    </row>
    <row r="70" spans="1:5">
      <c r="A70" s="16" t="s">
        <v>474</v>
      </c>
      <c r="B70" s="8" t="s">
        <v>291</v>
      </c>
      <c r="C70" s="23" t="s">
        <v>1368</v>
      </c>
      <c r="D70" s="2" t="s">
        <v>1369</v>
      </c>
      <c r="E70" s="2">
        <v>1</v>
      </c>
    </row>
    <row r="71" spans="1:5">
      <c r="A71" s="16" t="s">
        <v>474</v>
      </c>
      <c r="B71" s="8" t="s">
        <v>292</v>
      </c>
      <c r="C71" s="23" t="s">
        <v>1384</v>
      </c>
      <c r="D71" s="2" t="s">
        <v>1385</v>
      </c>
      <c r="E71" s="2">
        <v>1</v>
      </c>
    </row>
    <row r="72" spans="1:5">
      <c r="A72" s="16" t="s">
        <v>474</v>
      </c>
      <c r="B72" s="8" t="s">
        <v>293</v>
      </c>
      <c r="C72" s="23" t="s">
        <v>1368</v>
      </c>
      <c r="D72" s="2" t="s">
        <v>1369</v>
      </c>
      <c r="E72" s="2">
        <v>1</v>
      </c>
    </row>
    <row r="73" spans="1:5">
      <c r="A73" s="16" t="s">
        <v>474</v>
      </c>
      <c r="B73" s="8" t="s">
        <v>294</v>
      </c>
      <c r="C73" s="23" t="s">
        <v>1386</v>
      </c>
      <c r="D73" s="2" t="s">
        <v>1387</v>
      </c>
      <c r="E73" s="2">
        <v>1</v>
      </c>
    </row>
    <row r="74" spans="1:5">
      <c r="A74" s="16" t="s">
        <v>474</v>
      </c>
      <c r="B74" s="8" t="s">
        <v>295</v>
      </c>
      <c r="C74" s="23" t="s">
        <v>1388</v>
      </c>
      <c r="D74" s="2" t="s">
        <v>1389</v>
      </c>
      <c r="E74" s="2">
        <v>1</v>
      </c>
    </row>
    <row r="75" spans="1:5">
      <c r="A75" s="16" t="s">
        <v>474</v>
      </c>
      <c r="B75" s="8" t="s">
        <v>296</v>
      </c>
      <c r="C75" s="23" t="s">
        <v>1386</v>
      </c>
      <c r="D75" s="2" t="s">
        <v>1387</v>
      </c>
      <c r="E75" s="2">
        <v>1</v>
      </c>
    </row>
    <row r="76" spans="1:5">
      <c r="A76" s="16" t="s">
        <v>474</v>
      </c>
      <c r="B76" s="8" t="s">
        <v>297</v>
      </c>
      <c r="C76" s="23" t="s">
        <v>1362</v>
      </c>
      <c r="D76" s="2" t="s">
        <v>1363</v>
      </c>
      <c r="E76" s="2">
        <v>1</v>
      </c>
    </row>
    <row r="77" spans="1:5">
      <c r="A77" s="16" t="s">
        <v>474</v>
      </c>
      <c r="B77" s="8" t="s">
        <v>298</v>
      </c>
      <c r="C77" s="23" t="s">
        <v>1390</v>
      </c>
      <c r="D77" s="2" t="s">
        <v>1391</v>
      </c>
      <c r="E77" s="2">
        <v>1</v>
      </c>
    </row>
    <row r="78" spans="1:5">
      <c r="A78" s="16" t="s">
        <v>474</v>
      </c>
      <c r="B78" s="8" t="s">
        <v>299</v>
      </c>
      <c r="C78" s="23" t="s">
        <v>1392</v>
      </c>
      <c r="D78" s="2" t="s">
        <v>1393</v>
      </c>
      <c r="E78" s="2">
        <v>1</v>
      </c>
    </row>
    <row r="79" spans="1:5">
      <c r="A79" s="16" t="s">
        <v>474</v>
      </c>
      <c r="B79" s="8" t="s">
        <v>300</v>
      </c>
      <c r="C79" s="23" t="s">
        <v>1388</v>
      </c>
      <c r="D79" s="2" t="s">
        <v>1389</v>
      </c>
      <c r="E79" s="2">
        <v>1</v>
      </c>
    </row>
    <row r="80" spans="1:5">
      <c r="A80" s="16" t="s">
        <v>474</v>
      </c>
      <c r="B80" s="8" t="s">
        <v>301</v>
      </c>
      <c r="C80" s="23" t="s">
        <v>1388</v>
      </c>
      <c r="D80" s="2" t="s">
        <v>1389</v>
      </c>
      <c r="E80" s="2">
        <v>1</v>
      </c>
    </row>
    <row r="81" spans="1:5">
      <c r="A81" s="16" t="s">
        <v>474</v>
      </c>
      <c r="B81" s="8" t="s">
        <v>302</v>
      </c>
      <c r="C81" s="23" t="s">
        <v>1360</v>
      </c>
      <c r="D81" s="2" t="s">
        <v>1361</v>
      </c>
      <c r="E81" s="2">
        <v>1</v>
      </c>
    </row>
    <row r="82" spans="1:5">
      <c r="A82" s="16" t="s">
        <v>474</v>
      </c>
      <c r="B82" s="8" t="s">
        <v>304</v>
      </c>
      <c r="C82" s="23" t="s">
        <v>1394</v>
      </c>
      <c r="D82" s="2" t="s">
        <v>1395</v>
      </c>
      <c r="E82" s="2">
        <v>1</v>
      </c>
    </row>
    <row r="83" spans="1:5">
      <c r="A83" s="16" t="s">
        <v>474</v>
      </c>
      <c r="B83" s="8" t="s">
        <v>305</v>
      </c>
      <c r="C83" s="23" t="s">
        <v>1360</v>
      </c>
      <c r="D83" s="2" t="s">
        <v>1361</v>
      </c>
      <c r="E83" s="2">
        <v>1</v>
      </c>
    </row>
    <row r="84" spans="1:5">
      <c r="A84" s="16" t="s">
        <v>474</v>
      </c>
      <c r="B84" s="8" t="s">
        <v>306</v>
      </c>
      <c r="C84" s="23" t="s">
        <v>1386</v>
      </c>
      <c r="D84" s="2" t="s">
        <v>1387</v>
      </c>
      <c r="E84" s="2">
        <v>1</v>
      </c>
    </row>
    <row r="85" spans="1:5">
      <c r="A85" s="16" t="s">
        <v>474</v>
      </c>
      <c r="B85" s="8" t="s">
        <v>307</v>
      </c>
      <c r="C85" s="23" t="s">
        <v>1388</v>
      </c>
      <c r="D85" s="2" t="s">
        <v>1389</v>
      </c>
      <c r="E85" s="2">
        <v>1</v>
      </c>
    </row>
    <row r="86" spans="1:5">
      <c r="A86" s="16" t="s">
        <v>474</v>
      </c>
      <c r="B86" s="8" t="s">
        <v>310</v>
      </c>
      <c r="C86" s="23" t="s">
        <v>1396</v>
      </c>
      <c r="D86" s="2" t="s">
        <v>1397</v>
      </c>
      <c r="E86" s="2">
        <v>1</v>
      </c>
    </row>
    <row r="87" spans="1:5">
      <c r="A87" s="16" t="s">
        <v>474</v>
      </c>
      <c r="B87" s="8" t="s">
        <v>311</v>
      </c>
      <c r="C87" s="23" t="s">
        <v>1386</v>
      </c>
      <c r="D87" s="2" t="s">
        <v>1387</v>
      </c>
      <c r="E87" s="2">
        <v>1</v>
      </c>
    </row>
    <row r="88" spans="1:5">
      <c r="A88" s="16" t="s">
        <v>474</v>
      </c>
      <c r="B88" s="8" t="s">
        <v>312</v>
      </c>
      <c r="C88" s="23" t="s">
        <v>1386</v>
      </c>
      <c r="D88" s="2" t="s">
        <v>1387</v>
      </c>
      <c r="E88" s="2">
        <v>1</v>
      </c>
    </row>
    <row r="89" spans="1:5">
      <c r="A89" s="16" t="s">
        <v>474</v>
      </c>
      <c r="B89" s="8" t="s">
        <v>313</v>
      </c>
      <c r="C89" s="23" t="s">
        <v>1398</v>
      </c>
      <c r="D89" s="2" t="s">
        <v>1399</v>
      </c>
      <c r="E89" s="2">
        <v>1</v>
      </c>
    </row>
    <row r="90" spans="1:5">
      <c r="A90" s="16" t="s">
        <v>474</v>
      </c>
      <c r="B90" s="8" t="s">
        <v>317</v>
      </c>
      <c r="C90" s="23" t="s">
        <v>1400</v>
      </c>
      <c r="D90" s="2" t="s">
        <v>1401</v>
      </c>
      <c r="E90" s="2">
        <v>1</v>
      </c>
    </row>
    <row r="91" spans="1:5">
      <c r="A91" s="16" t="s">
        <v>474</v>
      </c>
      <c r="B91" s="8" t="s">
        <v>318</v>
      </c>
      <c r="C91" s="23" t="s">
        <v>1360</v>
      </c>
      <c r="D91" s="2" t="s">
        <v>1361</v>
      </c>
      <c r="E91" s="2">
        <v>1</v>
      </c>
    </row>
    <row r="92" spans="1:5">
      <c r="A92" s="16" t="s">
        <v>474</v>
      </c>
      <c r="B92" s="8" t="s">
        <v>319</v>
      </c>
      <c r="C92" s="23" t="s">
        <v>1394</v>
      </c>
      <c r="D92" s="2" t="s">
        <v>1395</v>
      </c>
      <c r="E92" s="2">
        <v>1</v>
      </c>
    </row>
    <row r="93" spans="1:5">
      <c r="A93" s="16" t="s">
        <v>474</v>
      </c>
      <c r="B93" s="8" t="s">
        <v>320</v>
      </c>
      <c r="C93" s="23" t="s">
        <v>1386</v>
      </c>
      <c r="D93" s="2" t="s">
        <v>1387</v>
      </c>
      <c r="E93" s="2">
        <v>1</v>
      </c>
    </row>
    <row r="94" spans="1:5">
      <c r="A94" s="16" t="s">
        <v>474</v>
      </c>
      <c r="B94" s="8" t="s">
        <v>322</v>
      </c>
      <c r="C94" s="23" t="s">
        <v>1386</v>
      </c>
      <c r="D94" s="2" t="s">
        <v>1387</v>
      </c>
      <c r="E94" s="2">
        <v>1</v>
      </c>
    </row>
    <row r="95" spans="1:5">
      <c r="A95" s="16" t="s">
        <v>474</v>
      </c>
      <c r="B95" s="8" t="s">
        <v>324</v>
      </c>
      <c r="C95" s="23" t="s">
        <v>1386</v>
      </c>
      <c r="D95" s="2" t="s">
        <v>1387</v>
      </c>
      <c r="E95" s="2">
        <v>1</v>
      </c>
    </row>
    <row r="96" spans="1:5">
      <c r="A96" s="16" t="s">
        <v>474</v>
      </c>
      <c r="B96" s="8" t="s">
        <v>325</v>
      </c>
      <c r="C96" s="23" t="s">
        <v>1386</v>
      </c>
      <c r="D96" s="2" t="s">
        <v>1387</v>
      </c>
      <c r="E96" s="2">
        <v>1</v>
      </c>
    </row>
    <row r="97" spans="1:5">
      <c r="A97" s="16" t="s">
        <v>474</v>
      </c>
      <c r="B97" s="8" t="s">
        <v>326</v>
      </c>
      <c r="C97" s="23" t="s">
        <v>1386</v>
      </c>
      <c r="D97" s="2" t="s">
        <v>1387</v>
      </c>
      <c r="E97" s="2">
        <v>1</v>
      </c>
    </row>
    <row r="98" spans="1:5">
      <c r="A98" s="16" t="s">
        <v>474</v>
      </c>
      <c r="B98" s="8" t="s">
        <v>327</v>
      </c>
      <c r="C98" s="23" t="s">
        <v>1386</v>
      </c>
      <c r="D98" s="2" t="s">
        <v>1387</v>
      </c>
      <c r="E98" s="2">
        <v>1</v>
      </c>
    </row>
    <row r="99" spans="1:5">
      <c r="A99" s="16" t="s">
        <v>474</v>
      </c>
      <c r="B99" s="8" t="s">
        <v>329</v>
      </c>
      <c r="C99" s="23" t="s">
        <v>1394</v>
      </c>
      <c r="D99" s="2" t="s">
        <v>1395</v>
      </c>
      <c r="E99" s="2">
        <v>1</v>
      </c>
    </row>
    <row r="100" spans="1:5">
      <c r="A100" s="17" t="s">
        <v>157</v>
      </c>
      <c r="B100" s="9" t="s">
        <v>290</v>
      </c>
      <c r="C100" s="24" t="s">
        <v>1402</v>
      </c>
      <c r="D100" t="s">
        <v>1403</v>
      </c>
      <c r="E100" s="2">
        <v>1</v>
      </c>
    </row>
    <row r="101" spans="1:5">
      <c r="A101" s="17" t="s">
        <v>157</v>
      </c>
      <c r="B101" s="9" t="s">
        <v>1322</v>
      </c>
      <c r="C101" s="24" t="s">
        <v>1404</v>
      </c>
      <c r="D101" s="2" t="s">
        <v>1405</v>
      </c>
      <c r="E101" s="2">
        <v>1</v>
      </c>
    </row>
    <row r="102" spans="1:5">
      <c r="A102" s="17" t="s">
        <v>157</v>
      </c>
      <c r="B102" s="9" t="s">
        <v>291</v>
      </c>
      <c r="C102" s="24" t="s">
        <v>1406</v>
      </c>
      <c r="D102" s="2" t="s">
        <v>1407</v>
      </c>
      <c r="E102" s="2">
        <v>1</v>
      </c>
    </row>
    <row r="103" spans="1:5">
      <c r="A103" s="17" t="s">
        <v>157</v>
      </c>
      <c r="B103" s="9" t="s">
        <v>292</v>
      </c>
      <c r="C103" s="24" t="s">
        <v>1406</v>
      </c>
      <c r="D103" s="2" t="s">
        <v>1407</v>
      </c>
      <c r="E103" s="2">
        <v>1</v>
      </c>
    </row>
    <row r="104" spans="1:5">
      <c r="A104" s="17" t="s">
        <v>157</v>
      </c>
      <c r="B104" s="9" t="s">
        <v>293</v>
      </c>
      <c r="C104" s="24" t="s">
        <v>1406</v>
      </c>
      <c r="D104" s="2" t="s">
        <v>1407</v>
      </c>
      <c r="E104" s="2">
        <v>1</v>
      </c>
    </row>
    <row r="105" spans="1:5">
      <c r="A105" s="17" t="s">
        <v>157</v>
      </c>
      <c r="B105" s="9" t="s">
        <v>294</v>
      </c>
      <c r="C105" s="24" t="s">
        <v>1408</v>
      </c>
      <c r="D105" s="2" t="s">
        <v>1409</v>
      </c>
      <c r="E105" s="2">
        <v>1</v>
      </c>
    </row>
    <row r="106" spans="1:5">
      <c r="A106" s="17" t="s">
        <v>157</v>
      </c>
      <c r="B106" s="9" t="s">
        <v>295</v>
      </c>
      <c r="C106" s="24" t="s">
        <v>1406</v>
      </c>
      <c r="D106" s="2" t="s">
        <v>1407</v>
      </c>
      <c r="E106" s="2">
        <v>1</v>
      </c>
    </row>
    <row r="107" spans="1:5">
      <c r="A107" s="17" t="s">
        <v>157</v>
      </c>
      <c r="B107" s="9" t="s">
        <v>296</v>
      </c>
      <c r="C107" s="24" t="s">
        <v>1408</v>
      </c>
      <c r="D107" s="2" t="s">
        <v>1409</v>
      </c>
      <c r="E107" s="2">
        <v>1</v>
      </c>
    </row>
    <row r="108" spans="1:5">
      <c r="A108" s="17" t="s">
        <v>157</v>
      </c>
      <c r="B108" s="9" t="s">
        <v>297</v>
      </c>
      <c r="C108" s="24" t="s">
        <v>1406</v>
      </c>
      <c r="D108" s="54" t="s">
        <v>1407</v>
      </c>
      <c r="E108" s="2">
        <v>1</v>
      </c>
    </row>
    <row r="109" spans="1:5">
      <c r="A109" s="17" t="s">
        <v>157</v>
      </c>
      <c r="B109" s="9" t="s">
        <v>298</v>
      </c>
      <c r="C109" s="24" t="s">
        <v>1402</v>
      </c>
      <c r="D109" s="2" t="s">
        <v>1410</v>
      </c>
      <c r="E109" s="2">
        <v>1</v>
      </c>
    </row>
    <row r="110" spans="1:5">
      <c r="A110" s="17" t="s">
        <v>157</v>
      </c>
      <c r="B110" s="9" t="s">
        <v>299</v>
      </c>
      <c r="C110" s="24" t="s">
        <v>1406</v>
      </c>
      <c r="D110" s="54" t="s">
        <v>1407</v>
      </c>
      <c r="E110" s="2">
        <v>1</v>
      </c>
    </row>
    <row r="111" spans="1:5">
      <c r="A111" s="17" t="s">
        <v>157</v>
      </c>
      <c r="B111" s="9" t="s">
        <v>300</v>
      </c>
      <c r="C111" s="24" t="s">
        <v>1406</v>
      </c>
      <c r="D111" s="54" t="s">
        <v>1407</v>
      </c>
      <c r="E111" s="2">
        <v>1</v>
      </c>
    </row>
    <row r="112" spans="1:5">
      <c r="A112" s="17" t="s">
        <v>157</v>
      </c>
      <c r="B112" s="9" t="s">
        <v>301</v>
      </c>
      <c r="C112" s="24" t="s">
        <v>1406</v>
      </c>
      <c r="D112" s="54" t="s">
        <v>1407</v>
      </c>
      <c r="E112" s="2">
        <v>1</v>
      </c>
    </row>
    <row r="113" spans="1:5">
      <c r="A113" s="17" t="s">
        <v>157</v>
      </c>
      <c r="B113" s="9" t="s">
        <v>302</v>
      </c>
      <c r="C113" s="24" t="s">
        <v>1406</v>
      </c>
      <c r="D113" s="54" t="s">
        <v>1407</v>
      </c>
      <c r="E113" s="2">
        <v>1</v>
      </c>
    </row>
    <row r="114" spans="1:5">
      <c r="A114" s="17" t="s">
        <v>157</v>
      </c>
      <c r="B114" s="9" t="s">
        <v>304</v>
      </c>
      <c r="C114" s="24" t="s">
        <v>1406</v>
      </c>
      <c r="D114" s="54" t="s">
        <v>1407</v>
      </c>
      <c r="E114" s="2">
        <v>1</v>
      </c>
    </row>
    <row r="115" spans="1:5">
      <c r="A115" s="17" t="s">
        <v>157</v>
      </c>
      <c r="B115" s="9" t="s">
        <v>305</v>
      </c>
      <c r="C115" s="24" t="s">
        <v>1406</v>
      </c>
      <c r="D115" s="54" t="s">
        <v>1407</v>
      </c>
      <c r="E115" s="2">
        <v>1</v>
      </c>
    </row>
    <row r="116" spans="1:5">
      <c r="A116" s="17" t="s">
        <v>157</v>
      </c>
      <c r="B116" s="9" t="s">
        <v>306</v>
      </c>
      <c r="C116" s="24" t="s">
        <v>1406</v>
      </c>
      <c r="D116" s="54" t="s">
        <v>1407</v>
      </c>
      <c r="E116" s="2">
        <v>1</v>
      </c>
    </row>
    <row r="117" spans="1:5">
      <c r="A117" s="17" t="s">
        <v>157</v>
      </c>
      <c r="B117" s="9" t="s">
        <v>307</v>
      </c>
      <c r="C117" s="24" t="s">
        <v>1406</v>
      </c>
      <c r="D117" s="54" t="s">
        <v>1407</v>
      </c>
      <c r="E117" s="2">
        <v>1</v>
      </c>
    </row>
    <row r="118" spans="1:5">
      <c r="A118" s="17" t="s">
        <v>157</v>
      </c>
      <c r="B118" s="9" t="s">
        <v>310</v>
      </c>
      <c r="C118" s="24" t="s">
        <v>1404</v>
      </c>
      <c r="D118" s="54" t="s">
        <v>1407</v>
      </c>
      <c r="E118" s="2">
        <v>1</v>
      </c>
    </row>
    <row r="119" spans="1:5">
      <c r="A119" s="17" t="s">
        <v>157</v>
      </c>
      <c r="B119" s="9" t="s">
        <v>311</v>
      </c>
      <c r="C119" s="24" t="s">
        <v>1406</v>
      </c>
      <c r="D119" s="2" t="s">
        <v>1407</v>
      </c>
      <c r="E119" s="2">
        <v>1</v>
      </c>
    </row>
    <row r="120" spans="1:5">
      <c r="A120" s="17" t="s">
        <v>157</v>
      </c>
      <c r="B120" s="9" t="s">
        <v>312</v>
      </c>
      <c r="C120" s="24" t="s">
        <v>1406</v>
      </c>
      <c r="E120" s="2">
        <v>1</v>
      </c>
    </row>
    <row r="121" spans="1:5">
      <c r="A121" s="17" t="s">
        <v>157</v>
      </c>
      <c r="B121" s="9" t="s">
        <v>313</v>
      </c>
      <c r="C121" s="24" t="s">
        <v>1402</v>
      </c>
      <c r="E121" s="2">
        <v>1</v>
      </c>
    </row>
    <row r="122" spans="1:5">
      <c r="A122" s="17" t="s">
        <v>157</v>
      </c>
      <c r="B122" s="9" t="s">
        <v>317</v>
      </c>
      <c r="C122" s="24" t="s">
        <v>1404</v>
      </c>
      <c r="E122" s="2">
        <v>1</v>
      </c>
    </row>
    <row r="123" spans="1:5">
      <c r="A123" s="17" t="s">
        <v>157</v>
      </c>
      <c r="B123" s="9" t="s">
        <v>318</v>
      </c>
      <c r="C123" s="24" t="s">
        <v>1406</v>
      </c>
      <c r="E123" s="2">
        <v>1</v>
      </c>
    </row>
    <row r="124" spans="1:5">
      <c r="A124" s="17" t="s">
        <v>157</v>
      </c>
      <c r="B124" s="9" t="s">
        <v>319</v>
      </c>
      <c r="C124" s="24" t="s">
        <v>1406</v>
      </c>
      <c r="E124" s="2">
        <v>1</v>
      </c>
    </row>
    <row r="125" spans="1:5">
      <c r="A125" s="17" t="s">
        <v>157</v>
      </c>
      <c r="B125" s="9" t="s">
        <v>320</v>
      </c>
      <c r="C125" s="24" t="s">
        <v>1406</v>
      </c>
      <c r="E125" s="2">
        <v>1</v>
      </c>
    </row>
    <row r="126" spans="1:5">
      <c r="A126" s="17" t="s">
        <v>157</v>
      </c>
      <c r="B126" s="9" t="s">
        <v>322</v>
      </c>
      <c r="C126" s="24" t="s">
        <v>1408</v>
      </c>
      <c r="E126" s="2">
        <v>1</v>
      </c>
    </row>
    <row r="127" spans="1:5">
      <c r="A127" s="17" t="s">
        <v>157</v>
      </c>
      <c r="B127" s="9" t="s">
        <v>324</v>
      </c>
      <c r="C127" s="24" t="s">
        <v>1408</v>
      </c>
      <c r="E127" s="2">
        <v>1</v>
      </c>
    </row>
    <row r="128" spans="1:5">
      <c r="A128" s="17" t="s">
        <v>157</v>
      </c>
      <c r="B128" s="9" t="s">
        <v>325</v>
      </c>
      <c r="C128" s="24" t="s">
        <v>1406</v>
      </c>
      <c r="E128" s="2">
        <v>1</v>
      </c>
    </row>
    <row r="129" spans="1:6">
      <c r="A129" s="17" t="s">
        <v>157</v>
      </c>
      <c r="B129" s="9" t="s">
        <v>326</v>
      </c>
      <c r="C129" s="24" t="s">
        <v>1406</v>
      </c>
      <c r="E129" s="2">
        <v>1</v>
      </c>
    </row>
    <row r="130" spans="1:6">
      <c r="A130" s="17" t="s">
        <v>157</v>
      </c>
      <c r="B130" s="9" t="s">
        <v>327</v>
      </c>
      <c r="C130" s="24" t="s">
        <v>1406</v>
      </c>
      <c r="E130" s="2">
        <v>1</v>
      </c>
    </row>
    <row r="131" spans="1:6">
      <c r="A131" s="17" t="s">
        <v>157</v>
      </c>
      <c r="B131" s="9" t="s">
        <v>329</v>
      </c>
      <c r="C131" s="24" t="s">
        <v>1406</v>
      </c>
      <c r="E131" s="2">
        <v>1</v>
      </c>
    </row>
    <row r="132" spans="1:6">
      <c r="A132" s="18" t="s">
        <v>390</v>
      </c>
      <c r="B132" s="10" t="s">
        <v>290</v>
      </c>
      <c r="C132" s="25" t="s">
        <v>1411</v>
      </c>
      <c r="D132" s="2" t="s">
        <v>1412</v>
      </c>
      <c r="E132" s="2">
        <v>9</v>
      </c>
      <c r="F132" s="2">
        <v>1</v>
      </c>
    </row>
    <row r="133" spans="1:6">
      <c r="A133" s="18" t="s">
        <v>390</v>
      </c>
      <c r="B133" s="10" t="s">
        <v>1322</v>
      </c>
      <c r="C133" s="25" t="s">
        <v>1413</v>
      </c>
      <c r="D133" s="2" t="s">
        <v>1414</v>
      </c>
      <c r="E133" s="2">
        <v>9</v>
      </c>
      <c r="F133" s="2">
        <v>1</v>
      </c>
    </row>
    <row r="134" spans="1:6">
      <c r="A134" s="18" t="s">
        <v>390</v>
      </c>
      <c r="B134" s="10" t="s">
        <v>291</v>
      </c>
      <c r="C134" s="25" t="s">
        <v>1415</v>
      </c>
      <c r="E134" s="2">
        <v>9</v>
      </c>
      <c r="F134" s="2">
        <v>1</v>
      </c>
    </row>
    <row r="135" spans="1:6">
      <c r="A135" s="18" t="s">
        <v>390</v>
      </c>
      <c r="B135" s="10" t="s">
        <v>292</v>
      </c>
      <c r="C135" s="25" t="s">
        <v>1416</v>
      </c>
      <c r="E135" s="2">
        <v>9</v>
      </c>
      <c r="F135" s="2">
        <v>1</v>
      </c>
    </row>
    <row r="136" spans="1:6">
      <c r="A136" s="18" t="s">
        <v>390</v>
      </c>
      <c r="B136" s="10" t="s">
        <v>293</v>
      </c>
      <c r="C136" s="25" t="s">
        <v>1415</v>
      </c>
      <c r="E136" s="2">
        <v>9</v>
      </c>
      <c r="F136" s="2">
        <v>1</v>
      </c>
    </row>
    <row r="137" spans="1:6">
      <c r="A137" s="18" t="s">
        <v>390</v>
      </c>
      <c r="B137" s="10" t="s">
        <v>294</v>
      </c>
      <c r="C137" s="25" t="s">
        <v>1417</v>
      </c>
      <c r="E137" s="2">
        <v>9</v>
      </c>
      <c r="F137" s="2">
        <v>1</v>
      </c>
    </row>
    <row r="138" spans="1:6">
      <c r="A138" s="18" t="s">
        <v>390</v>
      </c>
      <c r="B138" s="10" t="s">
        <v>295</v>
      </c>
      <c r="C138" s="25" t="s">
        <v>1418</v>
      </c>
      <c r="E138" s="2">
        <v>9</v>
      </c>
      <c r="F138" s="2">
        <v>1</v>
      </c>
    </row>
    <row r="139" spans="1:6">
      <c r="A139" s="18" t="s">
        <v>390</v>
      </c>
      <c r="B139" s="10" t="s">
        <v>296</v>
      </c>
      <c r="C139" s="25" t="s">
        <v>1417</v>
      </c>
      <c r="E139" s="2">
        <v>9</v>
      </c>
      <c r="F139" s="2">
        <v>1</v>
      </c>
    </row>
    <row r="140" spans="1:6">
      <c r="A140" s="18" t="s">
        <v>390</v>
      </c>
      <c r="B140" s="10" t="s">
        <v>297</v>
      </c>
      <c r="C140" s="25" t="s">
        <v>1419</v>
      </c>
      <c r="E140" s="2">
        <v>9</v>
      </c>
      <c r="F140" s="2">
        <v>1</v>
      </c>
    </row>
    <row r="141" spans="1:6">
      <c r="A141" s="18" t="s">
        <v>390</v>
      </c>
      <c r="B141" s="10" t="s">
        <v>298</v>
      </c>
      <c r="C141" s="25" t="s">
        <v>1420</v>
      </c>
      <c r="E141" s="2">
        <v>9</v>
      </c>
      <c r="F141" s="2">
        <v>1</v>
      </c>
    </row>
    <row r="142" spans="1:6">
      <c r="A142" s="18" t="s">
        <v>390</v>
      </c>
      <c r="B142" s="10" t="s">
        <v>299</v>
      </c>
      <c r="C142" s="25" t="s">
        <v>1421</v>
      </c>
      <c r="E142" s="2">
        <v>9</v>
      </c>
      <c r="F142" s="2">
        <v>1</v>
      </c>
    </row>
    <row r="143" spans="1:6">
      <c r="A143" s="18" t="s">
        <v>390</v>
      </c>
      <c r="B143" s="10" t="s">
        <v>300</v>
      </c>
      <c r="C143" s="25" t="s">
        <v>1418</v>
      </c>
      <c r="E143" s="2">
        <v>9</v>
      </c>
      <c r="F143" s="2">
        <v>1</v>
      </c>
    </row>
    <row r="144" spans="1:6">
      <c r="A144" s="18" t="s">
        <v>390</v>
      </c>
      <c r="B144" s="10" t="s">
        <v>301</v>
      </c>
      <c r="C144" s="25" t="s">
        <v>1422</v>
      </c>
      <c r="E144" s="2">
        <v>9</v>
      </c>
      <c r="F144" s="2">
        <v>1</v>
      </c>
    </row>
    <row r="145" spans="1:6">
      <c r="A145" s="18" t="s">
        <v>390</v>
      </c>
      <c r="B145" s="10" t="s">
        <v>302</v>
      </c>
      <c r="C145" s="25" t="s">
        <v>1423</v>
      </c>
      <c r="E145" s="2">
        <v>9</v>
      </c>
      <c r="F145" s="2">
        <v>1</v>
      </c>
    </row>
    <row r="146" spans="1:6">
      <c r="A146" s="18" t="s">
        <v>390</v>
      </c>
      <c r="B146" s="10" t="s">
        <v>304</v>
      </c>
      <c r="C146" s="25" t="s">
        <v>1424</v>
      </c>
      <c r="E146" s="2">
        <v>9</v>
      </c>
      <c r="F146" s="2">
        <v>1</v>
      </c>
    </row>
    <row r="147" spans="1:6">
      <c r="A147" s="18" t="s">
        <v>390</v>
      </c>
      <c r="B147" s="10" t="s">
        <v>305</v>
      </c>
      <c r="C147" s="25" t="s">
        <v>1425</v>
      </c>
      <c r="E147" s="2">
        <v>9</v>
      </c>
      <c r="F147" s="2">
        <v>1</v>
      </c>
    </row>
    <row r="148" spans="1:6">
      <c r="A148" s="18" t="s">
        <v>390</v>
      </c>
      <c r="B148" s="10" t="s">
        <v>306</v>
      </c>
      <c r="C148" s="25" t="s">
        <v>1426</v>
      </c>
      <c r="E148" s="2">
        <v>9</v>
      </c>
      <c r="F148" s="2">
        <v>1</v>
      </c>
    </row>
    <row r="149" spans="1:6">
      <c r="A149" s="18" t="s">
        <v>390</v>
      </c>
      <c r="B149" s="10" t="s">
        <v>307</v>
      </c>
      <c r="C149" s="25" t="s">
        <v>1427</v>
      </c>
      <c r="E149" s="2">
        <v>9</v>
      </c>
      <c r="F149" s="2">
        <v>1</v>
      </c>
    </row>
    <row r="150" spans="1:6">
      <c r="A150" s="18" t="s">
        <v>390</v>
      </c>
      <c r="B150" s="10" t="s">
        <v>310</v>
      </c>
      <c r="C150" s="25" t="s">
        <v>1428</v>
      </c>
      <c r="E150" s="2">
        <v>9</v>
      </c>
      <c r="F150" s="2">
        <v>1</v>
      </c>
    </row>
    <row r="151" spans="1:6">
      <c r="A151" s="18" t="s">
        <v>390</v>
      </c>
      <c r="B151" s="10" t="s">
        <v>311</v>
      </c>
      <c r="C151" s="25" t="s">
        <v>1426</v>
      </c>
      <c r="E151" s="2">
        <v>9</v>
      </c>
      <c r="F151" s="2">
        <v>1</v>
      </c>
    </row>
    <row r="152" spans="1:6">
      <c r="A152" s="18" t="s">
        <v>390</v>
      </c>
      <c r="B152" s="10" t="s">
        <v>312</v>
      </c>
      <c r="C152" s="25" t="s">
        <v>1426</v>
      </c>
      <c r="E152" s="2">
        <v>9</v>
      </c>
      <c r="F152" s="2">
        <v>1</v>
      </c>
    </row>
    <row r="153" spans="1:6">
      <c r="A153" s="18" t="s">
        <v>390</v>
      </c>
      <c r="B153" s="10" t="s">
        <v>313</v>
      </c>
      <c r="C153" s="25" t="s">
        <v>1429</v>
      </c>
      <c r="E153" s="2">
        <v>9</v>
      </c>
      <c r="F153" s="2">
        <v>1</v>
      </c>
    </row>
    <row r="154" spans="1:6">
      <c r="A154" s="18" t="s">
        <v>390</v>
      </c>
      <c r="B154" s="10" t="s">
        <v>317</v>
      </c>
      <c r="C154" s="25" t="s">
        <v>1430</v>
      </c>
      <c r="E154" s="2">
        <v>9</v>
      </c>
      <c r="F154" s="2">
        <v>1</v>
      </c>
    </row>
    <row r="155" spans="1:6">
      <c r="A155" s="18" t="s">
        <v>390</v>
      </c>
      <c r="B155" s="10" t="s">
        <v>318</v>
      </c>
      <c r="C155" s="25" t="s">
        <v>1431</v>
      </c>
      <c r="E155" s="2">
        <v>9</v>
      </c>
      <c r="F155" s="2">
        <v>1</v>
      </c>
    </row>
    <row r="156" spans="1:6">
      <c r="A156" s="18" t="s">
        <v>390</v>
      </c>
      <c r="B156" s="10" t="s">
        <v>319</v>
      </c>
      <c r="C156" s="25" t="s">
        <v>1432</v>
      </c>
      <c r="E156" s="2">
        <v>9</v>
      </c>
      <c r="F156" s="2">
        <v>1</v>
      </c>
    </row>
    <row r="157" spans="1:6">
      <c r="A157" s="18" t="s">
        <v>390</v>
      </c>
      <c r="B157" s="10" t="s">
        <v>320</v>
      </c>
      <c r="C157" s="25" t="s">
        <v>1433</v>
      </c>
      <c r="E157" s="2">
        <v>9</v>
      </c>
      <c r="F157" s="2">
        <v>1</v>
      </c>
    </row>
    <row r="158" spans="1:6">
      <c r="A158" s="18" t="s">
        <v>390</v>
      </c>
      <c r="B158" s="10" t="s">
        <v>322</v>
      </c>
      <c r="C158" s="25" t="s">
        <v>1417</v>
      </c>
      <c r="E158" s="2">
        <v>9</v>
      </c>
      <c r="F158" s="2">
        <v>1</v>
      </c>
    </row>
    <row r="159" spans="1:6">
      <c r="A159" s="18" t="s">
        <v>390</v>
      </c>
      <c r="B159" s="10" t="s">
        <v>324</v>
      </c>
      <c r="C159" s="25" t="s">
        <v>1417</v>
      </c>
      <c r="E159" s="2">
        <v>9</v>
      </c>
      <c r="F159" s="2">
        <v>1</v>
      </c>
    </row>
    <row r="160" spans="1:6">
      <c r="A160" s="18" t="s">
        <v>390</v>
      </c>
      <c r="B160" s="10" t="s">
        <v>325</v>
      </c>
      <c r="C160" s="25" t="s">
        <v>1433</v>
      </c>
      <c r="E160" s="2">
        <v>9</v>
      </c>
      <c r="F160" s="2">
        <v>1</v>
      </c>
    </row>
    <row r="161" spans="1:6">
      <c r="A161" s="18" t="s">
        <v>390</v>
      </c>
      <c r="B161" s="10" t="s">
        <v>326</v>
      </c>
      <c r="C161" s="25" t="s">
        <v>1433</v>
      </c>
      <c r="E161" s="2">
        <v>9</v>
      </c>
      <c r="F161" s="2">
        <v>1</v>
      </c>
    </row>
    <row r="162" spans="1:6">
      <c r="A162" s="18" t="s">
        <v>390</v>
      </c>
      <c r="B162" s="10" t="s">
        <v>327</v>
      </c>
      <c r="C162" s="25" t="s">
        <v>1426</v>
      </c>
      <c r="E162" s="2">
        <v>9</v>
      </c>
      <c r="F162" s="2">
        <v>1</v>
      </c>
    </row>
    <row r="163" spans="1:6">
      <c r="A163" s="18" t="s">
        <v>390</v>
      </c>
      <c r="B163" s="10" t="s">
        <v>329</v>
      </c>
      <c r="C163" s="25" t="s">
        <v>1427</v>
      </c>
      <c r="E163" s="2">
        <v>9</v>
      </c>
      <c r="F163" s="2">
        <v>1</v>
      </c>
    </row>
    <row r="164" spans="1:6">
      <c r="A164" s="19" t="s">
        <v>395</v>
      </c>
      <c r="B164" s="11" t="s">
        <v>290</v>
      </c>
      <c r="C164" s="26" t="s">
        <v>1434</v>
      </c>
      <c r="D164" t="s">
        <v>1435</v>
      </c>
      <c r="E164" s="2">
        <v>1</v>
      </c>
    </row>
    <row r="165" spans="1:6">
      <c r="A165" s="19" t="s">
        <v>395</v>
      </c>
      <c r="B165" s="11" t="s">
        <v>1322</v>
      </c>
      <c r="C165" s="26" t="s">
        <v>1436</v>
      </c>
      <c r="E165" s="2">
        <v>1</v>
      </c>
    </row>
    <row r="166" spans="1:6">
      <c r="A166" s="19" t="s">
        <v>395</v>
      </c>
      <c r="B166" s="11" t="s">
        <v>291</v>
      </c>
      <c r="C166" s="26" t="s">
        <v>1437</v>
      </c>
      <c r="E166" s="2">
        <v>1</v>
      </c>
    </row>
    <row r="167" spans="1:6">
      <c r="A167" s="19" t="s">
        <v>395</v>
      </c>
      <c r="B167" s="11" t="s">
        <v>292</v>
      </c>
      <c r="C167" s="26" t="s">
        <v>1438</v>
      </c>
      <c r="E167" s="2">
        <v>1</v>
      </c>
    </row>
    <row r="168" spans="1:6">
      <c r="A168" s="19" t="s">
        <v>395</v>
      </c>
      <c r="B168" s="11" t="s">
        <v>293</v>
      </c>
      <c r="C168" s="26" t="s">
        <v>1437</v>
      </c>
      <c r="E168" s="2">
        <v>1</v>
      </c>
    </row>
    <row r="169" spans="1:6">
      <c r="A169" s="19" t="s">
        <v>395</v>
      </c>
      <c r="B169" s="11" t="s">
        <v>294</v>
      </c>
      <c r="C169" s="26" t="s">
        <v>1439</v>
      </c>
      <c r="E169" s="2">
        <v>1</v>
      </c>
    </row>
    <row r="170" spans="1:6">
      <c r="A170" s="19" t="s">
        <v>395</v>
      </c>
      <c r="B170" s="11" t="s">
        <v>295</v>
      </c>
      <c r="C170" s="26" t="s">
        <v>1440</v>
      </c>
      <c r="E170" s="2">
        <v>1</v>
      </c>
    </row>
    <row r="171" spans="1:6">
      <c r="A171" s="19" t="s">
        <v>395</v>
      </c>
      <c r="B171" s="11" t="s">
        <v>296</v>
      </c>
      <c r="C171" s="26" t="s">
        <v>1439</v>
      </c>
      <c r="E171" s="2">
        <v>1</v>
      </c>
    </row>
    <row r="172" spans="1:6">
      <c r="A172" s="19" t="s">
        <v>395</v>
      </c>
      <c r="B172" s="11" t="s">
        <v>297</v>
      </c>
      <c r="C172" s="26" t="s">
        <v>1441</v>
      </c>
      <c r="E172" s="2">
        <v>1</v>
      </c>
    </row>
    <row r="173" spans="1:6">
      <c r="A173" s="19" t="s">
        <v>395</v>
      </c>
      <c r="B173" s="11" t="s">
        <v>298</v>
      </c>
      <c r="C173" s="26" t="s">
        <v>1442</v>
      </c>
      <c r="E173" s="2">
        <v>1</v>
      </c>
    </row>
    <row r="174" spans="1:6">
      <c r="A174" s="19" t="s">
        <v>395</v>
      </c>
      <c r="B174" s="11" t="s">
        <v>299</v>
      </c>
      <c r="C174" s="26" t="s">
        <v>1443</v>
      </c>
      <c r="E174" s="2">
        <v>1</v>
      </c>
    </row>
    <row r="175" spans="1:6">
      <c r="A175" s="19" t="s">
        <v>395</v>
      </c>
      <c r="B175" s="11" t="s">
        <v>300</v>
      </c>
      <c r="C175" s="26" t="s">
        <v>1440</v>
      </c>
      <c r="E175" s="2">
        <v>1</v>
      </c>
    </row>
    <row r="176" spans="1:6">
      <c r="A176" s="19" t="s">
        <v>395</v>
      </c>
      <c r="B176" s="11" t="s">
        <v>301</v>
      </c>
      <c r="C176" s="26" t="s">
        <v>1442</v>
      </c>
      <c r="E176" s="2">
        <v>1</v>
      </c>
    </row>
    <row r="177" spans="1:5">
      <c r="A177" s="19" t="s">
        <v>395</v>
      </c>
      <c r="B177" s="11" t="s">
        <v>302</v>
      </c>
      <c r="C177" s="26" t="s">
        <v>1444</v>
      </c>
      <c r="E177" s="2">
        <v>1</v>
      </c>
    </row>
    <row r="178" spans="1:5">
      <c r="A178" s="19" t="s">
        <v>395</v>
      </c>
      <c r="B178" s="11" t="s">
        <v>304</v>
      </c>
      <c r="C178" s="26" t="s">
        <v>1445</v>
      </c>
      <c r="E178" s="2">
        <v>1</v>
      </c>
    </row>
    <row r="179" spans="1:5">
      <c r="A179" s="19" t="s">
        <v>395</v>
      </c>
      <c r="B179" s="11" t="s">
        <v>305</v>
      </c>
      <c r="C179" s="26" t="s">
        <v>1446</v>
      </c>
      <c r="E179" s="2">
        <v>1</v>
      </c>
    </row>
    <row r="180" spans="1:5">
      <c r="A180" s="19" t="s">
        <v>395</v>
      </c>
      <c r="B180" s="11" t="s">
        <v>306</v>
      </c>
      <c r="C180" s="26" t="s">
        <v>1447</v>
      </c>
      <c r="E180" s="2">
        <v>1</v>
      </c>
    </row>
    <row r="181" spans="1:5">
      <c r="A181" s="19" t="s">
        <v>395</v>
      </c>
      <c r="B181" s="11" t="s">
        <v>307</v>
      </c>
      <c r="C181" s="26" t="s">
        <v>1440</v>
      </c>
      <c r="E181" s="2">
        <v>1</v>
      </c>
    </row>
    <row r="182" spans="1:5">
      <c r="A182" s="19" t="s">
        <v>395</v>
      </c>
      <c r="B182" s="11" t="s">
        <v>310</v>
      </c>
      <c r="C182" s="26" t="s">
        <v>1448</v>
      </c>
      <c r="E182" s="2">
        <v>1</v>
      </c>
    </row>
    <row r="183" spans="1:5">
      <c r="A183" s="19" t="s">
        <v>395</v>
      </c>
      <c r="B183" s="11" t="s">
        <v>311</v>
      </c>
      <c r="C183" s="26" t="s">
        <v>1447</v>
      </c>
      <c r="E183" s="2">
        <v>1</v>
      </c>
    </row>
    <row r="184" spans="1:5">
      <c r="A184" s="19" t="s">
        <v>395</v>
      </c>
      <c r="B184" s="11" t="s">
        <v>312</v>
      </c>
      <c r="C184" s="26" t="s">
        <v>1447</v>
      </c>
      <c r="E184" s="2">
        <v>1</v>
      </c>
    </row>
    <row r="185" spans="1:5">
      <c r="A185" s="19" t="s">
        <v>395</v>
      </c>
      <c r="B185" s="11" t="s">
        <v>313</v>
      </c>
      <c r="C185" s="26" t="s">
        <v>1449</v>
      </c>
      <c r="E185" s="2">
        <v>1</v>
      </c>
    </row>
    <row r="186" spans="1:5">
      <c r="A186" s="19" t="s">
        <v>395</v>
      </c>
      <c r="B186" s="11" t="s">
        <v>317</v>
      </c>
      <c r="C186" s="26" t="s">
        <v>1450</v>
      </c>
      <c r="E186" s="2">
        <v>1</v>
      </c>
    </row>
    <row r="187" spans="1:5">
      <c r="A187" s="19" t="s">
        <v>395</v>
      </c>
      <c r="B187" s="11" t="s">
        <v>318</v>
      </c>
      <c r="C187" s="26" t="s">
        <v>1451</v>
      </c>
      <c r="E187" s="2">
        <v>1</v>
      </c>
    </row>
    <row r="188" spans="1:5">
      <c r="A188" s="19" t="s">
        <v>395</v>
      </c>
      <c r="B188" s="11" t="s">
        <v>319</v>
      </c>
      <c r="C188" s="26" t="s">
        <v>1452</v>
      </c>
      <c r="E188" s="2">
        <v>1</v>
      </c>
    </row>
    <row r="189" spans="1:5">
      <c r="A189" s="19" t="s">
        <v>395</v>
      </c>
      <c r="B189" s="11" t="s">
        <v>320</v>
      </c>
      <c r="C189" s="26" t="s">
        <v>1447</v>
      </c>
      <c r="E189" s="2">
        <v>1</v>
      </c>
    </row>
    <row r="190" spans="1:5">
      <c r="A190" s="19" t="s">
        <v>395</v>
      </c>
      <c r="B190" s="11" t="s">
        <v>322</v>
      </c>
      <c r="C190" s="26" t="s">
        <v>1439</v>
      </c>
      <c r="E190" s="2">
        <v>1</v>
      </c>
    </row>
    <row r="191" spans="1:5">
      <c r="A191" s="19" t="s">
        <v>395</v>
      </c>
      <c r="B191" s="11" t="s">
        <v>324</v>
      </c>
      <c r="C191" s="26" t="s">
        <v>1439</v>
      </c>
      <c r="E191" s="2">
        <v>1</v>
      </c>
    </row>
    <row r="192" spans="1:5">
      <c r="A192" s="19" t="s">
        <v>395</v>
      </c>
      <c r="B192" s="11" t="s">
        <v>325</v>
      </c>
      <c r="C192" s="26" t="s">
        <v>1453</v>
      </c>
      <c r="E192" s="2">
        <v>1</v>
      </c>
    </row>
    <row r="193" spans="1:6">
      <c r="A193" s="19" t="s">
        <v>395</v>
      </c>
      <c r="B193" s="11" t="s">
        <v>326</v>
      </c>
      <c r="C193" s="26" t="s">
        <v>1447</v>
      </c>
      <c r="E193" s="2">
        <v>1</v>
      </c>
    </row>
    <row r="194" spans="1:6">
      <c r="A194" s="19" t="s">
        <v>395</v>
      </c>
      <c r="B194" s="11" t="s">
        <v>327</v>
      </c>
      <c r="C194" s="26" t="s">
        <v>1447</v>
      </c>
      <c r="E194" s="2">
        <v>1</v>
      </c>
    </row>
    <row r="195" spans="1:6">
      <c r="A195" s="19" t="s">
        <v>395</v>
      </c>
      <c r="B195" s="11" t="s">
        <v>329</v>
      </c>
      <c r="C195" s="26" t="s">
        <v>1454</v>
      </c>
      <c r="E195" s="2">
        <v>1</v>
      </c>
    </row>
    <row r="196" spans="1:6">
      <c r="A196" s="20" t="s">
        <v>408</v>
      </c>
      <c r="B196" s="12" t="s">
        <v>290</v>
      </c>
      <c r="C196" s="27" t="s">
        <v>1455</v>
      </c>
      <c r="D196" s="2" t="s">
        <v>1456</v>
      </c>
      <c r="E196" s="2">
        <v>10</v>
      </c>
      <c r="F196" s="2">
        <v>1</v>
      </c>
    </row>
    <row r="197" spans="1:6">
      <c r="A197" s="20" t="s">
        <v>408</v>
      </c>
      <c r="B197" s="12" t="s">
        <v>1322</v>
      </c>
      <c r="C197" s="27" t="s">
        <v>1457</v>
      </c>
      <c r="E197" s="2">
        <v>10</v>
      </c>
      <c r="F197" s="2">
        <v>1</v>
      </c>
    </row>
    <row r="198" spans="1:6">
      <c r="A198" s="20" t="s">
        <v>408</v>
      </c>
      <c r="B198" s="12" t="s">
        <v>291</v>
      </c>
      <c r="C198" s="27" t="s">
        <v>1458</v>
      </c>
      <c r="E198" s="2">
        <v>10</v>
      </c>
      <c r="F198" s="2">
        <v>1</v>
      </c>
    </row>
    <row r="199" spans="1:6">
      <c r="A199" s="20" t="s">
        <v>408</v>
      </c>
      <c r="B199" s="12" t="s">
        <v>292</v>
      </c>
      <c r="C199" s="27" t="s">
        <v>1459</v>
      </c>
      <c r="E199" s="2">
        <v>10</v>
      </c>
      <c r="F199" s="2">
        <v>1</v>
      </c>
    </row>
    <row r="200" spans="1:6">
      <c r="A200" s="20" t="s">
        <v>408</v>
      </c>
      <c r="B200" s="12" t="s">
        <v>293</v>
      </c>
      <c r="C200" s="27" t="s">
        <v>1458</v>
      </c>
      <c r="E200" s="2">
        <v>10</v>
      </c>
      <c r="F200" s="2">
        <v>1</v>
      </c>
    </row>
    <row r="201" spans="1:6">
      <c r="A201" s="20" t="s">
        <v>408</v>
      </c>
      <c r="B201" s="12" t="s">
        <v>295</v>
      </c>
      <c r="C201" s="27" t="s">
        <v>1460</v>
      </c>
      <c r="E201" s="2">
        <v>10</v>
      </c>
      <c r="F201" s="2">
        <v>1</v>
      </c>
    </row>
    <row r="202" spans="1:6">
      <c r="A202" s="20" t="s">
        <v>408</v>
      </c>
      <c r="B202" s="12" t="s">
        <v>297</v>
      </c>
      <c r="C202" s="27" t="s">
        <v>1461</v>
      </c>
      <c r="E202" s="2">
        <v>10</v>
      </c>
      <c r="F202" s="2">
        <v>1</v>
      </c>
    </row>
    <row r="203" spans="1:6">
      <c r="A203" s="20" t="s">
        <v>408</v>
      </c>
      <c r="B203" s="12" t="s">
        <v>298</v>
      </c>
      <c r="C203" s="27" t="s">
        <v>1462</v>
      </c>
      <c r="E203" s="2">
        <v>10</v>
      </c>
      <c r="F203" s="2">
        <v>1</v>
      </c>
    </row>
    <row r="204" spans="1:6">
      <c r="A204" s="20" t="s">
        <v>408</v>
      </c>
      <c r="B204" s="12" t="s">
        <v>299</v>
      </c>
      <c r="C204" s="27" t="s">
        <v>1463</v>
      </c>
      <c r="E204" s="2">
        <v>10</v>
      </c>
      <c r="F204" s="2">
        <v>1</v>
      </c>
    </row>
    <row r="205" spans="1:6">
      <c r="A205" s="20" t="s">
        <v>408</v>
      </c>
      <c r="B205" s="12" t="s">
        <v>300</v>
      </c>
      <c r="C205" s="27" t="s">
        <v>1460</v>
      </c>
      <c r="E205" s="2">
        <v>10</v>
      </c>
      <c r="F205" s="2">
        <v>1</v>
      </c>
    </row>
    <row r="206" spans="1:6">
      <c r="A206" s="20" t="s">
        <v>408</v>
      </c>
      <c r="B206" s="12" t="s">
        <v>301</v>
      </c>
      <c r="C206" s="27" t="s">
        <v>1464</v>
      </c>
      <c r="E206" s="2">
        <v>10</v>
      </c>
      <c r="F206" s="2">
        <v>1</v>
      </c>
    </row>
    <row r="207" spans="1:6">
      <c r="A207" s="20" t="s">
        <v>408</v>
      </c>
      <c r="B207" s="12" t="s">
        <v>302</v>
      </c>
      <c r="C207" s="27" t="s">
        <v>1465</v>
      </c>
      <c r="E207" s="2">
        <v>10</v>
      </c>
      <c r="F207" s="2">
        <v>1</v>
      </c>
    </row>
    <row r="208" spans="1:6">
      <c r="A208" s="20" t="s">
        <v>408</v>
      </c>
      <c r="B208" s="12" t="s">
        <v>304</v>
      </c>
      <c r="C208" s="27" t="s">
        <v>1466</v>
      </c>
      <c r="E208" s="2">
        <v>10</v>
      </c>
      <c r="F208" s="2">
        <v>1</v>
      </c>
    </row>
    <row r="209" spans="1:6">
      <c r="A209" s="20" t="s">
        <v>408</v>
      </c>
      <c r="B209" s="12" t="s">
        <v>305</v>
      </c>
      <c r="C209" s="27" t="s">
        <v>1467</v>
      </c>
      <c r="E209" s="2">
        <v>10</v>
      </c>
      <c r="F209" s="2">
        <v>1</v>
      </c>
    </row>
    <row r="210" spans="1:6">
      <c r="A210" s="20" t="s">
        <v>408</v>
      </c>
      <c r="B210" s="12" t="s">
        <v>306</v>
      </c>
      <c r="C210" s="27" t="s">
        <v>1468</v>
      </c>
      <c r="E210" s="2">
        <v>10</v>
      </c>
      <c r="F210" s="2">
        <v>1</v>
      </c>
    </row>
    <row r="211" spans="1:6">
      <c r="A211" s="20" t="s">
        <v>408</v>
      </c>
      <c r="B211" s="12" t="s">
        <v>307</v>
      </c>
      <c r="C211" s="27" t="s">
        <v>1469</v>
      </c>
      <c r="E211" s="2">
        <v>10</v>
      </c>
      <c r="F211" s="2">
        <v>1</v>
      </c>
    </row>
    <row r="212" spans="1:6">
      <c r="A212" s="20" t="s">
        <v>408</v>
      </c>
      <c r="B212" s="12" t="s">
        <v>310</v>
      </c>
      <c r="C212" s="27" t="s">
        <v>1470</v>
      </c>
      <c r="E212" s="2">
        <v>10</v>
      </c>
      <c r="F212" s="2">
        <v>1</v>
      </c>
    </row>
    <row r="213" spans="1:6">
      <c r="A213" s="20" t="s">
        <v>408</v>
      </c>
      <c r="B213" s="12" t="s">
        <v>311</v>
      </c>
      <c r="C213" s="27" t="s">
        <v>1468</v>
      </c>
      <c r="E213" s="2">
        <v>10</v>
      </c>
      <c r="F213" s="2">
        <v>1</v>
      </c>
    </row>
    <row r="214" spans="1:6">
      <c r="A214" s="20" t="s">
        <v>408</v>
      </c>
      <c r="B214" s="12" t="s">
        <v>312</v>
      </c>
      <c r="C214" s="27" t="s">
        <v>1468</v>
      </c>
      <c r="E214" s="2">
        <v>10</v>
      </c>
      <c r="F214" s="2">
        <v>1</v>
      </c>
    </row>
    <row r="215" spans="1:6">
      <c r="A215" s="20" t="s">
        <v>408</v>
      </c>
      <c r="B215" s="12" t="s">
        <v>313</v>
      </c>
      <c r="C215" s="27" t="s">
        <v>1471</v>
      </c>
      <c r="E215" s="2">
        <v>10</v>
      </c>
      <c r="F215" s="2">
        <v>1</v>
      </c>
    </row>
    <row r="216" spans="1:6">
      <c r="A216" s="20" t="s">
        <v>408</v>
      </c>
      <c r="B216" s="12" t="s">
        <v>317</v>
      </c>
      <c r="C216" s="27" t="s">
        <v>1472</v>
      </c>
      <c r="E216" s="2">
        <v>10</v>
      </c>
      <c r="F216" s="2">
        <v>1</v>
      </c>
    </row>
    <row r="217" spans="1:6">
      <c r="A217" s="20" t="s">
        <v>408</v>
      </c>
      <c r="B217" s="12" t="s">
        <v>318</v>
      </c>
      <c r="C217" s="27" t="s">
        <v>1460</v>
      </c>
      <c r="E217" s="2">
        <v>10</v>
      </c>
      <c r="F217" s="2">
        <v>1</v>
      </c>
    </row>
    <row r="218" spans="1:6">
      <c r="A218" s="20" t="s">
        <v>408</v>
      </c>
      <c r="B218" s="12" t="s">
        <v>319</v>
      </c>
      <c r="C218" s="27" t="s">
        <v>1473</v>
      </c>
      <c r="E218" s="2">
        <v>10</v>
      </c>
      <c r="F218" s="2">
        <v>1</v>
      </c>
    </row>
    <row r="219" spans="1:6">
      <c r="A219" s="20" t="s">
        <v>408</v>
      </c>
      <c r="B219" s="12" t="s">
        <v>320</v>
      </c>
      <c r="C219" s="27" t="s">
        <v>1468</v>
      </c>
      <c r="E219" s="2">
        <v>10</v>
      </c>
      <c r="F219" s="2">
        <v>1</v>
      </c>
    </row>
    <row r="220" spans="1:6">
      <c r="A220" s="20" t="s">
        <v>408</v>
      </c>
      <c r="B220" s="12" t="s">
        <v>322</v>
      </c>
      <c r="C220" s="27" t="s">
        <v>1474</v>
      </c>
      <c r="E220" s="2">
        <v>0</v>
      </c>
      <c r="F220" s="2">
        <v>1</v>
      </c>
    </row>
    <row r="221" spans="1:6">
      <c r="A221" s="20" t="s">
        <v>408</v>
      </c>
      <c r="B221" s="12" t="s">
        <v>325</v>
      </c>
      <c r="C221" s="27" t="s">
        <v>1475</v>
      </c>
      <c r="E221" s="2">
        <v>10</v>
      </c>
      <c r="F221" s="2">
        <v>1</v>
      </c>
    </row>
    <row r="222" spans="1:6">
      <c r="A222" s="20" t="s">
        <v>408</v>
      </c>
      <c r="B222" s="12" t="s">
        <v>326</v>
      </c>
      <c r="C222" s="27" t="s">
        <v>1468</v>
      </c>
      <c r="E222" s="2">
        <v>10</v>
      </c>
      <c r="F222" s="2">
        <v>1</v>
      </c>
    </row>
    <row r="223" spans="1:6">
      <c r="A223" s="20" t="s">
        <v>408</v>
      </c>
      <c r="B223" s="12" t="s">
        <v>327</v>
      </c>
      <c r="C223" s="27" t="s">
        <v>1468</v>
      </c>
      <c r="E223" s="2">
        <v>10</v>
      </c>
      <c r="F223" s="2">
        <v>1</v>
      </c>
    </row>
    <row r="224" spans="1:6">
      <c r="A224" s="20" t="s">
        <v>408</v>
      </c>
      <c r="B224" s="12" t="s">
        <v>329</v>
      </c>
      <c r="C224" s="27" t="s">
        <v>1469</v>
      </c>
      <c r="E224" s="2">
        <v>10</v>
      </c>
      <c r="F224" s="2">
        <v>1</v>
      </c>
    </row>
    <row r="225" spans="1:5">
      <c r="A225" s="14" t="s">
        <v>480</v>
      </c>
      <c r="B225" s="6" t="s">
        <v>290</v>
      </c>
      <c r="C225" s="21" t="s">
        <v>1476</v>
      </c>
      <c r="E225" s="2">
        <v>9</v>
      </c>
    </row>
    <row r="226" spans="1:5">
      <c r="A226" s="14" t="s">
        <v>480</v>
      </c>
      <c r="B226" s="6" t="s">
        <v>1322</v>
      </c>
      <c r="C226" s="21" t="s">
        <v>1477</v>
      </c>
      <c r="E226" s="2">
        <v>9</v>
      </c>
    </row>
    <row r="227" spans="1:5">
      <c r="A227" s="14" t="s">
        <v>480</v>
      </c>
      <c r="B227" s="6" t="s">
        <v>291</v>
      </c>
      <c r="C227" s="21" t="s">
        <v>1478</v>
      </c>
      <c r="E227" s="2">
        <v>9</v>
      </c>
    </row>
    <row r="228" spans="1:5">
      <c r="A228" s="14" t="s">
        <v>480</v>
      </c>
      <c r="B228" s="6" t="s">
        <v>292</v>
      </c>
      <c r="C228" s="21" t="s">
        <v>1479</v>
      </c>
      <c r="E228" s="2">
        <v>9</v>
      </c>
    </row>
    <row r="229" spans="1:5">
      <c r="A229" s="14" t="s">
        <v>480</v>
      </c>
      <c r="B229" s="6" t="s">
        <v>293</v>
      </c>
      <c r="C229" s="21" t="s">
        <v>1478</v>
      </c>
      <c r="E229" s="2">
        <v>9</v>
      </c>
    </row>
    <row r="230" spans="1:5">
      <c r="A230" s="14" t="s">
        <v>480</v>
      </c>
      <c r="B230" s="6" t="s">
        <v>295</v>
      </c>
      <c r="C230" s="21" t="s">
        <v>1480</v>
      </c>
      <c r="E230" s="2">
        <v>9</v>
      </c>
    </row>
    <row r="231" spans="1:5">
      <c r="A231" s="14" t="s">
        <v>480</v>
      </c>
      <c r="B231" s="6" t="s">
        <v>297</v>
      </c>
      <c r="C231" s="21" t="s">
        <v>1481</v>
      </c>
      <c r="E231" s="2">
        <v>9</v>
      </c>
    </row>
    <row r="232" spans="1:5">
      <c r="A232" s="14" t="s">
        <v>480</v>
      </c>
      <c r="B232" s="6" t="s">
        <v>298</v>
      </c>
      <c r="C232" s="21" t="s">
        <v>1482</v>
      </c>
      <c r="E232" s="2">
        <v>9</v>
      </c>
    </row>
    <row r="233" spans="1:5">
      <c r="A233" s="14" t="s">
        <v>480</v>
      </c>
      <c r="B233" s="6" t="s">
        <v>299</v>
      </c>
      <c r="C233" s="21" t="s">
        <v>1481</v>
      </c>
      <c r="E233" s="2">
        <v>9</v>
      </c>
    </row>
    <row r="234" spans="1:5">
      <c r="A234" s="14" t="s">
        <v>480</v>
      </c>
      <c r="B234" s="6" t="s">
        <v>300</v>
      </c>
      <c r="C234" s="21" t="s">
        <v>1480</v>
      </c>
      <c r="E234" s="2">
        <v>9</v>
      </c>
    </row>
    <row r="235" spans="1:5">
      <c r="A235" s="14" t="s">
        <v>480</v>
      </c>
      <c r="B235" s="6" t="s">
        <v>301</v>
      </c>
      <c r="C235" s="21" t="s">
        <v>1469</v>
      </c>
      <c r="E235" s="2">
        <v>9</v>
      </c>
    </row>
    <row r="236" spans="1:5">
      <c r="A236" s="14" t="s">
        <v>480</v>
      </c>
      <c r="B236" s="6" t="s">
        <v>302</v>
      </c>
      <c r="C236" s="21" t="s">
        <v>1483</v>
      </c>
      <c r="E236" s="2">
        <v>9</v>
      </c>
    </row>
    <row r="237" spans="1:5">
      <c r="A237" s="14" t="s">
        <v>480</v>
      </c>
      <c r="B237" s="6" t="s">
        <v>304</v>
      </c>
      <c r="C237" s="21" t="s">
        <v>1463</v>
      </c>
      <c r="E237" s="2">
        <v>9</v>
      </c>
    </row>
    <row r="238" spans="1:5">
      <c r="A238" s="14" t="s">
        <v>480</v>
      </c>
      <c r="B238" s="6" t="s">
        <v>305</v>
      </c>
      <c r="C238" s="21" t="s">
        <v>1484</v>
      </c>
      <c r="E238" s="2">
        <v>9</v>
      </c>
    </row>
    <row r="239" spans="1:5">
      <c r="A239" s="14" t="s">
        <v>480</v>
      </c>
      <c r="B239" s="6" t="s">
        <v>306</v>
      </c>
      <c r="C239" s="21" t="s">
        <v>1465</v>
      </c>
      <c r="E239" s="2">
        <v>9</v>
      </c>
    </row>
    <row r="240" spans="1:5">
      <c r="A240" s="14" t="s">
        <v>480</v>
      </c>
      <c r="B240" s="6" t="s">
        <v>307</v>
      </c>
      <c r="C240" s="21" t="s">
        <v>1485</v>
      </c>
      <c r="E240" s="2">
        <v>9</v>
      </c>
    </row>
    <row r="241" spans="1:5">
      <c r="A241" s="14" t="s">
        <v>480</v>
      </c>
      <c r="B241" s="6" t="s">
        <v>310</v>
      </c>
      <c r="C241" s="21" t="s">
        <v>1486</v>
      </c>
      <c r="E241" s="2">
        <v>9</v>
      </c>
    </row>
    <row r="242" spans="1:5">
      <c r="A242" s="14" t="s">
        <v>480</v>
      </c>
      <c r="B242" s="6" t="s">
        <v>311</v>
      </c>
      <c r="C242" s="21" t="s">
        <v>1465</v>
      </c>
      <c r="E242" s="2">
        <v>9</v>
      </c>
    </row>
    <row r="243" spans="1:5">
      <c r="A243" s="14" t="s">
        <v>480</v>
      </c>
      <c r="B243" s="6" t="s">
        <v>312</v>
      </c>
      <c r="C243" s="21" t="s">
        <v>1465</v>
      </c>
      <c r="E243" s="2">
        <v>9</v>
      </c>
    </row>
    <row r="244" spans="1:5">
      <c r="A244" s="14" t="s">
        <v>480</v>
      </c>
      <c r="B244" s="6" t="s">
        <v>313</v>
      </c>
      <c r="C244" s="21" t="s">
        <v>1487</v>
      </c>
      <c r="E244" s="2">
        <v>9</v>
      </c>
    </row>
    <row r="245" spans="1:5">
      <c r="A245" s="14" t="s">
        <v>480</v>
      </c>
      <c r="B245" s="6" t="s">
        <v>317</v>
      </c>
      <c r="C245" s="21" t="s">
        <v>1488</v>
      </c>
      <c r="E245" s="2">
        <v>9</v>
      </c>
    </row>
    <row r="246" spans="1:5">
      <c r="A246" s="14" t="s">
        <v>480</v>
      </c>
      <c r="B246" s="6" t="s">
        <v>318</v>
      </c>
      <c r="C246" s="21" t="s">
        <v>1489</v>
      </c>
      <c r="E246" s="2">
        <v>9</v>
      </c>
    </row>
    <row r="247" spans="1:5">
      <c r="A247" s="14" t="s">
        <v>480</v>
      </c>
      <c r="B247" s="6" t="s">
        <v>319</v>
      </c>
      <c r="C247" s="21" t="s">
        <v>1467</v>
      </c>
      <c r="E247" s="2">
        <v>9</v>
      </c>
    </row>
    <row r="248" spans="1:5">
      <c r="A248" s="14" t="s">
        <v>480</v>
      </c>
      <c r="B248" s="6" t="s">
        <v>320</v>
      </c>
      <c r="C248" s="21" t="s">
        <v>1465</v>
      </c>
      <c r="E248" s="2">
        <v>9</v>
      </c>
    </row>
    <row r="249" spans="1:5">
      <c r="A249" s="14" t="s">
        <v>480</v>
      </c>
      <c r="B249" s="6" t="s">
        <v>322</v>
      </c>
      <c r="C249" s="21" t="s">
        <v>1490</v>
      </c>
      <c r="E249" s="2">
        <v>9</v>
      </c>
    </row>
    <row r="250" spans="1:5">
      <c r="A250" s="14" t="s">
        <v>480</v>
      </c>
      <c r="B250" s="6" t="s">
        <v>325</v>
      </c>
      <c r="C250" s="21" t="s">
        <v>1466</v>
      </c>
      <c r="E250" s="2">
        <v>9</v>
      </c>
    </row>
    <row r="251" spans="1:5">
      <c r="A251" s="14" t="s">
        <v>480</v>
      </c>
      <c r="B251" s="6" t="s">
        <v>326</v>
      </c>
      <c r="C251" s="21" t="s">
        <v>1465</v>
      </c>
      <c r="E251" s="2">
        <v>9</v>
      </c>
    </row>
    <row r="252" spans="1:5">
      <c r="A252" s="14" t="s">
        <v>480</v>
      </c>
      <c r="B252" s="6" t="s">
        <v>327</v>
      </c>
      <c r="C252" s="21" t="s">
        <v>1465</v>
      </c>
      <c r="E252" s="2">
        <v>9</v>
      </c>
    </row>
    <row r="253" spans="1:5">
      <c r="A253" s="14" t="s">
        <v>480</v>
      </c>
      <c r="B253" s="6" t="s">
        <v>329</v>
      </c>
      <c r="C253" s="21" t="s">
        <v>1491</v>
      </c>
      <c r="E253" s="2">
        <v>9</v>
      </c>
    </row>
    <row r="254" spans="1:5">
      <c r="A254" s="15" t="s">
        <v>491</v>
      </c>
      <c r="B254" s="7" t="s">
        <v>290</v>
      </c>
      <c r="C254" s="22" t="s">
        <v>1492</v>
      </c>
      <c r="D254" t="s">
        <v>1493</v>
      </c>
      <c r="E254" s="2">
        <v>1</v>
      </c>
    </row>
    <row r="255" spans="1:5">
      <c r="A255" s="15" t="s">
        <v>491</v>
      </c>
      <c r="B255" s="7" t="s">
        <v>1322</v>
      </c>
      <c r="C255" s="22" t="s">
        <v>1494</v>
      </c>
      <c r="E255" s="2">
        <v>1</v>
      </c>
    </row>
    <row r="256" spans="1:5">
      <c r="A256" s="15" t="s">
        <v>491</v>
      </c>
      <c r="B256" s="7" t="s">
        <v>291</v>
      </c>
      <c r="C256" s="22" t="s">
        <v>1495</v>
      </c>
      <c r="E256" s="2">
        <v>1</v>
      </c>
    </row>
    <row r="257" spans="1:5">
      <c r="A257" s="15" t="s">
        <v>491</v>
      </c>
      <c r="B257" s="7" t="s">
        <v>292</v>
      </c>
      <c r="C257" s="22" t="s">
        <v>1496</v>
      </c>
      <c r="E257" s="2">
        <v>1</v>
      </c>
    </row>
    <row r="258" spans="1:5">
      <c r="A258" s="15" t="s">
        <v>491</v>
      </c>
      <c r="B258" s="7" t="s">
        <v>293</v>
      </c>
      <c r="C258" s="22" t="s">
        <v>1495</v>
      </c>
      <c r="E258" s="2">
        <v>1</v>
      </c>
    </row>
    <row r="259" spans="1:5">
      <c r="A259" s="15" t="s">
        <v>491</v>
      </c>
      <c r="B259" s="7" t="s">
        <v>294</v>
      </c>
      <c r="C259" s="22" t="s">
        <v>1497</v>
      </c>
      <c r="E259" s="2">
        <v>1</v>
      </c>
    </row>
    <row r="260" spans="1:5">
      <c r="A260" s="15" t="s">
        <v>491</v>
      </c>
      <c r="B260" s="7" t="s">
        <v>295</v>
      </c>
      <c r="C260" s="22" t="s">
        <v>1498</v>
      </c>
      <c r="E260" s="2">
        <v>1</v>
      </c>
    </row>
    <row r="261" spans="1:5">
      <c r="A261" s="15" t="s">
        <v>491</v>
      </c>
      <c r="B261" s="7" t="s">
        <v>296</v>
      </c>
      <c r="C261" s="22" t="s">
        <v>1497</v>
      </c>
      <c r="E261" s="2">
        <v>1</v>
      </c>
    </row>
    <row r="262" spans="1:5">
      <c r="A262" s="15" t="s">
        <v>491</v>
      </c>
      <c r="B262" s="7" t="s">
        <v>297</v>
      </c>
      <c r="C262" s="22" t="s">
        <v>1499</v>
      </c>
      <c r="E262" s="2">
        <v>1</v>
      </c>
    </row>
    <row r="263" spans="1:5">
      <c r="A263" s="15" t="s">
        <v>491</v>
      </c>
      <c r="B263" s="7" t="s">
        <v>298</v>
      </c>
      <c r="C263" s="22" t="s">
        <v>1500</v>
      </c>
      <c r="E263" s="2">
        <v>1</v>
      </c>
    </row>
    <row r="264" spans="1:5">
      <c r="A264" s="15" t="s">
        <v>491</v>
      </c>
      <c r="B264" s="7" t="s">
        <v>299</v>
      </c>
      <c r="C264" s="22" t="s">
        <v>1501</v>
      </c>
      <c r="E264" s="2">
        <v>1</v>
      </c>
    </row>
    <row r="265" spans="1:5">
      <c r="A265" s="15" t="s">
        <v>491</v>
      </c>
      <c r="B265" s="7" t="s">
        <v>300</v>
      </c>
      <c r="C265" s="22" t="s">
        <v>1498</v>
      </c>
      <c r="E265" s="2">
        <v>1</v>
      </c>
    </row>
    <row r="266" spans="1:5">
      <c r="A266" s="15" t="s">
        <v>491</v>
      </c>
      <c r="B266" s="7" t="s">
        <v>301</v>
      </c>
      <c r="C266" s="22" t="s">
        <v>1502</v>
      </c>
      <c r="E266" s="2">
        <v>1</v>
      </c>
    </row>
    <row r="267" spans="1:5">
      <c r="A267" s="15" t="s">
        <v>491</v>
      </c>
      <c r="B267" s="7" t="s">
        <v>302</v>
      </c>
      <c r="C267" s="22" t="s">
        <v>1503</v>
      </c>
      <c r="E267" s="2">
        <v>1</v>
      </c>
    </row>
    <row r="268" spans="1:5">
      <c r="A268" s="15" t="s">
        <v>491</v>
      </c>
      <c r="B268" s="7" t="s">
        <v>304</v>
      </c>
      <c r="C268" s="22" t="s">
        <v>1504</v>
      </c>
      <c r="E268" s="2">
        <v>1</v>
      </c>
    </row>
    <row r="269" spans="1:5">
      <c r="A269" s="15" t="s">
        <v>491</v>
      </c>
      <c r="B269" s="7" t="s">
        <v>305</v>
      </c>
      <c r="C269" s="22" t="s">
        <v>1503</v>
      </c>
      <c r="E269" s="2">
        <v>1</v>
      </c>
    </row>
    <row r="270" spans="1:5">
      <c r="A270" s="15" t="s">
        <v>491</v>
      </c>
      <c r="B270" s="7" t="s">
        <v>306</v>
      </c>
      <c r="C270" s="22" t="s">
        <v>1497</v>
      </c>
      <c r="E270" s="2">
        <v>1</v>
      </c>
    </row>
    <row r="271" spans="1:5">
      <c r="A271" s="15" t="s">
        <v>491</v>
      </c>
      <c r="B271" s="7" t="s">
        <v>307</v>
      </c>
      <c r="C271" s="22" t="s">
        <v>1498</v>
      </c>
      <c r="E271" s="2">
        <v>1</v>
      </c>
    </row>
    <row r="272" spans="1:5">
      <c r="A272" s="15" t="s">
        <v>491</v>
      </c>
      <c r="B272" s="7" t="s">
        <v>310</v>
      </c>
      <c r="C272" s="22" t="s">
        <v>1505</v>
      </c>
      <c r="E272" s="2">
        <v>1</v>
      </c>
    </row>
    <row r="273" spans="1:5">
      <c r="A273" s="15" t="s">
        <v>491</v>
      </c>
      <c r="B273" s="7" t="s">
        <v>311</v>
      </c>
      <c r="C273" s="22" t="s">
        <v>1497</v>
      </c>
      <c r="E273" s="2">
        <v>1</v>
      </c>
    </row>
    <row r="274" spans="1:5">
      <c r="A274" s="15" t="s">
        <v>491</v>
      </c>
      <c r="B274" s="7" t="s">
        <v>312</v>
      </c>
      <c r="C274" s="22" t="s">
        <v>1497</v>
      </c>
      <c r="E274" s="2">
        <v>1</v>
      </c>
    </row>
    <row r="275" spans="1:5">
      <c r="A275" s="15" t="s">
        <v>491</v>
      </c>
      <c r="B275" s="7" t="s">
        <v>313</v>
      </c>
      <c r="C275" s="22" t="s">
        <v>1506</v>
      </c>
      <c r="E275" s="2">
        <v>1</v>
      </c>
    </row>
    <row r="276" spans="1:5">
      <c r="A276" s="15" t="s">
        <v>491</v>
      </c>
      <c r="B276" s="7" t="s">
        <v>317</v>
      </c>
      <c r="C276" s="22" t="s">
        <v>1507</v>
      </c>
      <c r="E276" s="2">
        <v>1</v>
      </c>
    </row>
    <row r="277" spans="1:5">
      <c r="A277" s="15" t="s">
        <v>491</v>
      </c>
      <c r="B277" s="7" t="s">
        <v>318</v>
      </c>
      <c r="C277" s="22" t="s">
        <v>1503</v>
      </c>
      <c r="E277" s="2">
        <v>1</v>
      </c>
    </row>
    <row r="278" spans="1:5">
      <c r="A278" s="15" t="s">
        <v>491</v>
      </c>
      <c r="B278" s="7" t="s">
        <v>319</v>
      </c>
      <c r="C278" s="22" t="s">
        <v>1508</v>
      </c>
      <c r="E278" s="2">
        <v>1</v>
      </c>
    </row>
    <row r="279" spans="1:5">
      <c r="A279" s="15" t="s">
        <v>491</v>
      </c>
      <c r="B279" s="7" t="s">
        <v>320</v>
      </c>
      <c r="C279" s="22" t="s">
        <v>1497</v>
      </c>
      <c r="E279" s="2">
        <v>1</v>
      </c>
    </row>
    <row r="280" spans="1:5">
      <c r="A280" s="15" t="s">
        <v>491</v>
      </c>
      <c r="B280" s="7" t="s">
        <v>322</v>
      </c>
      <c r="C280" s="22" t="s">
        <v>1497</v>
      </c>
      <c r="E280" s="2">
        <v>1</v>
      </c>
    </row>
    <row r="281" spans="1:5">
      <c r="A281" s="15" t="s">
        <v>491</v>
      </c>
      <c r="B281" s="7" t="s">
        <v>324</v>
      </c>
      <c r="C281" s="22" t="s">
        <v>1497</v>
      </c>
      <c r="E281" s="2">
        <v>1</v>
      </c>
    </row>
    <row r="282" spans="1:5">
      <c r="A282" s="15" t="s">
        <v>491</v>
      </c>
      <c r="B282" s="7" t="s">
        <v>325</v>
      </c>
      <c r="C282" s="22" t="s">
        <v>1497</v>
      </c>
      <c r="E282" s="2">
        <v>1</v>
      </c>
    </row>
    <row r="283" spans="1:5">
      <c r="A283" s="15" t="s">
        <v>491</v>
      </c>
      <c r="B283" s="7" t="s">
        <v>326</v>
      </c>
      <c r="C283" s="22" t="s">
        <v>1497</v>
      </c>
      <c r="E283" s="2">
        <v>1</v>
      </c>
    </row>
    <row r="284" spans="1:5">
      <c r="A284" s="15" t="s">
        <v>491</v>
      </c>
      <c r="B284" s="7" t="s">
        <v>327</v>
      </c>
      <c r="C284" s="22" t="s">
        <v>1497</v>
      </c>
      <c r="E284" s="2">
        <v>1</v>
      </c>
    </row>
    <row r="285" spans="1:5">
      <c r="A285" s="15" t="s">
        <v>491</v>
      </c>
      <c r="B285" s="7" t="s">
        <v>329</v>
      </c>
      <c r="C285" s="22" t="s">
        <v>1498</v>
      </c>
      <c r="E285" s="2">
        <v>1</v>
      </c>
    </row>
    <row r="286" spans="1:5">
      <c r="A286" s="16" t="s">
        <v>372</v>
      </c>
      <c r="B286" s="8" t="s">
        <v>290</v>
      </c>
      <c r="C286" s="23" t="s">
        <v>1420</v>
      </c>
      <c r="E286" s="2">
        <v>8</v>
      </c>
    </row>
    <row r="287" spans="1:5">
      <c r="A287" s="16" t="s">
        <v>372</v>
      </c>
      <c r="B287" s="8" t="s">
        <v>1322</v>
      </c>
      <c r="C287" s="23" t="s">
        <v>1509</v>
      </c>
      <c r="E287" s="2">
        <v>8</v>
      </c>
    </row>
    <row r="288" spans="1:5">
      <c r="A288" s="16" t="s">
        <v>372</v>
      </c>
      <c r="B288" s="8" t="s">
        <v>1322</v>
      </c>
      <c r="C288" s="23" t="s">
        <v>1510</v>
      </c>
      <c r="E288" s="2">
        <v>8</v>
      </c>
    </row>
    <row r="289" spans="1:5">
      <c r="A289" s="16" t="s">
        <v>372</v>
      </c>
      <c r="B289" s="8" t="s">
        <v>291</v>
      </c>
      <c r="C289" s="23" t="s">
        <v>1511</v>
      </c>
      <c r="E289" s="2">
        <v>8</v>
      </c>
    </row>
    <row r="290" spans="1:5">
      <c r="A290" s="16" t="s">
        <v>372</v>
      </c>
      <c r="B290" s="8" t="s">
        <v>292</v>
      </c>
      <c r="C290" s="23" t="s">
        <v>1511</v>
      </c>
      <c r="E290" s="2">
        <v>8</v>
      </c>
    </row>
    <row r="291" spans="1:5">
      <c r="A291" s="16" t="s">
        <v>372</v>
      </c>
      <c r="B291" s="8" t="s">
        <v>293</v>
      </c>
      <c r="C291" s="23" t="s">
        <v>1511</v>
      </c>
      <c r="E291" s="2">
        <v>8</v>
      </c>
    </row>
    <row r="292" spans="1:5">
      <c r="A292" s="16" t="s">
        <v>372</v>
      </c>
      <c r="B292" s="8" t="s">
        <v>295</v>
      </c>
      <c r="C292" s="23" t="s">
        <v>1420</v>
      </c>
      <c r="E292" s="2">
        <v>8</v>
      </c>
    </row>
    <row r="293" spans="1:5">
      <c r="A293" s="16" t="s">
        <v>372</v>
      </c>
      <c r="B293" s="8" t="s">
        <v>297</v>
      </c>
      <c r="C293" s="23" t="s">
        <v>1511</v>
      </c>
      <c r="E293" s="2">
        <v>8</v>
      </c>
    </row>
    <row r="294" spans="1:5">
      <c r="A294" s="16" t="s">
        <v>372</v>
      </c>
      <c r="B294" s="8" t="s">
        <v>298</v>
      </c>
      <c r="C294" s="23" t="s">
        <v>1420</v>
      </c>
      <c r="E294" s="2">
        <v>8</v>
      </c>
    </row>
    <row r="295" spans="1:5">
      <c r="A295" s="16" t="s">
        <v>372</v>
      </c>
      <c r="B295" s="8" t="s">
        <v>299</v>
      </c>
      <c r="C295" s="23" t="s">
        <v>1511</v>
      </c>
      <c r="E295" s="2">
        <v>8</v>
      </c>
    </row>
    <row r="296" spans="1:5">
      <c r="A296" s="16" t="s">
        <v>372</v>
      </c>
      <c r="B296" s="8" t="s">
        <v>300</v>
      </c>
      <c r="C296" s="23" t="s">
        <v>1420</v>
      </c>
      <c r="E296" s="2">
        <v>8</v>
      </c>
    </row>
    <row r="297" spans="1:5">
      <c r="A297" s="16" t="s">
        <v>372</v>
      </c>
      <c r="B297" s="8" t="s">
        <v>301</v>
      </c>
      <c r="C297" s="23" t="s">
        <v>1510</v>
      </c>
      <c r="E297" s="2">
        <v>8</v>
      </c>
    </row>
    <row r="298" spans="1:5">
      <c r="A298" s="16" t="s">
        <v>372</v>
      </c>
      <c r="B298" s="8" t="s">
        <v>302</v>
      </c>
      <c r="C298" s="23" t="s">
        <v>1510</v>
      </c>
      <c r="E298" s="2">
        <v>8</v>
      </c>
    </row>
    <row r="299" spans="1:5">
      <c r="A299" s="16" t="s">
        <v>372</v>
      </c>
      <c r="B299" s="8" t="s">
        <v>304</v>
      </c>
      <c r="C299" s="23" t="s">
        <v>1510</v>
      </c>
      <c r="E299" s="2">
        <v>8</v>
      </c>
    </row>
    <row r="300" spans="1:5">
      <c r="A300" s="16" t="s">
        <v>372</v>
      </c>
      <c r="B300" s="8" t="s">
        <v>305</v>
      </c>
      <c r="C300" s="23" t="s">
        <v>1511</v>
      </c>
      <c r="E300" s="2">
        <v>8</v>
      </c>
    </row>
    <row r="301" spans="1:5">
      <c r="A301" s="16" t="s">
        <v>372</v>
      </c>
      <c r="B301" s="8" t="s">
        <v>306</v>
      </c>
      <c r="C301" s="23" t="s">
        <v>1511</v>
      </c>
      <c r="E301" s="2">
        <v>8</v>
      </c>
    </row>
    <row r="302" spans="1:5">
      <c r="A302" s="16" t="s">
        <v>372</v>
      </c>
      <c r="B302" s="8" t="s">
        <v>307</v>
      </c>
      <c r="C302" s="23" t="s">
        <v>1511</v>
      </c>
      <c r="E302" s="2">
        <v>8</v>
      </c>
    </row>
    <row r="303" spans="1:5">
      <c r="A303" s="16" t="s">
        <v>372</v>
      </c>
      <c r="B303" s="8" t="s">
        <v>310</v>
      </c>
      <c r="C303" s="23" t="s">
        <v>1510</v>
      </c>
      <c r="E303" s="2">
        <v>8</v>
      </c>
    </row>
    <row r="304" spans="1:5">
      <c r="A304" s="16" t="s">
        <v>372</v>
      </c>
      <c r="B304" s="8" t="s">
        <v>311</v>
      </c>
      <c r="C304" s="23" t="s">
        <v>1511</v>
      </c>
      <c r="E304" s="2">
        <v>8</v>
      </c>
    </row>
    <row r="305" spans="1:8">
      <c r="A305" s="16" t="s">
        <v>372</v>
      </c>
      <c r="B305" s="8" t="s">
        <v>312</v>
      </c>
      <c r="C305" s="23" t="s">
        <v>1511</v>
      </c>
      <c r="E305" s="2">
        <v>8</v>
      </c>
    </row>
    <row r="306" spans="1:8">
      <c r="A306" s="16" t="s">
        <v>372</v>
      </c>
      <c r="B306" s="8" t="s">
        <v>313</v>
      </c>
      <c r="C306" s="23" t="s">
        <v>1510</v>
      </c>
      <c r="E306" s="2">
        <v>8</v>
      </c>
    </row>
    <row r="307" spans="1:8">
      <c r="A307" s="16" t="s">
        <v>372</v>
      </c>
      <c r="B307" s="8" t="s">
        <v>317</v>
      </c>
      <c r="C307" s="23" t="s">
        <v>1510</v>
      </c>
      <c r="E307" s="2">
        <v>8</v>
      </c>
    </row>
    <row r="308" spans="1:8">
      <c r="A308" s="16" t="s">
        <v>372</v>
      </c>
      <c r="B308" s="8" t="s">
        <v>318</v>
      </c>
      <c r="C308" s="23" t="s">
        <v>1510</v>
      </c>
      <c r="E308" s="2">
        <v>8</v>
      </c>
    </row>
    <row r="309" spans="1:8">
      <c r="A309" s="16" t="s">
        <v>372</v>
      </c>
      <c r="B309" s="8" t="s">
        <v>319</v>
      </c>
      <c r="C309" s="23" t="s">
        <v>1511</v>
      </c>
      <c r="E309" s="2">
        <v>8</v>
      </c>
    </row>
    <row r="310" spans="1:8">
      <c r="A310" s="16" t="s">
        <v>372</v>
      </c>
      <c r="B310" s="8" t="s">
        <v>320</v>
      </c>
      <c r="C310" s="23" t="s">
        <v>1510</v>
      </c>
      <c r="E310" s="2">
        <v>8</v>
      </c>
    </row>
    <row r="311" spans="1:8">
      <c r="A311" s="16" t="s">
        <v>372</v>
      </c>
      <c r="B311" s="8" t="s">
        <v>322</v>
      </c>
      <c r="C311" s="23" t="s">
        <v>1512</v>
      </c>
      <c r="E311" s="2">
        <v>8</v>
      </c>
    </row>
    <row r="312" spans="1:8">
      <c r="A312" s="16" t="s">
        <v>372</v>
      </c>
      <c r="B312" s="8" t="s">
        <v>325</v>
      </c>
      <c r="C312" s="23" t="s">
        <v>1510</v>
      </c>
      <c r="E312" s="2">
        <v>8</v>
      </c>
    </row>
    <row r="313" spans="1:8">
      <c r="A313" s="16" t="s">
        <v>372</v>
      </c>
      <c r="B313" s="8" t="s">
        <v>326</v>
      </c>
      <c r="C313" s="23" t="s">
        <v>1510</v>
      </c>
      <c r="E313" s="2">
        <v>8</v>
      </c>
    </row>
    <row r="314" spans="1:8">
      <c r="A314" s="16" t="s">
        <v>372</v>
      </c>
      <c r="B314" s="8" t="s">
        <v>327</v>
      </c>
      <c r="C314" s="23" t="s">
        <v>1511</v>
      </c>
      <c r="E314" s="2">
        <v>8</v>
      </c>
    </row>
    <row r="315" spans="1:8">
      <c r="A315" s="31" t="s">
        <v>372</v>
      </c>
      <c r="B315" s="32" t="s">
        <v>329</v>
      </c>
      <c r="C315" s="33" t="s">
        <v>1511</v>
      </c>
      <c r="E315" s="2">
        <v>8</v>
      </c>
      <c r="G315" s="53"/>
      <c r="H315" s="50"/>
    </row>
    <row r="316" spans="1:8">
      <c r="A316" s="31" t="s">
        <v>368</v>
      </c>
      <c r="B316" s="32" t="s">
        <v>311</v>
      </c>
      <c r="C316" s="33" t="s">
        <v>1513</v>
      </c>
      <c r="D316" s="50"/>
      <c r="E316" s="50">
        <v>8</v>
      </c>
      <c r="F316" s="50"/>
      <c r="G316" s="53"/>
      <c r="H316" s="50"/>
    </row>
    <row r="317" spans="1:8">
      <c r="A317" s="31" t="s">
        <v>368</v>
      </c>
      <c r="B317" s="32" t="s">
        <v>311</v>
      </c>
      <c r="C317" s="33" t="s">
        <v>1514</v>
      </c>
      <c r="D317" s="50"/>
      <c r="E317" s="50">
        <v>1</v>
      </c>
      <c r="F317" s="50"/>
      <c r="G317" s="53"/>
      <c r="H317" s="50"/>
    </row>
    <row r="318" spans="1:8">
      <c r="A318" s="31" t="s">
        <v>363</v>
      </c>
      <c r="B318" s="32" t="s">
        <v>311</v>
      </c>
      <c r="C318" s="33" t="s">
        <v>1515</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election activeCell="I19" sqref="I19"/>
    </sheetView>
    <sheetView workbookViewId="1"/>
  </sheetViews>
  <sheetFormatPr baseColWidth="10" defaultColWidth="8.83203125" defaultRowHeight="15"/>
  <cols>
    <col min="2" max="2" width="65.5" bestFit="1" customWidth="1"/>
  </cols>
  <sheetData>
    <row r="1" spans="1:2">
      <c r="A1">
        <v>1</v>
      </c>
      <c r="B1" t="s">
        <v>1518</v>
      </c>
    </row>
    <row r="2" spans="1:2">
      <c r="B2" t="s">
        <v>1519</v>
      </c>
    </row>
    <row r="3" spans="1:2">
      <c r="A3">
        <v>2</v>
      </c>
      <c r="B3" t="s">
        <v>1520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dimension ref="A1:T81"/>
  <sheetViews>
    <sheetView topLeftCell="A31" workbookViewId="0">
      <selection activeCell="E11" sqref="E11"/>
    </sheetView>
    <sheetView tabSelected="1" workbookViewId="1">
      <pane ySplit="1" topLeftCell="A9" activePane="bottomLeft" state="frozen"/>
      <selection pane="bottomLeft" activeCell="I10" sqref="I10"/>
    </sheetView>
  </sheetViews>
  <sheetFormatPr baseColWidth="10" defaultColWidth="8.83203125" defaultRowHeight="15"/>
  <cols>
    <col min="2" max="2" width="17.5" style="38" customWidth="1"/>
    <col min="3" max="3" width="20.5" style="38" customWidth="1"/>
    <col min="4" max="5" width="50.1640625" style="38" customWidth="1"/>
    <col min="6" max="6" width="53.1640625" style="226" customWidth="1"/>
    <col min="7" max="7" width="30.6640625" style="38" customWidth="1"/>
    <col min="8" max="8" width="30.6640625" style="226" customWidth="1"/>
    <col min="9" max="9" width="20.5" style="38" customWidth="1"/>
    <col min="10" max="10" width="12.33203125" style="38" bestFit="1" customWidth="1"/>
    <col min="11" max="11" width="31" style="38" customWidth="1"/>
    <col min="12" max="12" width="27.33203125" style="38" customWidth="1"/>
    <col min="13" max="13" width="25" style="38" customWidth="1"/>
    <col min="14" max="14" width="46.5" style="38" customWidth="1"/>
    <col min="15" max="15" width="25.1640625" customWidth="1"/>
    <col min="20" max="20" width="43.5" customWidth="1"/>
  </cols>
  <sheetData>
    <row r="1" spans="1:20" ht="32">
      <c r="A1" t="s">
        <v>141</v>
      </c>
      <c r="B1" s="38" t="s">
        <v>56</v>
      </c>
      <c r="C1" s="38" t="s">
        <v>1521</v>
      </c>
      <c r="D1" s="38" t="s">
        <v>1522</v>
      </c>
      <c r="E1" s="38" t="s">
        <v>1523</v>
      </c>
      <c r="F1" s="226" t="s">
        <v>1524</v>
      </c>
      <c r="G1" s="38" t="s">
        <v>1525</v>
      </c>
      <c r="H1" s="226" t="s">
        <v>60</v>
      </c>
      <c r="I1" s="38" t="s">
        <v>1526</v>
      </c>
      <c r="J1" s="38" t="s">
        <v>1527</v>
      </c>
      <c r="K1" s="38" t="s">
        <v>1528</v>
      </c>
      <c r="L1" s="38" t="s">
        <v>1529</v>
      </c>
      <c r="M1" s="38" t="s">
        <v>1530</v>
      </c>
      <c r="N1" s="38" t="s">
        <v>1708</v>
      </c>
      <c r="O1" s="171" t="s">
        <v>244</v>
      </c>
      <c r="P1" s="38" t="s">
        <v>245</v>
      </c>
      <c r="Q1" s="38" t="s">
        <v>1716</v>
      </c>
      <c r="R1" s="38" t="s">
        <v>246</v>
      </c>
      <c r="S1" s="38" t="s">
        <v>247</v>
      </c>
      <c r="T1" s="38" t="s">
        <v>28</v>
      </c>
    </row>
    <row r="2" spans="1:20" ht="255" customHeight="1">
      <c r="A2">
        <v>1</v>
      </c>
      <c r="B2" s="125">
        <v>4</v>
      </c>
      <c r="C2" s="38" t="s">
        <v>1539</v>
      </c>
      <c r="D2" s="38" t="str">
        <f>'Final_List-Alerts'!A3</f>
        <v>ALPHA ASN ERROR</v>
      </c>
      <c r="E2" s="38" t="s">
        <v>1630</v>
      </c>
      <c r="F2" s="226" t="s">
        <v>229</v>
      </c>
      <c r="G2" s="38" t="s">
        <v>73</v>
      </c>
      <c r="H2" s="226" t="s">
        <v>1563</v>
      </c>
      <c r="I2" s="38" t="s">
        <v>1629</v>
      </c>
      <c r="J2" s="38" t="s">
        <v>1551</v>
      </c>
      <c r="K2" s="38" t="s">
        <v>1516</v>
      </c>
      <c r="L2" s="38" t="s">
        <v>1632</v>
      </c>
      <c r="M2" s="38" t="s">
        <v>1631</v>
      </c>
      <c r="O2" s="196"/>
      <c r="P2" s="196"/>
      <c r="Q2" s="196"/>
      <c r="R2" s="196">
        <v>1</v>
      </c>
      <c r="T2" s="200" t="s">
        <v>1633</v>
      </c>
    </row>
    <row r="3" spans="1:20" ht="133.25" customHeight="1">
      <c r="B3" s="125">
        <v>5</v>
      </c>
      <c r="C3" s="38" t="s">
        <v>1539</v>
      </c>
      <c r="D3" s="38" t="str">
        <f>'Final_List-Alerts'!A4</f>
        <v>ALPHA OPEN ADJUSTMENTS &gt; 35DAYS</v>
      </c>
      <c r="E3" s="38" t="s">
        <v>1635</v>
      </c>
      <c r="F3" s="226" t="s">
        <v>1565</v>
      </c>
      <c r="G3" s="38" t="s">
        <v>1174</v>
      </c>
      <c r="H3" s="226" t="s">
        <v>1563</v>
      </c>
      <c r="I3" s="38" t="s">
        <v>1634</v>
      </c>
      <c r="J3" s="38" t="s">
        <v>1551</v>
      </c>
      <c r="K3" s="38" t="s">
        <v>1516</v>
      </c>
      <c r="L3" s="38" t="s">
        <v>1636</v>
      </c>
      <c r="M3" s="38" t="s">
        <v>1637</v>
      </c>
      <c r="O3" s="196"/>
      <c r="P3" s="196"/>
      <c r="Q3" s="196"/>
      <c r="R3" s="196">
        <v>1</v>
      </c>
      <c r="T3" s="38"/>
    </row>
    <row r="4" spans="1:20" ht="335">
      <c r="B4" s="125">
        <v>6</v>
      </c>
      <c r="C4" s="38" t="s">
        <v>1539</v>
      </c>
      <c r="D4" s="38" t="str">
        <f>'Final_List-Alerts'!A5</f>
        <v>ALPHA OPEN/ERROR ASN</v>
      </c>
      <c r="E4" s="38" t="s">
        <v>1639</v>
      </c>
      <c r="F4" s="226" t="s">
        <v>1565</v>
      </c>
      <c r="G4" s="38" t="s">
        <v>1174</v>
      </c>
      <c r="H4" s="226" t="s">
        <v>1563</v>
      </c>
      <c r="I4" s="38" t="s">
        <v>1640</v>
      </c>
      <c r="J4" s="38" t="s">
        <v>1551</v>
      </c>
      <c r="K4" s="38" t="s">
        <v>1516</v>
      </c>
      <c r="L4" s="38" t="s">
        <v>1536</v>
      </c>
      <c r="M4" s="38" t="s">
        <v>1642</v>
      </c>
      <c r="O4" s="196"/>
      <c r="P4" s="196"/>
      <c r="Q4" s="196"/>
      <c r="R4" s="196">
        <v>1</v>
      </c>
      <c r="T4" s="38" t="s">
        <v>1643</v>
      </c>
    </row>
    <row r="5" spans="1:20" ht="409.6">
      <c r="B5" s="125">
        <v>7</v>
      </c>
      <c r="C5" s="38" t="s">
        <v>1539</v>
      </c>
      <c r="D5" s="38" t="str">
        <f>'Final_List-Alerts'!A6</f>
        <v>ALPHA OPEN RETURNS</v>
      </c>
      <c r="E5" s="38" t="s">
        <v>1647</v>
      </c>
      <c r="F5" s="226" t="s">
        <v>1565</v>
      </c>
      <c r="G5" s="38" t="s">
        <v>1174</v>
      </c>
      <c r="H5" s="226" t="s">
        <v>1563</v>
      </c>
      <c r="I5" s="38" t="s">
        <v>1644</v>
      </c>
      <c r="J5" s="38" t="s">
        <v>1551</v>
      </c>
      <c r="K5" s="38" t="s">
        <v>1516</v>
      </c>
      <c r="L5" s="38" t="s">
        <v>1646</v>
      </c>
      <c r="M5" s="38" t="s">
        <v>1645</v>
      </c>
      <c r="O5" s="196"/>
      <c r="P5" s="196"/>
      <c r="Q5" s="196"/>
      <c r="R5" s="196">
        <v>1</v>
      </c>
      <c r="T5" s="38"/>
    </row>
    <row r="6" spans="1:20" ht="409.6">
      <c r="B6" s="125">
        <v>8</v>
      </c>
      <c r="C6" s="38" t="s">
        <v>1539</v>
      </c>
      <c r="D6" s="38" t="str">
        <f>'Final_List-Alerts'!A7</f>
        <v>ASN S WITH NO ASN LEVEL VERIFICATION &gt; 5DAYS</v>
      </c>
      <c r="E6" s="38" t="s">
        <v>1651</v>
      </c>
      <c r="F6" s="226" t="s">
        <v>1565</v>
      </c>
      <c r="G6" s="38" t="s">
        <v>1174</v>
      </c>
      <c r="H6" s="226" t="s">
        <v>1563</v>
      </c>
      <c r="I6" s="38" t="s">
        <v>1648</v>
      </c>
      <c r="J6" s="38" t="s">
        <v>1551</v>
      </c>
      <c r="K6" s="38" t="s">
        <v>1516</v>
      </c>
      <c r="L6" s="38" t="s">
        <v>1649</v>
      </c>
      <c r="M6" s="38" t="s">
        <v>1650</v>
      </c>
      <c r="O6" s="196"/>
      <c r="P6" s="196"/>
      <c r="Q6" s="196"/>
      <c r="R6" s="196">
        <v>1</v>
      </c>
      <c r="T6" s="38"/>
    </row>
    <row r="7" spans="1:20" ht="112">
      <c r="B7" s="125">
        <v>9</v>
      </c>
      <c r="C7" s="38" t="s">
        <v>1539</v>
      </c>
      <c r="D7" s="38" t="str">
        <f>'Final_List-Alerts'!A8</f>
        <v>ASW ASN ERROR</v>
      </c>
      <c r="E7" s="38" t="s">
        <v>1652</v>
      </c>
      <c r="F7" s="226" t="s">
        <v>1565</v>
      </c>
      <c r="G7" s="38" t="s">
        <v>1174</v>
      </c>
      <c r="H7" s="226" t="s">
        <v>1563</v>
      </c>
      <c r="I7" s="38" t="s">
        <v>1653</v>
      </c>
      <c r="J7" s="38" t="s">
        <v>1551</v>
      </c>
      <c r="K7" s="38" t="s">
        <v>1516</v>
      </c>
      <c r="L7" s="38" t="s">
        <v>1654</v>
      </c>
      <c r="M7" s="38" t="s">
        <v>1545</v>
      </c>
      <c r="O7" s="196"/>
      <c r="P7" s="196"/>
      <c r="Q7" s="196"/>
      <c r="R7" s="196">
        <v>1</v>
      </c>
      <c r="T7" s="38"/>
    </row>
    <row r="8" spans="1:20" ht="224">
      <c r="B8" s="125">
        <v>10</v>
      </c>
      <c r="C8" s="38" t="s">
        <v>1539</v>
      </c>
      <c r="D8" s="38" t="str">
        <f>'Final_List-Alerts'!A10</f>
        <v>DUPLICATE PIX S IN MIDDLEWARE WMS</v>
      </c>
      <c r="E8" s="38" t="s">
        <v>1655</v>
      </c>
      <c r="F8" s="226" t="s">
        <v>1565</v>
      </c>
      <c r="G8" s="38" t="s">
        <v>1174</v>
      </c>
      <c r="H8" s="226" t="s">
        <v>1563</v>
      </c>
      <c r="I8" s="38" t="s">
        <v>1656</v>
      </c>
      <c r="J8" s="38" t="s">
        <v>1551</v>
      </c>
      <c r="K8" s="38" t="s">
        <v>1516</v>
      </c>
      <c r="L8" s="38" t="s">
        <v>1657</v>
      </c>
      <c r="M8" s="38" t="s">
        <v>1658</v>
      </c>
      <c r="O8" s="196"/>
      <c r="P8" s="196"/>
      <c r="Q8" s="196"/>
      <c r="R8" s="196">
        <v>1</v>
      </c>
      <c r="T8" s="38"/>
    </row>
    <row r="9" spans="1:20" s="40" customFormat="1" ht="208">
      <c r="B9" s="232">
        <v>11</v>
      </c>
      <c r="C9" s="41" t="s">
        <v>1539</v>
      </c>
      <c r="D9" s="41" t="str">
        <f>'Final_List-Alerts'!A11</f>
        <v>DUPLICATE PIX S IN SOA WMS</v>
      </c>
      <c r="E9" s="41" t="s">
        <v>1560</v>
      </c>
      <c r="F9" s="233" t="s">
        <v>1659</v>
      </c>
      <c r="G9" s="41" t="s">
        <v>1664</v>
      </c>
      <c r="H9" s="233" t="s">
        <v>1664</v>
      </c>
      <c r="I9" s="41" t="s">
        <v>1660</v>
      </c>
      <c r="J9" s="41" t="s">
        <v>1551</v>
      </c>
      <c r="K9" s="41" t="s">
        <v>1516</v>
      </c>
      <c r="L9" s="41" t="s">
        <v>1569</v>
      </c>
      <c r="M9" s="41" t="s">
        <v>1661</v>
      </c>
      <c r="N9" s="41">
        <v>1</v>
      </c>
      <c r="O9" s="234"/>
      <c r="P9" s="234"/>
      <c r="Q9" s="234">
        <v>1</v>
      </c>
      <c r="R9" s="234"/>
      <c r="T9" s="41" t="s">
        <v>1664</v>
      </c>
    </row>
    <row r="10" spans="1:20" s="40" customFormat="1" ht="208">
      <c r="B10" s="232">
        <v>11</v>
      </c>
      <c r="C10" s="41" t="s">
        <v>1539</v>
      </c>
      <c r="D10" s="41" t="str">
        <f>'Final_List-Alerts'!A12</f>
        <v>DUPLICATE SHIP CONFIRM</v>
      </c>
      <c r="E10" s="41" t="s">
        <v>1586</v>
      </c>
      <c r="F10" s="233" t="s">
        <v>1662</v>
      </c>
      <c r="G10" s="41" t="s">
        <v>1664</v>
      </c>
      <c r="H10" s="233" t="s">
        <v>1664</v>
      </c>
      <c r="I10" s="41" t="s">
        <v>1663</v>
      </c>
      <c r="J10" s="41" t="s">
        <v>1551</v>
      </c>
      <c r="K10" s="41" t="s">
        <v>1516</v>
      </c>
      <c r="L10" s="41" t="s">
        <v>1569</v>
      </c>
      <c r="M10" s="41" t="s">
        <v>1590</v>
      </c>
      <c r="N10" s="41">
        <v>1</v>
      </c>
      <c r="O10" s="234"/>
      <c r="P10" s="234"/>
      <c r="Q10" s="234">
        <v>1</v>
      </c>
      <c r="R10" s="234"/>
      <c r="T10" s="41" t="s">
        <v>1664</v>
      </c>
    </row>
    <row r="11" spans="1:20" s="40" customFormat="1" ht="224">
      <c r="B11" s="232">
        <v>12</v>
      </c>
      <c r="C11" s="41" t="s">
        <v>1539</v>
      </c>
      <c r="D11" s="41" t="str">
        <f>'Final_List-Alerts'!A15</f>
        <v>ILPNS WITH MISSING PHYSICALENTITYCODEID</v>
      </c>
      <c r="E11" s="41" t="s">
        <v>1665</v>
      </c>
      <c r="F11" s="233" t="s">
        <v>1666</v>
      </c>
      <c r="G11" s="41" t="s">
        <v>1664</v>
      </c>
      <c r="H11" s="233" t="s">
        <v>1664</v>
      </c>
      <c r="I11" s="41" t="s">
        <v>1667</v>
      </c>
      <c r="J11" s="41" t="s">
        <v>1668</v>
      </c>
      <c r="K11" s="41" t="s">
        <v>1516</v>
      </c>
      <c r="L11" s="41" t="s">
        <v>1602</v>
      </c>
      <c r="M11" s="41" t="s">
        <v>1669</v>
      </c>
      <c r="N11" s="41">
        <v>1</v>
      </c>
      <c r="O11" s="234"/>
      <c r="P11" s="234"/>
      <c r="Q11" s="234">
        <v>1</v>
      </c>
      <c r="R11" s="234"/>
      <c r="T11" s="41" t="s">
        <v>1670</v>
      </c>
    </row>
    <row r="12" spans="1:20" ht="409.6">
      <c r="B12" s="125">
        <v>14</v>
      </c>
      <c r="C12" s="38" t="s">
        <v>1539</v>
      </c>
      <c r="D12" s="38" t="str">
        <f>'Final_List-Alerts'!A17</f>
        <v>INVENTORY ADJUSTMENT PIX MISSING REASON CODE</v>
      </c>
      <c r="E12" s="38" t="s">
        <v>1674</v>
      </c>
      <c r="F12" s="226" t="s">
        <v>1565</v>
      </c>
      <c r="G12" s="38" t="s">
        <v>1174</v>
      </c>
      <c r="H12" s="226" t="s">
        <v>1563</v>
      </c>
      <c r="I12" s="38" t="s">
        <v>1671</v>
      </c>
      <c r="J12" s="38" t="s">
        <v>1544</v>
      </c>
      <c r="K12" s="38" t="s">
        <v>1516</v>
      </c>
      <c r="L12" s="38" t="s">
        <v>1673</v>
      </c>
      <c r="M12" s="38" t="s">
        <v>1672</v>
      </c>
      <c r="O12" s="196"/>
      <c r="P12" s="196"/>
      <c r="Q12" s="196"/>
      <c r="R12" s="196">
        <v>1</v>
      </c>
      <c r="T12" s="38" t="s">
        <v>1675</v>
      </c>
    </row>
    <row r="13" spans="1:20" ht="32" customHeight="1">
      <c r="A13" s="40"/>
      <c r="B13" s="125">
        <v>16</v>
      </c>
      <c r="D13" s="38" t="str">
        <f>'Final_List-Alerts'!A20</f>
        <v>ITEM LEVEL RECEIPTS WITH 0 QUANTITY</v>
      </c>
      <c r="E13" s="41" t="s">
        <v>1676</v>
      </c>
      <c r="F13" s="41"/>
      <c r="G13" s="41"/>
      <c r="H13" s="41"/>
      <c r="I13" s="41"/>
      <c r="J13" s="41"/>
      <c r="K13" s="41"/>
      <c r="L13" s="41"/>
      <c r="M13" s="41"/>
      <c r="N13" s="41"/>
      <c r="O13" s="41"/>
      <c r="P13" s="41"/>
      <c r="Q13" s="41"/>
      <c r="R13" s="41"/>
      <c r="S13" s="41"/>
      <c r="T13" s="41"/>
    </row>
    <row r="14" spans="1:20" ht="112">
      <c r="A14">
        <v>2</v>
      </c>
      <c r="B14" s="38" t="s">
        <v>93</v>
      </c>
      <c r="C14" s="38" t="s">
        <v>1539</v>
      </c>
      <c r="D14" s="38" t="s">
        <v>138</v>
      </c>
      <c r="E14" s="38" t="s">
        <v>1540</v>
      </c>
      <c r="F14" s="226" t="s">
        <v>1541</v>
      </c>
      <c r="G14" s="38" t="s">
        <v>73</v>
      </c>
      <c r="H14" s="226" t="s">
        <v>1542</v>
      </c>
      <c r="I14" s="38" t="s">
        <v>1543</v>
      </c>
      <c r="J14" s="38" t="s">
        <v>1544</v>
      </c>
      <c r="K14" s="38" t="s">
        <v>1516</v>
      </c>
      <c r="L14" s="38" t="s">
        <v>1536</v>
      </c>
      <c r="M14" s="38" t="s">
        <v>1545</v>
      </c>
      <c r="O14" s="196"/>
      <c r="P14" s="196"/>
      <c r="Q14" s="196"/>
      <c r="R14" s="196">
        <v>1</v>
      </c>
      <c r="T14" s="38"/>
    </row>
    <row r="15" spans="1:20" ht="16">
      <c r="B15" t="s">
        <v>93</v>
      </c>
      <c r="C15" s="38" t="s">
        <v>332</v>
      </c>
      <c r="D15" s="38" t="s">
        <v>102</v>
      </c>
      <c r="E15" s="173" t="s">
        <v>1718</v>
      </c>
      <c r="F15" s="173"/>
      <c r="G15" s="173"/>
      <c r="H15" s="173"/>
      <c r="I15" s="173"/>
      <c r="J15" s="173"/>
      <c r="K15" s="173"/>
      <c r="L15" s="173"/>
      <c r="M15" s="173"/>
      <c r="N15" s="173"/>
      <c r="O15" s="173"/>
      <c r="P15" s="173"/>
      <c r="Q15" s="173"/>
      <c r="R15" s="173"/>
      <c r="S15" s="173"/>
      <c r="T15" s="173"/>
    </row>
    <row r="16" spans="1:20" ht="192">
      <c r="B16" s="38" t="s">
        <v>93</v>
      </c>
      <c r="C16" s="38" t="s">
        <v>1539</v>
      </c>
      <c r="D16" s="38" t="s">
        <v>142</v>
      </c>
      <c r="E16" s="38" t="s">
        <v>1557</v>
      </c>
      <c r="F16" s="226" t="s">
        <v>229</v>
      </c>
      <c r="G16" s="38" t="s">
        <v>73</v>
      </c>
      <c r="H16" s="226" t="s">
        <v>1559</v>
      </c>
      <c r="I16" s="38" t="s">
        <v>1558</v>
      </c>
      <c r="J16" s="38" t="s">
        <v>1551</v>
      </c>
      <c r="K16" s="38" t="s">
        <v>1516</v>
      </c>
      <c r="L16" s="38" t="s">
        <v>1536</v>
      </c>
      <c r="M16" s="38" t="s">
        <v>1561</v>
      </c>
      <c r="O16" s="196"/>
      <c r="P16" s="196"/>
      <c r="Q16" s="196"/>
      <c r="R16" s="196">
        <v>1</v>
      </c>
      <c r="T16" s="38" t="s">
        <v>1562</v>
      </c>
    </row>
    <row r="17" spans="1:20" ht="272">
      <c r="B17" s="38" t="s">
        <v>93</v>
      </c>
      <c r="C17" s="38" t="s">
        <v>1539</v>
      </c>
      <c r="D17" s="196" t="s">
        <v>153</v>
      </c>
      <c r="E17" s="38" t="s">
        <v>1564</v>
      </c>
      <c r="F17" s="226" t="s">
        <v>1565</v>
      </c>
      <c r="G17" s="38" t="s">
        <v>1174</v>
      </c>
      <c r="H17" s="226" t="s">
        <v>1563</v>
      </c>
      <c r="I17" s="38" t="s">
        <v>1566</v>
      </c>
      <c r="J17" s="38" t="s">
        <v>1551</v>
      </c>
      <c r="K17" s="38" t="s">
        <v>1516</v>
      </c>
      <c r="L17" s="38" t="s">
        <v>1536</v>
      </c>
      <c r="M17" s="38" t="s">
        <v>1567</v>
      </c>
      <c r="O17" s="196"/>
      <c r="P17" s="196"/>
      <c r="Q17" s="196"/>
      <c r="R17" s="196">
        <v>1</v>
      </c>
      <c r="T17" s="38" t="s">
        <v>1568</v>
      </c>
    </row>
    <row r="18" spans="1:20" ht="409.6">
      <c r="B18" s="38" t="s">
        <v>93</v>
      </c>
      <c r="C18" s="38" t="s">
        <v>1539</v>
      </c>
      <c r="D18" s="196" t="s">
        <v>160</v>
      </c>
      <c r="E18" s="38" t="s">
        <v>1570</v>
      </c>
      <c r="F18" s="226" t="s">
        <v>1565</v>
      </c>
      <c r="G18" s="38" t="s">
        <v>1174</v>
      </c>
      <c r="H18" s="226" t="s">
        <v>1563</v>
      </c>
      <c r="I18" s="38" t="s">
        <v>1571</v>
      </c>
      <c r="J18" s="38" t="s">
        <v>1551</v>
      </c>
      <c r="K18" s="38" t="s">
        <v>1516</v>
      </c>
      <c r="L18" s="38" t="s">
        <v>156</v>
      </c>
      <c r="M18" s="38" t="s">
        <v>1572</v>
      </c>
      <c r="O18" s="196"/>
      <c r="P18" s="196"/>
      <c r="Q18" s="196"/>
      <c r="R18" s="196">
        <v>1</v>
      </c>
      <c r="T18" s="38" t="s">
        <v>1573</v>
      </c>
    </row>
    <row r="19" spans="1:20" ht="409.6">
      <c r="B19" s="38" t="s">
        <v>93</v>
      </c>
      <c r="C19" s="38" t="s">
        <v>1539</v>
      </c>
      <c r="D19" s="196" t="s">
        <v>173</v>
      </c>
      <c r="E19" s="38" t="s">
        <v>1578</v>
      </c>
      <c r="F19" s="226" t="s">
        <v>1565</v>
      </c>
      <c r="G19" s="38" t="s">
        <v>1174</v>
      </c>
      <c r="H19" s="226" t="s">
        <v>1563</v>
      </c>
      <c r="I19" s="38" t="s">
        <v>1579</v>
      </c>
      <c r="J19" s="38" t="s">
        <v>1551</v>
      </c>
      <c r="K19" s="38" t="s">
        <v>1516</v>
      </c>
      <c r="L19" s="38" t="s">
        <v>165</v>
      </c>
      <c r="M19" s="38" t="s">
        <v>1580</v>
      </c>
      <c r="O19" s="196"/>
      <c r="P19" s="196"/>
      <c r="Q19" s="196"/>
      <c r="R19" s="196">
        <v>1</v>
      </c>
      <c r="T19" s="38" t="s">
        <v>1589</v>
      </c>
    </row>
    <row r="20" spans="1:20" ht="409.6">
      <c r="B20" s="38" t="s">
        <v>93</v>
      </c>
      <c r="C20" s="38" t="s">
        <v>1539</v>
      </c>
      <c r="D20" s="196" t="s">
        <v>187</v>
      </c>
      <c r="E20" s="38" t="s">
        <v>1591</v>
      </c>
      <c r="F20" s="226" t="s">
        <v>229</v>
      </c>
      <c r="G20" s="38" t="s">
        <v>73</v>
      </c>
      <c r="H20" s="226" t="s">
        <v>1559</v>
      </c>
      <c r="I20" s="38" t="s">
        <v>1592</v>
      </c>
      <c r="J20" s="38" t="s">
        <v>1551</v>
      </c>
      <c r="K20" s="38" t="s">
        <v>1516</v>
      </c>
      <c r="L20" s="38" t="s">
        <v>1588</v>
      </c>
      <c r="M20" s="38" t="s">
        <v>1561</v>
      </c>
      <c r="O20" s="196"/>
      <c r="P20" s="196"/>
      <c r="Q20" s="196"/>
      <c r="R20" s="196">
        <v>1</v>
      </c>
      <c r="T20" s="38" t="s">
        <v>1597</v>
      </c>
    </row>
    <row r="21" spans="1:20" ht="304">
      <c r="B21" s="38" t="s">
        <v>93</v>
      </c>
      <c r="C21" s="38" t="s">
        <v>1539</v>
      </c>
      <c r="D21" s="196" t="s">
        <v>209</v>
      </c>
      <c r="E21" s="38" t="s">
        <v>1599</v>
      </c>
      <c r="F21" s="226" t="s">
        <v>1565</v>
      </c>
      <c r="G21" s="38" t="s">
        <v>1174</v>
      </c>
      <c r="H21" s="226" t="s">
        <v>1563</v>
      </c>
      <c r="I21" s="38" t="s">
        <v>1598</v>
      </c>
      <c r="J21" s="38" t="s">
        <v>1551</v>
      </c>
      <c r="K21" s="38" t="s">
        <v>1516</v>
      </c>
      <c r="L21" s="38" t="s">
        <v>1536</v>
      </c>
      <c r="M21" s="38" t="s">
        <v>1641</v>
      </c>
      <c r="O21" s="196"/>
      <c r="P21" s="196"/>
      <c r="Q21" s="196"/>
      <c r="R21" s="196">
        <v>1</v>
      </c>
      <c r="T21" s="38" t="s">
        <v>1627</v>
      </c>
    </row>
    <row r="22" spans="1:20" ht="288">
      <c r="B22" s="38" t="s">
        <v>77</v>
      </c>
      <c r="C22" s="38" t="s">
        <v>1539</v>
      </c>
      <c r="D22" s="38" t="str">
        <f>'Final_List-Alerts'!A70</f>
        <v>ABQ - MAWM - Travel &gt; 4 Mins</v>
      </c>
      <c r="E22" s="38" t="s">
        <v>1679</v>
      </c>
      <c r="F22" s="226" t="s">
        <v>1565</v>
      </c>
      <c r="G22" s="38" t="s">
        <v>1174</v>
      </c>
      <c r="H22" s="226" t="s">
        <v>1563</v>
      </c>
      <c r="I22" s="38" t="s">
        <v>1677</v>
      </c>
      <c r="J22" s="38" t="s">
        <v>1544</v>
      </c>
      <c r="K22" s="38" t="s">
        <v>1587</v>
      </c>
      <c r="L22" s="38" t="s">
        <v>1678</v>
      </c>
      <c r="M22" s="38" t="s">
        <v>1587</v>
      </c>
      <c r="O22" s="196"/>
      <c r="P22" s="196"/>
      <c r="Q22" s="196"/>
      <c r="R22" s="196">
        <v>1</v>
      </c>
      <c r="T22" s="38" t="s">
        <v>1680</v>
      </c>
    </row>
    <row r="23" spans="1:20" ht="380">
      <c r="B23" s="38" t="s">
        <v>77</v>
      </c>
      <c r="C23" s="38" t="s">
        <v>1539</v>
      </c>
      <c r="D23" s="38" t="str">
        <f>'Final_List-Alerts'!A71</f>
        <v>POR - MAWM - Duplicate PIX's in Middleware WMS</v>
      </c>
      <c r="E23" s="38" t="s">
        <v>1684</v>
      </c>
      <c r="F23" s="226" t="s">
        <v>1565</v>
      </c>
      <c r="G23" s="38" t="s">
        <v>1174</v>
      </c>
      <c r="H23" s="226" t="s">
        <v>1563</v>
      </c>
      <c r="I23" s="38" t="s">
        <v>1681</v>
      </c>
      <c r="J23" s="38" t="s">
        <v>1551</v>
      </c>
      <c r="K23" s="38" t="s">
        <v>1516</v>
      </c>
      <c r="L23" s="38" t="s">
        <v>1682</v>
      </c>
      <c r="M23" s="38" t="s">
        <v>1683</v>
      </c>
      <c r="O23" s="196"/>
      <c r="P23" s="196"/>
      <c r="Q23" s="196"/>
      <c r="R23" s="196">
        <v>1</v>
      </c>
      <c r="T23" s="38"/>
    </row>
    <row r="24" spans="1:20" ht="409.6">
      <c r="B24" s="38" t="s">
        <v>77</v>
      </c>
      <c r="C24" s="38" t="s">
        <v>1539</v>
      </c>
      <c r="D24" s="38" t="str">
        <f>'Final_List-Alerts'!A72</f>
        <v>ALL - MAWM - PIX Specification Found &gt; 1 Hour</v>
      </c>
      <c r="E24" s="38" t="s">
        <v>1687</v>
      </c>
      <c r="F24" s="226" t="s">
        <v>1565</v>
      </c>
      <c r="G24" s="38" t="s">
        <v>1174</v>
      </c>
      <c r="H24" s="226" t="s">
        <v>1563</v>
      </c>
      <c r="I24" s="38" t="s">
        <v>1288</v>
      </c>
      <c r="J24" s="38" t="s">
        <v>1551</v>
      </c>
      <c r="K24" s="38" t="s">
        <v>1516</v>
      </c>
      <c r="L24" s="38" t="s">
        <v>1685</v>
      </c>
      <c r="M24" s="38" t="s">
        <v>1686</v>
      </c>
      <c r="O24" s="196"/>
      <c r="P24" s="196"/>
      <c r="Q24" s="196"/>
      <c r="R24" s="196">
        <v>1</v>
      </c>
      <c r="T24" s="38"/>
    </row>
    <row r="25" spans="1:20" ht="409.6">
      <c r="B25" s="38" t="s">
        <v>77</v>
      </c>
      <c r="C25" s="38" t="s">
        <v>1539</v>
      </c>
      <c r="D25" s="38" t="str">
        <f>'Final_List-Alerts'!A73</f>
        <v>ALL - MAWM - Inventory Adjustment PIX w/ Null PO Line</v>
      </c>
      <c r="E25" s="38" t="s">
        <v>1688</v>
      </c>
      <c r="F25" s="226" t="s">
        <v>1565</v>
      </c>
      <c r="G25" s="38" t="s">
        <v>1174</v>
      </c>
      <c r="H25" s="226" t="s">
        <v>1563</v>
      </c>
      <c r="I25" s="38" t="s">
        <v>204</v>
      </c>
      <c r="J25" s="38" t="s">
        <v>1551</v>
      </c>
      <c r="K25" s="38" t="s">
        <v>1516</v>
      </c>
      <c r="L25" s="38" t="s">
        <v>1536</v>
      </c>
      <c r="O25" s="196"/>
      <c r="P25" s="196"/>
      <c r="Q25" s="196"/>
      <c r="R25" s="196">
        <v>1</v>
      </c>
      <c r="T25" s="38"/>
    </row>
    <row r="26" spans="1:20" s="235" customFormat="1" ht="365">
      <c r="B26" s="236" t="s">
        <v>77</v>
      </c>
      <c r="C26" s="236" t="s">
        <v>1539</v>
      </c>
      <c r="D26" s="236" t="str">
        <f>'Final_List-Alerts'!A74</f>
        <v>ALL - MAWM - In Packing oLPNS &gt; 5 Minutes</v>
      </c>
      <c r="E26" s="236" t="s">
        <v>1692</v>
      </c>
      <c r="F26" s="237" t="s">
        <v>229</v>
      </c>
      <c r="G26" s="236" t="s">
        <v>73</v>
      </c>
      <c r="H26" s="237" t="s">
        <v>1559</v>
      </c>
      <c r="I26" s="236" t="s">
        <v>1689</v>
      </c>
      <c r="J26" s="236" t="s">
        <v>1551</v>
      </c>
      <c r="K26" s="236" t="s">
        <v>1516</v>
      </c>
      <c r="L26" s="236" t="s">
        <v>1691</v>
      </c>
      <c r="M26" s="236" t="s">
        <v>1690</v>
      </c>
      <c r="N26" s="236"/>
      <c r="O26" s="238">
        <v>1</v>
      </c>
      <c r="P26" s="238"/>
      <c r="Q26" s="238"/>
      <c r="R26" s="238">
        <v>1</v>
      </c>
      <c r="T26" s="236" t="s">
        <v>1712</v>
      </c>
    </row>
    <row r="27" spans="1:20" ht="256">
      <c r="A27" s="228"/>
      <c r="B27" s="38" t="s">
        <v>77</v>
      </c>
      <c r="D27" s="38" t="str">
        <f>'Final_List-Alerts'!A75</f>
        <v>ALL - MAWM - Loaded Shipments w/ no Ship Confirm &gt; 6 hours</v>
      </c>
      <c r="E27" s="38" t="s">
        <v>1698</v>
      </c>
      <c r="F27" s="38" t="s">
        <v>1565</v>
      </c>
      <c r="G27" s="38" t="s">
        <v>1174</v>
      </c>
      <c r="H27" s="226" t="s">
        <v>1563</v>
      </c>
      <c r="I27" s="38" t="s">
        <v>1699</v>
      </c>
      <c r="J27" s="38" t="s">
        <v>1700</v>
      </c>
      <c r="K27" s="38" t="s">
        <v>1700</v>
      </c>
      <c r="L27" s="38" t="s">
        <v>1700</v>
      </c>
      <c r="M27" s="38" t="s">
        <v>1700</v>
      </c>
      <c r="O27" s="196"/>
      <c r="P27" s="196"/>
      <c r="Q27" s="196"/>
      <c r="R27" s="196">
        <v>1</v>
      </c>
      <c r="T27" s="38"/>
    </row>
    <row r="28" spans="1:20" ht="409.6">
      <c r="A28" s="228"/>
      <c r="B28" s="38" t="s">
        <v>77</v>
      </c>
      <c r="D28" s="38" t="str">
        <f>'Final_List-Alerts'!A76</f>
        <v>ALL - MAWM - Putaway Task is Open but iLPN is Putaway</v>
      </c>
      <c r="E28" s="38" t="s">
        <v>1701</v>
      </c>
      <c r="F28" s="38" t="s">
        <v>1565</v>
      </c>
      <c r="G28" s="38" t="s">
        <v>1174</v>
      </c>
      <c r="H28" s="38" t="s">
        <v>1563</v>
      </c>
      <c r="I28" s="38" t="s">
        <v>94</v>
      </c>
      <c r="J28" s="38" t="s">
        <v>1700</v>
      </c>
      <c r="K28" s="38" t="s">
        <v>1700</v>
      </c>
      <c r="L28" s="38" t="s">
        <v>1700</v>
      </c>
      <c r="M28" s="38" t="s">
        <v>1700</v>
      </c>
      <c r="O28" s="196"/>
      <c r="P28" s="196"/>
      <c r="Q28" s="196"/>
      <c r="R28" s="196">
        <v>1</v>
      </c>
      <c r="T28" s="38"/>
    </row>
    <row r="29" spans="1:20" ht="409.6">
      <c r="A29" s="228"/>
      <c r="B29" s="38" t="s">
        <v>77</v>
      </c>
      <c r="D29" s="38" t="str">
        <f>'Final_List-Alerts'!A77</f>
        <v>ALL - MAWM - Task Completed or Cancelled w/ Open Task Details</v>
      </c>
      <c r="E29" s="38" t="s">
        <v>1702</v>
      </c>
      <c r="F29" s="38" t="s">
        <v>1565</v>
      </c>
      <c r="G29" s="38" t="s">
        <v>1174</v>
      </c>
      <c r="H29" s="38" t="s">
        <v>1563</v>
      </c>
      <c r="I29" s="38" t="s">
        <v>101</v>
      </c>
      <c r="J29" s="38" t="s">
        <v>1700</v>
      </c>
      <c r="K29" s="38" t="s">
        <v>1700</v>
      </c>
      <c r="L29" s="38" t="s">
        <v>1700</v>
      </c>
      <c r="M29" s="38" t="s">
        <v>1700</v>
      </c>
      <c r="O29" s="196"/>
      <c r="P29" s="196"/>
      <c r="Q29" s="196"/>
      <c r="R29" s="196">
        <v>1</v>
      </c>
      <c r="T29" s="38"/>
    </row>
    <row r="30" spans="1:20" ht="409.6">
      <c r="A30" s="228"/>
      <c r="B30" s="38" t="s">
        <v>77</v>
      </c>
      <c r="D30" s="38" t="str">
        <f>'Final_List-Alerts'!A78</f>
        <v>ALL - MAWM - Task Open w/ Completed or Cancelled Task Details</v>
      </c>
      <c r="E30" s="38" t="s">
        <v>1709</v>
      </c>
      <c r="F30" s="38" t="s">
        <v>1565</v>
      </c>
      <c r="G30" s="38" t="s">
        <v>1174</v>
      </c>
      <c r="H30" s="38" t="s">
        <v>1563</v>
      </c>
      <c r="I30" s="227" t="s">
        <v>101</v>
      </c>
      <c r="J30" s="38" t="s">
        <v>1700</v>
      </c>
      <c r="K30" s="38" t="s">
        <v>1700</v>
      </c>
      <c r="L30" s="38" t="s">
        <v>1700</v>
      </c>
      <c r="M30" s="38" t="s">
        <v>1700</v>
      </c>
      <c r="O30" s="196"/>
      <c r="P30" s="196"/>
      <c r="Q30" s="196"/>
      <c r="R30" s="196">
        <v>1</v>
      </c>
      <c r="T30" s="38"/>
    </row>
    <row r="31" spans="1:20" ht="409.6">
      <c r="A31" s="228"/>
      <c r="B31" s="38" t="s">
        <v>77</v>
      </c>
      <c r="D31" s="38" t="str">
        <f>'Final_List-Alerts'!A79</f>
        <v>ALL - MAWM - Task ‘In Progress’ w/ Completed or Cancelled Task Details</v>
      </c>
      <c r="E31" s="38" t="s">
        <v>1710</v>
      </c>
      <c r="F31" s="38" t="s">
        <v>1565</v>
      </c>
      <c r="G31" s="38" t="s">
        <v>1174</v>
      </c>
      <c r="H31" s="38" t="s">
        <v>1563</v>
      </c>
      <c r="I31" s="38" t="s">
        <v>99</v>
      </c>
      <c r="J31" s="38" t="s">
        <v>1700</v>
      </c>
      <c r="K31" s="38" t="s">
        <v>1700</v>
      </c>
      <c r="L31" s="38" t="s">
        <v>1700</v>
      </c>
      <c r="M31" s="38" t="s">
        <v>1700</v>
      </c>
      <c r="O31" s="196"/>
      <c r="P31" s="196"/>
      <c r="Q31" s="196"/>
      <c r="R31" s="196">
        <v>1</v>
      </c>
      <c r="T31" s="38"/>
    </row>
    <row r="32" spans="1:20" ht="409.6">
      <c r="A32" s="228"/>
      <c r="B32" s="38" t="s">
        <v>77</v>
      </c>
      <c r="D32" s="38" t="str">
        <f>'Final_List-Alerts'!A80</f>
        <v>ALL - MAWM - Unprocessed or Failed Ship Confirms Last 24 Hours</v>
      </c>
      <c r="E32" s="38" t="s">
        <v>1711</v>
      </c>
      <c r="F32" s="38" t="s">
        <v>1565</v>
      </c>
      <c r="G32" s="38" t="s">
        <v>1174</v>
      </c>
      <c r="H32" s="38" t="s">
        <v>1563</v>
      </c>
      <c r="I32" s="38" t="s">
        <v>102</v>
      </c>
      <c r="J32" s="38" t="s">
        <v>1700</v>
      </c>
      <c r="K32" s="38" t="s">
        <v>1700</v>
      </c>
      <c r="L32" s="38" t="s">
        <v>1700</v>
      </c>
      <c r="M32" s="38" t="s">
        <v>1700</v>
      </c>
      <c r="O32" s="196"/>
      <c r="P32" s="196"/>
      <c r="Q32" s="196"/>
      <c r="R32" s="196">
        <v>1</v>
      </c>
      <c r="T32" s="38"/>
    </row>
    <row r="39" spans="18:18">
      <c r="R39" s="231"/>
    </row>
    <row r="69" spans="1:14" ht="208">
      <c r="A69">
        <v>1</v>
      </c>
      <c r="B69" s="38" t="s">
        <v>85</v>
      </c>
      <c r="C69" s="38" t="s">
        <v>1531</v>
      </c>
      <c r="D69" s="38" t="s">
        <v>122</v>
      </c>
      <c r="E69" s="38" t="s">
        <v>1532</v>
      </c>
      <c r="F69" s="226" t="s">
        <v>1533</v>
      </c>
      <c r="G69" s="38" t="s">
        <v>73</v>
      </c>
      <c r="H69" s="226" t="s">
        <v>1534</v>
      </c>
      <c r="I69" s="38" t="s">
        <v>1535</v>
      </c>
      <c r="K69" s="38" t="s">
        <v>1516</v>
      </c>
      <c r="L69" s="38" t="s">
        <v>1536</v>
      </c>
      <c r="M69" s="38" t="s">
        <v>1537</v>
      </c>
      <c r="N69" s="38" t="s">
        <v>1538</v>
      </c>
    </row>
    <row r="79" spans="1:14" ht="34">
      <c r="A79" s="197" t="s">
        <v>1574</v>
      </c>
      <c r="B79" s="197" t="s">
        <v>56</v>
      </c>
      <c r="C79" s="197" t="s">
        <v>1521</v>
      </c>
      <c r="D79" s="197" t="s">
        <v>1522</v>
      </c>
      <c r="E79" s="197" t="s">
        <v>1523</v>
      </c>
      <c r="F79" s="198" t="s">
        <v>1524</v>
      </c>
      <c r="G79" s="197" t="s">
        <v>1525</v>
      </c>
      <c r="H79" s="198" t="s">
        <v>60</v>
      </c>
      <c r="I79" s="197" t="s">
        <v>1526</v>
      </c>
      <c r="J79" s="197" t="s">
        <v>1527</v>
      </c>
      <c r="K79" s="197" t="s">
        <v>1528</v>
      </c>
      <c r="L79" s="197" t="s">
        <v>1529</v>
      </c>
      <c r="M79" s="197" t="s">
        <v>1530</v>
      </c>
      <c r="N79" s="197" t="s">
        <v>28</v>
      </c>
    </row>
    <row r="80" spans="1:14" ht="409.6">
      <c r="A80" s="38">
        <v>1</v>
      </c>
      <c r="B80" s="38" t="s">
        <v>93</v>
      </c>
      <c r="C80" s="38" t="s">
        <v>1539</v>
      </c>
      <c r="D80" s="196" t="s">
        <v>160</v>
      </c>
      <c r="E80" s="38" t="s">
        <v>979</v>
      </c>
      <c r="F80" s="226" t="s">
        <v>229</v>
      </c>
      <c r="G80" s="38" t="s">
        <v>73</v>
      </c>
      <c r="H80" s="226" t="s">
        <v>1559</v>
      </c>
      <c r="I80" s="38" t="s">
        <v>1575</v>
      </c>
      <c r="J80" s="38" t="s">
        <v>1551</v>
      </c>
      <c r="K80" s="38" t="s">
        <v>1516</v>
      </c>
      <c r="L80" s="38" t="s">
        <v>1576</v>
      </c>
      <c r="M80" s="38" t="s">
        <v>1572</v>
      </c>
      <c r="N80" s="38" t="s">
        <v>1577</v>
      </c>
    </row>
    <row r="81" spans="1:14" ht="409.6">
      <c r="A81">
        <v>2</v>
      </c>
      <c r="B81" s="38" t="s">
        <v>93</v>
      </c>
      <c r="C81" s="38" t="s">
        <v>1539</v>
      </c>
      <c r="D81" s="196" t="s">
        <v>173</v>
      </c>
      <c r="E81" s="38" t="s">
        <v>1581</v>
      </c>
      <c r="F81" s="226" t="s">
        <v>1565</v>
      </c>
      <c r="G81" s="38" t="s">
        <v>1174</v>
      </c>
      <c r="H81" s="226" t="s">
        <v>1563</v>
      </c>
      <c r="I81" s="38" t="s">
        <v>1582</v>
      </c>
      <c r="J81" s="38" t="s">
        <v>1583</v>
      </c>
      <c r="K81" s="38" t="s">
        <v>1516</v>
      </c>
      <c r="L81" s="38" t="s">
        <v>1536</v>
      </c>
      <c r="M81" s="38" t="s">
        <v>1584</v>
      </c>
      <c r="N81" s="38" t="s">
        <v>1585</v>
      </c>
    </row>
  </sheetData>
  <autoFilter ref="A1:T32" xr:uid="{F42BD6B3-ABAD-41C6-A5CA-CB7783A0CB85}"/>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topLeftCell="A6" workbookViewId="0">
      <selection activeCell="B10" sqref="B10"/>
    </sheetView>
    <sheetView workbookViewId="1"/>
  </sheetViews>
  <sheetFormatPr baseColWidth="10" defaultColWidth="8.83203125" defaultRowHeight="15" customHeight="1"/>
  <cols>
    <col min="2" max="2" width="62.33203125" customWidth="1"/>
    <col min="3" max="3" width="68.83203125" style="38" customWidth="1"/>
    <col min="4" max="4" width="55.33203125" customWidth="1"/>
    <col min="5" max="5" width="35" customWidth="1"/>
    <col min="6" max="6" width="17.5" customWidth="1"/>
    <col min="7" max="7" width="23" customWidth="1"/>
    <col min="8" max="8" width="29.1640625" customWidth="1"/>
    <col min="9" max="9" width="33.83203125" style="38" customWidth="1"/>
    <col min="10" max="10" width="22" customWidth="1"/>
  </cols>
  <sheetData>
    <row r="1" spans="1:14" ht="16">
      <c r="A1" t="s">
        <v>141</v>
      </c>
      <c r="B1" t="s">
        <v>1546</v>
      </c>
      <c r="C1" s="38" t="s">
        <v>1547</v>
      </c>
      <c r="D1" s="38" t="s">
        <v>1548</v>
      </c>
      <c r="E1" s="38" t="s">
        <v>1526</v>
      </c>
      <c r="F1" s="38" t="s">
        <v>1527</v>
      </c>
      <c r="G1" s="38" t="s">
        <v>1528</v>
      </c>
      <c r="H1" t="s">
        <v>1529</v>
      </c>
      <c r="I1" s="38" t="s">
        <v>1530</v>
      </c>
      <c r="J1" s="38" t="s">
        <v>28</v>
      </c>
      <c r="K1" t="s">
        <v>1707</v>
      </c>
      <c r="L1" t="s">
        <v>1708</v>
      </c>
      <c r="M1" t="s">
        <v>1713</v>
      </c>
      <c r="N1" t="s">
        <v>1721</v>
      </c>
    </row>
    <row r="2" spans="1:14" ht="165" customHeight="1">
      <c r="A2">
        <v>1</v>
      </c>
      <c r="B2" t="s">
        <v>107</v>
      </c>
      <c r="C2" s="38" t="s">
        <v>1549</v>
      </c>
      <c r="D2" t="s">
        <v>1693</v>
      </c>
      <c r="E2" t="s">
        <v>1550</v>
      </c>
      <c r="F2" s="38" t="s">
        <v>1551</v>
      </c>
      <c r="G2" t="s">
        <v>1516</v>
      </c>
      <c r="H2" s="38" t="s">
        <v>1536</v>
      </c>
      <c r="I2" s="38" t="s">
        <v>1552</v>
      </c>
      <c r="J2" s="38" t="s">
        <v>1724</v>
      </c>
      <c r="L2">
        <v>1</v>
      </c>
      <c r="M2">
        <v>1</v>
      </c>
      <c r="N2">
        <v>1</v>
      </c>
    </row>
    <row r="3" spans="1:14" ht="170.25" customHeight="1">
      <c r="A3">
        <v>2</v>
      </c>
      <c r="B3" t="s">
        <v>114</v>
      </c>
      <c r="C3" s="38" t="s">
        <v>1560</v>
      </c>
      <c r="D3" s="195" t="s">
        <v>1694</v>
      </c>
      <c r="E3" s="196" t="s">
        <v>1606</v>
      </c>
      <c r="F3" s="38" t="s">
        <v>1551</v>
      </c>
      <c r="G3" t="s">
        <v>1516</v>
      </c>
      <c r="H3" s="38" t="s">
        <v>1569</v>
      </c>
      <c r="I3" s="38" t="s">
        <v>1604</v>
      </c>
      <c r="L3">
        <v>1</v>
      </c>
      <c r="M3">
        <v>1</v>
      </c>
      <c r="N3">
        <v>1</v>
      </c>
    </row>
    <row r="4" spans="1:14" ht="176">
      <c r="A4">
        <v>3</v>
      </c>
      <c r="B4" t="s">
        <v>116</v>
      </c>
      <c r="C4" s="38" t="s">
        <v>1586</v>
      </c>
      <c r="D4" t="s">
        <v>1695</v>
      </c>
      <c r="E4" s="38" t="s">
        <v>1607</v>
      </c>
      <c r="F4" s="38" t="s">
        <v>1551</v>
      </c>
      <c r="G4" t="s">
        <v>1516</v>
      </c>
      <c r="H4" s="38" t="s">
        <v>1569</v>
      </c>
      <c r="I4" s="38" t="s">
        <v>1590</v>
      </c>
      <c r="J4" s="38" t="s">
        <v>1638</v>
      </c>
      <c r="L4">
        <v>1</v>
      </c>
      <c r="M4">
        <v>1</v>
      </c>
      <c r="N4">
        <v>1</v>
      </c>
    </row>
    <row r="5" spans="1:14" s="38" customFormat="1" ht="208">
      <c r="A5" s="38">
        <v>4</v>
      </c>
      <c r="B5" t="s">
        <v>118</v>
      </c>
      <c r="C5" s="38" t="s">
        <v>1593</v>
      </c>
      <c r="D5" s="38" t="s">
        <v>1696</v>
      </c>
      <c r="E5" s="38" t="s">
        <v>1608</v>
      </c>
      <c r="F5" s="38" t="s">
        <v>1596</v>
      </c>
      <c r="G5" s="38" t="s">
        <v>1516</v>
      </c>
      <c r="H5" s="38" t="s">
        <v>1595</v>
      </c>
      <c r="I5" s="38" t="s">
        <v>1594</v>
      </c>
      <c r="L5" s="38">
        <v>1</v>
      </c>
      <c r="M5" s="38">
        <v>1</v>
      </c>
      <c r="N5" s="38">
        <v>1</v>
      </c>
    </row>
    <row r="6" spans="1:14" ht="208">
      <c r="A6">
        <v>5</v>
      </c>
      <c r="B6" t="s">
        <v>120</v>
      </c>
      <c r="C6" s="38" t="s">
        <v>1600</v>
      </c>
      <c r="D6" t="s">
        <v>1693</v>
      </c>
      <c r="E6" s="199" t="s">
        <v>1605</v>
      </c>
      <c r="F6" s="38" t="s">
        <v>1603</v>
      </c>
      <c r="G6" t="s">
        <v>1516</v>
      </c>
      <c r="H6" s="38" t="s">
        <v>1602</v>
      </c>
      <c r="I6" s="38" t="s">
        <v>1601</v>
      </c>
      <c r="J6" t="s">
        <v>1714</v>
      </c>
      <c r="L6">
        <v>1</v>
      </c>
      <c r="M6">
        <v>1</v>
      </c>
      <c r="N6">
        <v>1</v>
      </c>
    </row>
    <row r="7" spans="1:14" ht="96">
      <c r="A7">
        <v>6</v>
      </c>
      <c r="B7" t="s">
        <v>127</v>
      </c>
      <c r="C7" s="38" t="s">
        <v>1610</v>
      </c>
      <c r="D7" t="s">
        <v>1697</v>
      </c>
      <c r="E7" t="s">
        <v>1609</v>
      </c>
      <c r="F7" s="38" t="s">
        <v>1612</v>
      </c>
      <c r="G7" t="s">
        <v>1516</v>
      </c>
      <c r="H7" s="38" t="s">
        <v>1536</v>
      </c>
      <c r="I7" s="38" t="s">
        <v>1611</v>
      </c>
      <c r="K7">
        <v>1</v>
      </c>
      <c r="M7">
        <v>1</v>
      </c>
      <c r="N7">
        <v>1</v>
      </c>
    </row>
    <row r="8" spans="1:14" ht="128">
      <c r="A8">
        <v>7</v>
      </c>
      <c r="B8" t="s">
        <v>130</v>
      </c>
      <c r="C8" s="38" t="s">
        <v>1613</v>
      </c>
      <c r="D8" t="s">
        <v>1614</v>
      </c>
      <c r="E8" s="38" t="s">
        <v>1517</v>
      </c>
      <c r="F8" t="s">
        <v>1616</v>
      </c>
      <c r="G8" t="s">
        <v>1516</v>
      </c>
      <c r="H8" s="38" t="s">
        <v>1536</v>
      </c>
      <c r="I8" s="38" t="s">
        <v>1617</v>
      </c>
      <c r="J8" s="38" t="s">
        <v>1715</v>
      </c>
      <c r="K8">
        <v>1</v>
      </c>
      <c r="M8">
        <v>1</v>
      </c>
      <c r="N8">
        <v>1</v>
      </c>
    </row>
    <row r="9" spans="1:14" ht="224">
      <c r="A9">
        <v>8</v>
      </c>
      <c r="B9" t="s">
        <v>144</v>
      </c>
      <c r="C9" s="38" t="s">
        <v>1618</v>
      </c>
      <c r="D9" t="s">
        <v>1621</v>
      </c>
      <c r="E9" s="199" t="s">
        <v>1619</v>
      </c>
      <c r="F9" s="38" t="s">
        <v>1551</v>
      </c>
      <c r="G9" t="s">
        <v>1516</v>
      </c>
      <c r="H9" s="38" t="s">
        <v>1622</v>
      </c>
      <c r="I9" s="38" t="s">
        <v>1620</v>
      </c>
      <c r="J9" s="38" t="s">
        <v>1623</v>
      </c>
      <c r="K9">
        <v>1</v>
      </c>
      <c r="M9">
        <v>1</v>
      </c>
      <c r="N9">
        <v>1</v>
      </c>
    </row>
    <row r="10" spans="1:14" ht="176">
      <c r="A10">
        <v>9</v>
      </c>
      <c r="B10" t="s">
        <v>238</v>
      </c>
      <c r="C10" s="38" t="s">
        <v>1624</v>
      </c>
      <c r="D10" t="s">
        <v>1625</v>
      </c>
      <c r="E10" s="38" t="s">
        <v>1626</v>
      </c>
      <c r="F10" s="38" t="s">
        <v>1551</v>
      </c>
      <c r="G10" t="s">
        <v>1516</v>
      </c>
      <c r="H10" s="38" t="s">
        <v>1536</v>
      </c>
      <c r="I10" s="38" t="s">
        <v>1628</v>
      </c>
      <c r="L10">
        <v>1</v>
      </c>
      <c r="M10">
        <v>1</v>
      </c>
      <c r="N10">
        <v>1</v>
      </c>
    </row>
    <row r="11" spans="1:14"/>
    <row r="12" spans="1:14"/>
    <row r="13" spans="1:14" ht="16">
      <c r="B13" s="229" t="s">
        <v>55</v>
      </c>
      <c r="C13" s="230" t="s">
        <v>1723</v>
      </c>
    </row>
    <row r="14" spans="1:14" ht="15" customHeight="1">
      <c r="B14" t="str">
        <f>B2</f>
        <v>ALPHA ASN ERROR</v>
      </c>
      <c r="C14" t="str">
        <f>D2</f>
        <v xml:space="preserve">"/splunk/FTP/Alpha/asn/abq_asnhdr_" + file_date + ".txt" </v>
      </c>
    </row>
    <row r="15" spans="1:14" ht="15" customHeight="1">
      <c r="B15" t="str">
        <f>B3</f>
        <v>ALPHA OPEN ADJUSTMENTS &gt; 35DAYS</v>
      </c>
      <c r="C15" t="str">
        <f>D3</f>
        <v>"/splunk/FTP/Alpha/adj/atl_adjtrx_" + file_date + ".txt"</v>
      </c>
    </row>
    <row r="16" spans="1:14" ht="15" customHeight="1">
      <c r="B16" t="str">
        <f>B4</f>
        <v>ALPHA OPEN ADJUSTMENTS &gt; 40 DAYS</v>
      </c>
      <c r="C16" t="str">
        <f>D4</f>
        <v>"/splunk/FTP/Alpha/adj/laf_adjtrx_" + file_date + ".txt"</v>
      </c>
    </row>
    <row r="17" spans="2:3" ht="15" customHeight="1">
      <c r="B17" t="str">
        <f>B5</f>
        <v>ALPHA OPEN RETURNS</v>
      </c>
      <c r="C17" t="str">
        <f>D5</f>
        <v>"/splunk/FTP/Alpha/ret/atl_retlpn_" + file_date + ".txt"</v>
      </c>
    </row>
    <row r="18" spans="2:3" ht="15" customHeight="1">
      <c r="B18" t="str">
        <f>B6</f>
        <v>ALPHA OPEN/ERROR ASN</v>
      </c>
      <c r="C18" t="str">
        <f>D6</f>
        <v xml:space="preserve">"/splunk/FTP/Alpha/asn/abq_asnhdr_" + file_date + ".txt" </v>
      </c>
    </row>
    <row r="19" spans="2:3" ht="15" customHeight="1">
      <c r="B19" t="str">
        <f>B7</f>
        <v>ASW ASN ERROR</v>
      </c>
      <c r="C19" t="str">
        <f>D7</f>
        <v>"/splunk/FTP/ASW/ASN_Errors_" + file_date + ".csv"</v>
      </c>
    </row>
    <row r="20" spans="2:3" ht="15" customHeight="1">
      <c r="B20" t="str">
        <f>B8</f>
        <v>ASW OPEN RETURNS</v>
      </c>
      <c r="C20" t="str">
        <f>D8</f>
        <v>"/splunk/FTP/ASW/Cust_Rtn_Pallets_" + file_date + ".csv"</v>
      </c>
    </row>
    <row r="21" spans="2:3" ht="15" customHeight="1">
      <c r="B21" t="str">
        <f>B9</f>
        <v>ELP ASW -PENDING SHIPMENT QUANTITIES &gt; 1 WEEK</v>
      </c>
      <c r="C21" t="str">
        <f>D9</f>
        <v>"/splunk/FTP/ASW/Pending_Shipments_Open_" + file_date + ".csv"</v>
      </c>
    </row>
    <row r="22" spans="2:3" ht="15" customHeight="1">
      <c r="B22" t="str">
        <f>B10</f>
        <v>WMS- NEW Alpha Open Adjustments &gt; 45days</v>
      </c>
      <c r="C22" t="str">
        <f>D10</f>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6"/>
  <sheetViews>
    <sheetView workbookViewId="0">
      <selection activeCell="B4" sqref="B4"/>
    </sheetView>
    <sheetView workbookViewId="1"/>
  </sheetViews>
  <sheetFormatPr baseColWidth="10" defaultColWidth="8.83203125" defaultRowHeight="15"/>
  <cols>
    <col min="1" max="1" width="75.5" customWidth="1"/>
    <col min="2" max="2" width="80.33203125" customWidth="1"/>
  </cols>
  <sheetData>
    <row r="2" spans="1:2">
      <c r="A2" t="s">
        <v>1553</v>
      </c>
      <c r="B2" t="s">
        <v>1554</v>
      </c>
    </row>
    <row r="3" spans="1:2">
      <c r="A3" t="s">
        <v>1555</v>
      </c>
      <c r="B3" t="s">
        <v>1556</v>
      </c>
    </row>
    <row r="5" spans="1:2">
      <c r="A5" t="s">
        <v>1703</v>
      </c>
    </row>
    <row r="6" spans="1:2">
      <c r="A6" t="s">
        <v>1704</v>
      </c>
      <c r="B6" t="s">
        <v>1705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688908-2AF4-423A-99D9-C040C1537B7D}">
  <ds:schemaRefs>
    <ds:schemaRef ds:uri="http://schemas.microsoft.com/sharepoint/v3/contenttype/forms"/>
  </ds:schemaRefs>
</ds:datastoreItem>
</file>

<file path=customXml/itemProps2.xml><?xml version="1.0" encoding="utf-8"?>
<ds:datastoreItem xmlns:ds="http://schemas.openxmlformats.org/officeDocument/2006/customXml" ds:itemID="{2A314CBA-DDFC-407B-913E-456EF7A72CB2}">
  <ds:schemaRefs>
    <ds:schemaRef ds:uri="http://purl.org/dc/dcmitype/"/>
    <ds:schemaRef ds:uri="http://schemas.microsoft.com/office/2006/metadata/properties"/>
    <ds:schemaRef ds:uri="http://www.w3.org/XML/1998/namespace"/>
    <ds:schemaRef ds:uri="http://purl.org/dc/elements/1.1/"/>
    <ds:schemaRef ds:uri="http://schemas.microsoft.com/office/2006/documentManagement/types"/>
    <ds:schemaRef ds:uri="http://purl.org/dc/terms/"/>
    <ds:schemaRef ds:uri="f4b65c1a-daac-4fd9-ba72-b6c84fe15ed4"/>
    <ds:schemaRef ds:uri="http://schemas.microsoft.com/office/infopath/2007/PartnerControls"/>
    <ds:schemaRef ds:uri="http://schemas.openxmlformats.org/package/2006/metadata/core-properties"/>
    <ds:schemaRef ds:uri="bda85dd2-6cbf-49e9-8f64-78faf376eb43"/>
  </ds:schemaRefs>
</ds:datastoreItem>
</file>

<file path=customXml/itemProps3.xml><?xml version="1.0" encoding="utf-8"?>
<ds:datastoreItem xmlns:ds="http://schemas.openxmlformats.org/officeDocument/2006/customXml" ds:itemID="{9BC6226C-693E-49EB-9F6E-2AD1482C9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Progress List</vt:lpstr>
      <vt:lpstr>Sheet1</vt:lpstr>
      <vt:lpstr>Final_List-Alerts</vt:lpstr>
      <vt:lpstr>api.alert</vt:lpstr>
      <vt:lpstr>Combination Splunk Activities</vt:lpstr>
      <vt:lpstr>AWS Splunk Alerts</vt:lpstr>
      <vt:lpstr>Splunk Alerts</vt:lpstr>
      <vt:lpstr>DB Alerts By House</vt:lpstr>
      <vt:lpstr>CRON Frequency</vt:lpstr>
      <vt:lpstr>TODO</vt:lpstr>
      <vt:lpstr>DBAlert.sql</vt:lpstr>
      <vt:lpstr>file.search</vt:lpstr>
      <vt:lpstr>misc.questions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Kok, Weijin</cp:lastModifiedBy>
  <cp:revision/>
  <dcterms:created xsi:type="dcterms:W3CDTF">2025-02-25T21:04:55Z</dcterms:created>
  <dcterms:modified xsi:type="dcterms:W3CDTF">2026-02-12T20:51:49Z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